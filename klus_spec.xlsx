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US" sheetId="1" r:id="rId4"/>
    <sheet state="visible" name="Baza WFMAG" sheetId="2" r:id="rId5"/>
    <sheet state="visible" name="PRESCOT kpl" sheetId="3" r:id="rId6"/>
    <sheet state="visible" name="roboczykarol" sheetId="4" r:id="rId7"/>
    <sheet state="visible" name="DO WGRANIA" sheetId="5" r:id="rId8"/>
  </sheets>
  <definedNames/>
  <calcPr/>
  <extLst>
    <ext uri="GoogleSheetsCustomDataVersion2">
      <go:sheetsCustomData xmlns:go="http://customooxmlschemas.google.com/" r:id="rId9" roundtripDataChecksum="9vW74rs37cWAismBCRz3I/8vk/ZkmgHPm8PvfBklAC0="/>
    </ext>
  </extLst>
</workbook>
</file>

<file path=xl/sharedStrings.xml><?xml version="1.0" encoding="utf-8"?>
<sst xmlns="http://schemas.openxmlformats.org/spreadsheetml/2006/main" count="21966" uniqueCount="6903">
  <si>
    <t>KOD Kluś</t>
  </si>
  <si>
    <t>EAN Kluś</t>
  </si>
  <si>
    <t>Nazwa Kluś</t>
  </si>
  <si>
    <t>Opis Kluś</t>
  </si>
  <si>
    <t>Cena hurt Kluś</t>
  </si>
  <si>
    <t>B8288ANODA_1</t>
  </si>
  <si>
    <t>Profil PIKO anoda e6-k1 1m</t>
  </si>
  <si>
    <t>Stosować z osłonką nr ref. 17034, zaślepka 24202, 24299</t>
  </si>
  <si>
    <t>B8288ANODA_2</t>
  </si>
  <si>
    <t>Profil PIKO anoda e6-k1 2m</t>
  </si>
  <si>
    <t>B8288ANODA_3</t>
  </si>
  <si>
    <t>Profil PIKO anoda e6-k1 3m</t>
  </si>
  <si>
    <t>B8288K7_1</t>
  </si>
  <si>
    <t>Profil PIKO anoda e6-k7 1m</t>
  </si>
  <si>
    <t>Stosować z osłonką nr ref. 17034, zaślepka 24379, 24399</t>
  </si>
  <si>
    <t>B8288K7_2</t>
  </si>
  <si>
    <t>Profil PIKO anoda e6-k7 2m</t>
  </si>
  <si>
    <t>B8288K7_3</t>
  </si>
  <si>
    <t>Profil PIKO anoda e6-k7 3m</t>
  </si>
  <si>
    <t>C1167ANODA_1</t>
  </si>
  <si>
    <t>Profil PIKO-O anoda e6-k1 1m</t>
  </si>
  <si>
    <t>Stosować z osłonką nr ref. 17164, zaślepka 24321</t>
  </si>
  <si>
    <t>C1167ANODA_2</t>
  </si>
  <si>
    <t>Profil PIKO-O anoda e6-k1 2m</t>
  </si>
  <si>
    <t>C1167ANODA_3</t>
  </si>
  <si>
    <t>Profil PIKO-O anoda e6-k1 3m</t>
  </si>
  <si>
    <t>C1167K7_1</t>
  </si>
  <si>
    <t>Profil PIKO-O anoda e6-k7 1m</t>
  </si>
  <si>
    <t>Stosować z osłonką nr ref. 17164, zaślepka 24327</t>
  </si>
  <si>
    <t>C1167K7_2</t>
  </si>
  <si>
    <t>Profil PIKO-O anoda e6-k7 2m</t>
  </si>
  <si>
    <t>C1167K7_3</t>
  </si>
  <si>
    <t>Profil PIKO-O anoda e6-k7 3m</t>
  </si>
  <si>
    <t>C1167L9010OD_1</t>
  </si>
  <si>
    <t>Profil PIKO-O lakier ral9010 1m</t>
  </si>
  <si>
    <t>C1167L9010OD_2</t>
  </si>
  <si>
    <t>Profil PIKO-O lakier ral9010 2m</t>
  </si>
  <si>
    <t>B8287ANODA_1</t>
  </si>
  <si>
    <t>Profil LINO anoda e6-k1 1m</t>
  </si>
  <si>
    <t>Stosować z osłonką nr ref. 17034, zaślepka 24201</t>
  </si>
  <si>
    <t>B8287ANODA_2</t>
  </si>
  <si>
    <t>Profil LINO anoda e6-k1 2m</t>
  </si>
  <si>
    <t>B8287ANODA_3</t>
  </si>
  <si>
    <t>Profil LINO anoda e6-k1 3m</t>
  </si>
  <si>
    <t>18046NA_1</t>
  </si>
  <si>
    <t>Profil TEPIKO 1m</t>
  </si>
  <si>
    <t>Stosować z profilem C1168ANODA , zaślepka 24303</t>
  </si>
  <si>
    <t>18046NA_2</t>
  </si>
  <si>
    <t>Profil TEPIKO 2m</t>
  </si>
  <si>
    <t>18046NA_3</t>
  </si>
  <si>
    <t>Profil TEPIKO 3m</t>
  </si>
  <si>
    <t>C1168ANODA_1</t>
  </si>
  <si>
    <t>Profil PIKO-ZM anoda e6-k1 1m</t>
  </si>
  <si>
    <t>Stosować z cover 17034, zaślepka 24307, 24359</t>
  </si>
  <si>
    <t>C1168ANODA_2</t>
  </si>
  <si>
    <t>Profil PIKO-ZM anoda e6-k1 2m</t>
  </si>
  <si>
    <t>C1168ANODA_3</t>
  </si>
  <si>
    <t>Profil PIKO-ZM anoda e6-k1 3m</t>
  </si>
  <si>
    <t>C1168K7_1</t>
  </si>
  <si>
    <t>Profil PIKO-ZM anoda e6-k7 1m</t>
  </si>
  <si>
    <t>Stosować z osłonką 17034, zaślepka 24384, 24400</t>
  </si>
  <si>
    <t>C1168K7_2</t>
  </si>
  <si>
    <t>Profil PIKO-ZM anoda e6-k7 2m</t>
  </si>
  <si>
    <t>C1168K7_3</t>
  </si>
  <si>
    <t>Profil PIKO-ZM anoda e6-k7 3m</t>
  </si>
  <si>
    <t>C1575NA_1</t>
  </si>
  <si>
    <t>Profil KOZEL-10 surowy 1m</t>
  </si>
  <si>
    <t>oświetlenie dekoracyjne i funkcyjne</t>
  </si>
  <si>
    <t>C1575NA_2</t>
  </si>
  <si>
    <t>Profil KOZEL-10 surowy 2m</t>
  </si>
  <si>
    <t>C1575NA_3</t>
  </si>
  <si>
    <t>Profil KOZEL-10 surowy 3m</t>
  </si>
  <si>
    <t>B1888NA_1</t>
  </si>
  <si>
    <t>Profil MICRO-ALU surowy 1m</t>
  </si>
  <si>
    <t>oświetlenie meblowe, dekoracyjne i funkcyjne, możliwość wykonania oprawy liniowej o stopniu ochrony IP67 z osłonami LIGER, KA, HS, KA-PRO i KA-COM</t>
  </si>
  <si>
    <t>B1888NA_2</t>
  </si>
  <si>
    <t>Profil MICRO-ALU surowy 2m</t>
  </si>
  <si>
    <t>B1888NA_3</t>
  </si>
  <si>
    <t>Profil MICRO-ALU surowy 3m</t>
  </si>
  <si>
    <t>B1888ANODA_1</t>
  </si>
  <si>
    <t>Profil MICRO-ALU anoda e6-k1 1m</t>
  </si>
  <si>
    <t>B1888ANODA_2</t>
  </si>
  <si>
    <t>Profil MICRO-ALU anoda e6-k1 2m</t>
  </si>
  <si>
    <t>B1888ANODA_3</t>
  </si>
  <si>
    <t>Profil MICRO-ALU anoda e6-k1 3m</t>
  </si>
  <si>
    <t>B1888K7_1</t>
  </si>
  <si>
    <t>Profil MICRO-ALU anoda e6-k7 1m</t>
  </si>
  <si>
    <t>B1888K7_2</t>
  </si>
  <si>
    <t>Profil MICRO-ALU anoda e6-k7 2m</t>
  </si>
  <si>
    <t>B1888K7_3</t>
  </si>
  <si>
    <t>Profil MICRO-ALU anoda e6-k7 3m</t>
  </si>
  <si>
    <t>B1888L9010OD_1</t>
  </si>
  <si>
    <t>Profil MICRO-ALU lakier ral9010 1m</t>
  </si>
  <si>
    <t>B1888L9010OD_2</t>
  </si>
  <si>
    <t>Profil MICRO-ALU lakier ral9010 2m</t>
  </si>
  <si>
    <t>C2966ANODA_1</t>
  </si>
  <si>
    <t>Profil MICRO-PLUS anoda e6-k1 1m</t>
  </si>
  <si>
    <t>Profil anodowany, Używać z zaślepkami 24392, 24393 i osłonami HS, KA, KA-COM, KA-PRO, LIGER</t>
  </si>
  <si>
    <t>C2966ANODA_2</t>
  </si>
  <si>
    <t>Profil MICRO-PLUS anoda e6-k1 2m</t>
  </si>
  <si>
    <t>C2966ANODA_3</t>
  </si>
  <si>
    <t>Profil MICRO-PLUS anoda e6-k1 3m</t>
  </si>
  <si>
    <t>C2966K7_1</t>
  </si>
  <si>
    <t>Profil MICRO-PLUS anoda e6-k7 1m</t>
  </si>
  <si>
    <t>Profil anodowany, Używać z zaślepkami 24419, 24420 i osłonami HS, KA, KA-COM, KA-PRO, LIGER</t>
  </si>
  <si>
    <t>C2966K7_2</t>
  </si>
  <si>
    <t>Profil MICRO-PLUS anoda e6-k7 2m</t>
  </si>
  <si>
    <t>C2966K7_3</t>
  </si>
  <si>
    <t>Profil MICRO-PLUS anoda e6-k7 3m</t>
  </si>
  <si>
    <t>C2966L9010OD_1</t>
  </si>
  <si>
    <t>Profil MICRO-PLUS lakier RAL9010 1m</t>
  </si>
  <si>
    <t>C2966L9010OD_2</t>
  </si>
  <si>
    <t>Profil MICRO-PLUS lakier RAL9010 2m</t>
  </si>
  <si>
    <t>C2966L9010OD_3</t>
  </si>
  <si>
    <t>Profil MICRO-PLUS lakier RAL9010 3m</t>
  </si>
  <si>
    <t>C2966NA_1</t>
  </si>
  <si>
    <t>Profil MICRO-PLUS surowy 1m</t>
  </si>
  <si>
    <t>C2966NA_2</t>
  </si>
  <si>
    <t>Profil MICRO-PLUS surowy 2m</t>
  </si>
  <si>
    <t>C2966NA_3</t>
  </si>
  <si>
    <t>Profil MICRO-PLUS surowy 3m</t>
  </si>
  <si>
    <t>C0599ANODA_1</t>
  </si>
  <si>
    <t>Profil MICRO-H anoda e6-k1 1m</t>
  </si>
  <si>
    <t>oświetlenie meblowe i dekoracyjne</t>
  </si>
  <si>
    <t>C0599ANODA_2</t>
  </si>
  <si>
    <t>Profil MICRO-H anoda e6-k1 2m</t>
  </si>
  <si>
    <t>C0599ANODA_3</t>
  </si>
  <si>
    <t>Profil MICRO-H anoda e6-k1 3m</t>
  </si>
  <si>
    <t>C1419ANODA_1</t>
  </si>
  <si>
    <t>Profil MICRO-HG anoda e6-k1 1m</t>
  </si>
  <si>
    <t>Profil anodowany, Używać z zaślepkami 24319</t>
  </si>
  <si>
    <t>C1419ANODA_2</t>
  </si>
  <si>
    <t>Profil MICRO-HG anoda e6-k1 2m</t>
  </si>
  <si>
    <t>C1419ANODA_3</t>
  </si>
  <si>
    <t>Profil MICRO-HG anoda e6-k1 3m</t>
  </si>
  <si>
    <t>C1419K7_1</t>
  </si>
  <si>
    <t>Profil MICRO-HG anoda e6-k7 1m</t>
  </si>
  <si>
    <t>Profil anodowany, Używać z zaślepkami 24331</t>
  </si>
  <si>
    <t>C1419K7_2</t>
  </si>
  <si>
    <t>Profil MICRO-HG anoda e6-k7 2m</t>
  </si>
  <si>
    <t>C1419K7_3</t>
  </si>
  <si>
    <t>Profil MICRO-HG anoda e6-k7 3m</t>
  </si>
  <si>
    <t>00036_1</t>
  </si>
  <si>
    <t>Podkładka MW 11x5 LED 1m</t>
  </si>
  <si>
    <t>Podkładka do taśm/listew i włączników LED montowana w profilu</t>
  </si>
  <si>
    <t>00036_2</t>
  </si>
  <si>
    <t>Podkładka MW 11x5 LED 2m</t>
  </si>
  <si>
    <t>00036_3</t>
  </si>
  <si>
    <t>Podkładka MW 11x5 LED 3m</t>
  </si>
  <si>
    <t>B7696ANODA_1</t>
  </si>
  <si>
    <t>Profil PDS-ZM anoda e6-k1 1m</t>
  </si>
  <si>
    <t>możliwość wykonania oprawy liniowej o stopniu ochrony IP67; profil nadaje się do gięcia w łagodne łuki</t>
  </si>
  <si>
    <t>B7696ANODA_2</t>
  </si>
  <si>
    <t>Profil PDS-ZM anoda e6-k1 2m</t>
  </si>
  <si>
    <t>B7696ANODA_3</t>
  </si>
  <si>
    <t>Profil PDS-ZM anoda e6-k1 3m</t>
  </si>
  <si>
    <t>C2056ANODA_1</t>
  </si>
  <si>
    <t>Profil PDS-ZM-PLUS anoda e6-k1 1m</t>
  </si>
  <si>
    <t>oświetlenie główne i dekoracyjne; możliwość łatwego łączenia w ciągi</t>
  </si>
  <si>
    <t>C2056ANODA_2</t>
  </si>
  <si>
    <t>Profil PDS-ZM-PLUS anoda e6-k1 2m</t>
  </si>
  <si>
    <t>C2056ANODA_3</t>
  </si>
  <si>
    <t>Profil PDS-ZM-PLUS anoda e6-k1 3m</t>
  </si>
  <si>
    <t>C2056K7_1</t>
  </si>
  <si>
    <t>Profil PDS-ZM-PLUS anoda e6-k7 1m</t>
  </si>
  <si>
    <t>C2056K7_2</t>
  </si>
  <si>
    <t>Profil PDS-ZM-PLUS anoda e6-k7 2m</t>
  </si>
  <si>
    <t>C2056K7_3</t>
  </si>
  <si>
    <t>Profil PDS-ZM-PLUS anoda e6-k7 3m</t>
  </si>
  <si>
    <t>C2056L9010OD_1</t>
  </si>
  <si>
    <t>Profil PDS-ZM-PLUS lakier ral9010 1m</t>
  </si>
  <si>
    <t>C2056L9010OD_2</t>
  </si>
  <si>
    <t>Profil PDS-ZM-PLUS lakier ral9010 2m</t>
  </si>
  <si>
    <t>B9204ANODA_1</t>
  </si>
  <si>
    <t>Profil PDS-H anoda e6-k1 1m</t>
  </si>
  <si>
    <t>Profil anodowany, Używać z zaślepkami 24145 lub 24254, osłonkami 17071, 17072, 17037</t>
  </si>
  <si>
    <t>B9204ANODA_2</t>
  </si>
  <si>
    <t>Profil PDS-H anoda e6-k1 2m</t>
  </si>
  <si>
    <t>B9204ANODA_3</t>
  </si>
  <si>
    <t>Profil PDS-H anoda e6-k1 3m</t>
  </si>
  <si>
    <t>C1418ANODA_1</t>
  </si>
  <si>
    <t>Profil PDS-ZMG anoda e6-k1 1m</t>
  </si>
  <si>
    <t>Profil anodowany, Używać z zaślepkami 24330</t>
  </si>
  <si>
    <t>C1418ANODA_2</t>
  </si>
  <si>
    <t>Profil PDS-ZMG anoda e6-k1 2m</t>
  </si>
  <si>
    <t>C1418ANODA_3</t>
  </si>
  <si>
    <t>Profil PDS-ZMG anoda e6-k1 3m</t>
  </si>
  <si>
    <t>C1418K7_1</t>
  </si>
  <si>
    <t>Profil PDS-ZMG anoda e6-k7 1m</t>
  </si>
  <si>
    <t>Profil anodowany, Używać z zaślepkami 24320</t>
  </si>
  <si>
    <t>C1418K7_2</t>
  </si>
  <si>
    <t>Profil PDS-ZMG anoda e6-k7 2m</t>
  </si>
  <si>
    <t>C1418K7_3</t>
  </si>
  <si>
    <t>Profil PDS-ZMG anoda e6-k7 3m</t>
  </si>
  <si>
    <t>B468+43ANODA_1</t>
  </si>
  <si>
    <t>Profil REGULOR anoda e6-k1 1m</t>
  </si>
  <si>
    <t>oświetlenie główne i dekoracyjne; łatwy montaż i demontaż "na klik"</t>
  </si>
  <si>
    <t>B468+43ANODA_2</t>
  </si>
  <si>
    <t>Profil REGULOR anoda e6-k1 2m</t>
  </si>
  <si>
    <t>B468+43ANODA_3</t>
  </si>
  <si>
    <t>Profil REGULOR anoda e6-k1 3m</t>
  </si>
  <si>
    <t>C1263ANODA_1</t>
  </si>
  <si>
    <t>Profil PDS-4-PLUS anoda e6-k1 1m</t>
  </si>
  <si>
    <t>Profil anodowany, Używać z zaślepkami ref. 24337, 24341 i osłonkami ref. 17071, 17072, 17037</t>
  </si>
  <si>
    <t>C1263ANODA_2</t>
  </si>
  <si>
    <t>Profil PDS-4-PLUS anoda e6-k1 2m</t>
  </si>
  <si>
    <t>C1263ANODA_3</t>
  </si>
  <si>
    <t>Profil PDS-4-PLUS anoda e6-k1 3m</t>
  </si>
  <si>
    <t>C1263K7_1</t>
  </si>
  <si>
    <t>Profil PDS-4-PLUS anoda e6-k7 1m</t>
  </si>
  <si>
    <t>Profil anodowany, Używać z zaślepkami ref. 24344, 24345 i osłonkami ref. 17071, 17072, 17037</t>
  </si>
  <si>
    <t>C1263K7_2</t>
  </si>
  <si>
    <t>Profil PDS-4-PLUS anoda e6-k7 2m</t>
  </si>
  <si>
    <t>C1263K7_3</t>
  </si>
  <si>
    <t>Profil PDS-4-PLUS anoda e6-k7 3m</t>
  </si>
  <si>
    <t>C1263NA_1</t>
  </si>
  <si>
    <t>Profil PDS-4-PLUS surowy 1m</t>
  </si>
  <si>
    <t>Profil surowy</t>
  </si>
  <si>
    <t>C1263NA_2</t>
  </si>
  <si>
    <t>Profil PDS-4-PLUS surowy 2m</t>
  </si>
  <si>
    <t>C1263NA_3</t>
  </si>
  <si>
    <t>Profil PDS-4-PLUS surowy 3m</t>
  </si>
  <si>
    <t>C1263L9010OD_1</t>
  </si>
  <si>
    <t>Profil PDS-4-PLUS lakier ral9010 1m</t>
  </si>
  <si>
    <t>C1263L9010OD_2</t>
  </si>
  <si>
    <t>Profil PDS-4-PLUS lakier ral9010 2m</t>
  </si>
  <si>
    <t>C1263L9005OD_1</t>
  </si>
  <si>
    <t>Profil PDS-4-PLUS lakier ral9005 1m</t>
  </si>
  <si>
    <t>C1263L9005OD_2</t>
  </si>
  <si>
    <t>Profil PDS-4-PLUS lakier ral9005 2m</t>
  </si>
  <si>
    <t>B9325ANODA_1</t>
  </si>
  <si>
    <t>Profil SILER anoda e6-k1 1m</t>
  </si>
  <si>
    <t>Profil anodowany, stosować z zaślepka ref. 24236, 42630,</t>
  </si>
  <si>
    <t>B9325ANODA_2</t>
  </si>
  <si>
    <t>Profil SILER anoda e6-k1 2m</t>
  </si>
  <si>
    <t>B9325ANODA_3</t>
  </si>
  <si>
    <t>Profil SILER anoda e6-k1 3m</t>
  </si>
  <si>
    <t>B9325K7_1</t>
  </si>
  <si>
    <t>Profil SILER anoda e6-k7 1m</t>
  </si>
  <si>
    <t>Profil anodowany, stosować z zaślepka ref. 24382, 42630, pasujące osłony 17039, 17049</t>
  </si>
  <si>
    <t>B9325K7_2</t>
  </si>
  <si>
    <t>Profil SILER anoda e6-k7 2m</t>
  </si>
  <si>
    <t>B9325K7_3</t>
  </si>
  <si>
    <t>Profil SILER anoda e6-k7 3m</t>
  </si>
  <si>
    <t>B9325L9010OD_1</t>
  </si>
  <si>
    <t>Profil SILER lakier ral9010 1m</t>
  </si>
  <si>
    <t>Profil anodowany, stosować z zaślepka ref. 24382, 42630, 24407, pasujące osłony 17039, 17049</t>
  </si>
  <si>
    <t>B9325L9010OD_2</t>
  </si>
  <si>
    <t>Profil SILER lakier ral9010 2m</t>
  </si>
  <si>
    <t>B1718NA_2</t>
  </si>
  <si>
    <t>Profil led PDS4 2m</t>
  </si>
  <si>
    <t>C1587ANODA_1</t>
  </si>
  <si>
    <t>Profil MICRO-NK anoda e6-k1 1m</t>
  </si>
  <si>
    <t>Profil anodowany, Używać z zaślepkami 24346, 24347 i osłonkami ref. 17071, 17072, 17037</t>
  </si>
  <si>
    <t>C1587ANODA_2</t>
  </si>
  <si>
    <t>Profil MICRO-NK anoda e6-k1 2m</t>
  </si>
  <si>
    <t>C1587ANODA_3</t>
  </si>
  <si>
    <t>Profil MICRO-NK anoda e6-k1 3m</t>
  </si>
  <si>
    <t>C1587K7_1</t>
  </si>
  <si>
    <t>Profil MICRO-NK anoda e6-k7 1m</t>
  </si>
  <si>
    <t>Profil anodowany, Używać z zaślepkami 24362, 24363 i osłonkami ref. 17071, 17072, 17037</t>
  </si>
  <si>
    <t>C1587K7_2</t>
  </si>
  <si>
    <t>Profil MICRO-NK anoda e6-k7 2m</t>
  </si>
  <si>
    <t>C1587K7_3</t>
  </si>
  <si>
    <t>Profil MICRO-NK anoda e6-k7 3m</t>
  </si>
  <si>
    <t>C1587L9010OD_1</t>
  </si>
  <si>
    <t>Profil MICRO-NK lakier ral9010 1m</t>
  </si>
  <si>
    <t>Profil anodowany, Używać z zaślepkami 24362, 24363, 24408, 24409 i osłonkami ref. 17071, 17072, 17037</t>
  </si>
  <si>
    <t>C1587L9010OD_2</t>
  </si>
  <si>
    <t>Profil MICRO-NK lakier ral9010 2m</t>
  </si>
  <si>
    <t>C1588ANODA_1</t>
  </si>
  <si>
    <t>Profil PDS-NK anoda e6-k1 1m</t>
  </si>
  <si>
    <t>Profil anodowany, Używać z zaślepkami ref.24338, 24339 i osłonkami ref. 17071, 17072, 17037</t>
  </si>
  <si>
    <t>C1588ANODA_2</t>
  </si>
  <si>
    <t>Profil PDS-NK anoda e6-k1 2m</t>
  </si>
  <si>
    <t>C1588ANODA_3</t>
  </si>
  <si>
    <t>Profil PDS-NK anoda e6-k1 3m</t>
  </si>
  <si>
    <t>C1588K7_1</t>
  </si>
  <si>
    <t>Profil PDS-NK anoda e6-k7 1m</t>
  </si>
  <si>
    <t>Profil anodowany, Używać z zaślepkami ref. 24342, 24343 i osłonkami ref. 17071, 17072, 17037</t>
  </si>
  <si>
    <t>C1588K7_2</t>
  </si>
  <si>
    <t>Profil PDS-NK anoda e6-k7 2m</t>
  </si>
  <si>
    <t>C1588K7_3</t>
  </si>
  <si>
    <t>Profil PDS-NK anoda e6-k7 3m</t>
  </si>
  <si>
    <t>C1588L9010OD_1</t>
  </si>
  <si>
    <t>Profil PDS-NK lakier ral9010 1m</t>
  </si>
  <si>
    <t>Profil anodowany, Używać z zaślepkami ref.24338, 24339, 24402, 24404 i osłonkami ref. 17071, 17072, 17037</t>
  </si>
  <si>
    <t>C1588L9010OD_2</t>
  </si>
  <si>
    <t>Profil PDS-NK lakier ral9010 2m</t>
  </si>
  <si>
    <t>C2725NA_1</t>
  </si>
  <si>
    <t>Profil PDS-UST surowy 1m</t>
  </si>
  <si>
    <t>Profil nieanodowany, Używać z zaślepkami ref. 24364 i osłonkami ref. 17040, 1370, 1369, 17122,17121, 17065, 17064, 17036, 17037, 17035</t>
  </si>
  <si>
    <t>C2725NA_2</t>
  </si>
  <si>
    <t>Profil PDS-UST surowy 2m</t>
  </si>
  <si>
    <t>C2725NA_3</t>
  </si>
  <si>
    <t>Profil PDS-UST surowy 3m</t>
  </si>
  <si>
    <t>C2057NA_1</t>
  </si>
  <si>
    <t>Profil PDS-T surowy 1m</t>
  </si>
  <si>
    <t>Profil nieanodowany, Używać z zaślepkami 24217</t>
  </si>
  <si>
    <t>C2057NA_2</t>
  </si>
  <si>
    <t>Profil PDS-T surowy 2m</t>
  </si>
  <si>
    <t>C2057NA_3</t>
  </si>
  <si>
    <t>Profil PDS-T surowy 3m</t>
  </si>
  <si>
    <t>18040NA_1</t>
  </si>
  <si>
    <t>Profil KOZMA surowy 1m</t>
  </si>
  <si>
    <t>18040NA_2</t>
  </si>
  <si>
    <t>Profil KOZMA surowy 2m</t>
  </si>
  <si>
    <t>18040NA_3</t>
  </si>
  <si>
    <t>Profil KOZMA surowy 3m</t>
  </si>
  <si>
    <t>18044NA_1</t>
  </si>
  <si>
    <t>Profil TPK-4 surowy 1m</t>
  </si>
  <si>
    <t>Profil nieanodowany, Używać z zaślepkami 24239</t>
  </si>
  <si>
    <t>18044NA_2</t>
  </si>
  <si>
    <t>Profil TPK-4 surowy 2m</t>
  </si>
  <si>
    <t>18044NA_3</t>
  </si>
  <si>
    <t>Profil TPK-4 surowy 3m</t>
  </si>
  <si>
    <t>C0370ANODA_1</t>
  </si>
  <si>
    <t>Profil OPK-4 anoda e6-k1 1m</t>
  </si>
  <si>
    <t>Profil anodowany, Używać z zaślepkami 24238</t>
  </si>
  <si>
    <t>C0370ANODA_2</t>
  </si>
  <si>
    <t>Profil OPK-4 anoda e6-k1 2m</t>
  </si>
  <si>
    <t>C0370ANODA_3</t>
  </si>
  <si>
    <t>Profil OPK-4 anoda e6-k1 3m</t>
  </si>
  <si>
    <t>B3777ANODA_1</t>
  </si>
  <si>
    <t>Profil PDS-O anoda e6-k1 1m</t>
  </si>
  <si>
    <t>oświetlenie główne i dekoracyjne; uzyskanie IP67 jest możliwe z osłonami: LIGER, KA, HS, KA-PRO i KA-COM</t>
  </si>
  <si>
    <t>B3777ANODA_2</t>
  </si>
  <si>
    <t>Profil PDS-O anoda e6-k1 2m</t>
  </si>
  <si>
    <t>B3777ANODA_3</t>
  </si>
  <si>
    <t>Profil PDS-O anoda e6-k1 3m</t>
  </si>
  <si>
    <t>B8505ANODA_1</t>
  </si>
  <si>
    <t>Profil OLEK anoda e6-k1 1m</t>
  </si>
  <si>
    <t>Profil anodowany, stosować z zaślepka ref. 24203, 24204, 24212, 42619, 42620, 42629, pasujące osłony 17071, 17072, 17037, 17076</t>
  </si>
  <si>
    <t>B8505ANODA_2</t>
  </si>
  <si>
    <t>Profil OLEK anoda e6-k1 2m</t>
  </si>
  <si>
    <t>B8505ANODA_3</t>
  </si>
  <si>
    <t>Profil OLEK anoda e6-k1 3m</t>
  </si>
  <si>
    <t>B8505K7_1</t>
  </si>
  <si>
    <t>Profil OLEK anoda e6-k7 1m</t>
  </si>
  <si>
    <t>Profil anodowany, stosować z zaślepka ref. 24381, 24380, 42619, 42620, 42629 pasujące osłony 17040, 17071, 17072, 17037, 17076</t>
  </si>
  <si>
    <t>B8505K7_2</t>
  </si>
  <si>
    <t>Profil OLEK anoda e6-k7 2m</t>
  </si>
  <si>
    <t>B8505K7_3</t>
  </si>
  <si>
    <t>Profil OLEK anoda e6-k7 3m</t>
  </si>
  <si>
    <t>B8505L9010OD_1</t>
  </si>
  <si>
    <t>Profil OLEK lakier ral9010 1m</t>
  </si>
  <si>
    <t>B8505L9010OD_2</t>
  </si>
  <si>
    <t>Profil OLEK lakier ral9010 2m</t>
  </si>
  <si>
    <t>B8547ANODA_1</t>
  </si>
  <si>
    <t>Profil JAZ anoda e6-k1 1m</t>
  </si>
  <si>
    <t>Profil anodowany, Używać z zaślepkami 24224V1</t>
  </si>
  <si>
    <t>B8547ANODA_2</t>
  </si>
  <si>
    <t>Profil JAZ anoda e6-k1 2m</t>
  </si>
  <si>
    <t>B8547ANODA_3</t>
  </si>
  <si>
    <t>Profil JAZ anoda e6-k1 3m</t>
  </si>
  <si>
    <t>C0788ANODA_1</t>
  </si>
  <si>
    <t>Profil JAZ-DUO anoda e6-k1 1m</t>
  </si>
  <si>
    <t>Używać z zaślepkami 42641, 42642, 42643,42644</t>
  </si>
  <si>
    <t>C0788ANODA_2</t>
  </si>
  <si>
    <t>Profil JAZ-DUO anoda e6-k1 2m</t>
  </si>
  <si>
    <t>C0788ANODA_3</t>
  </si>
  <si>
    <t>Profil JAZ-DUO anoda e6-k1 3m</t>
  </si>
  <si>
    <t>18039ANODA_1</t>
  </si>
  <si>
    <t>Profil 3035 anoda e6-k1 1m</t>
  </si>
  <si>
    <t>Profil anodowany, Używać z zaślepkami ref. 24273 i osłoną ref.17141</t>
  </si>
  <si>
    <t>18039ANODA_2</t>
  </si>
  <si>
    <t>Profil 3035 anoda e6-k1 2m</t>
  </si>
  <si>
    <t>18039ANODA_3</t>
  </si>
  <si>
    <t>Profil 3035 anoda e6-k1 3m</t>
  </si>
  <si>
    <t>B8441ANODA_1</t>
  </si>
  <si>
    <t>Profil 3035-O anoda e6-k1 1m</t>
  </si>
  <si>
    <t>Profil anodowany, Używać z zaślepkami ref. 24274 i osłoną ref.17141</t>
  </si>
  <si>
    <t>B8441ANODA_2</t>
  </si>
  <si>
    <t>Profil 3035-O anoda e6-k1 2m</t>
  </si>
  <si>
    <t>B8441ANODA_3</t>
  </si>
  <si>
    <t>Profil 3035-O anoda e6-k1 3m</t>
  </si>
  <si>
    <t>B8504ANODA_1</t>
  </si>
  <si>
    <t>Profil 45-16 anoda e6-k1 1m</t>
  </si>
  <si>
    <t>Używać z zaślepką ref. 24206, pasujące osłony ref. 17071, 17072, 17037</t>
  </si>
  <si>
    <t>B8504ANODA_2</t>
  </si>
  <si>
    <t>Profil 45-16 anoda e6-k1 2m</t>
  </si>
  <si>
    <t>B8504ANODA_3</t>
  </si>
  <si>
    <t>Profil 45-16 anoda e6-k1 3m</t>
  </si>
  <si>
    <t>B4023NA_1</t>
  </si>
  <si>
    <t>Profil 45-ALU surowy 1m</t>
  </si>
  <si>
    <t>oświetlenie meblowe, funkcyjne i dekoracyjne</t>
  </si>
  <si>
    <t>B4023NA_2</t>
  </si>
  <si>
    <t>Profil 45-ALU surowy 2m</t>
  </si>
  <si>
    <t>B4023NA_3</t>
  </si>
  <si>
    <t>Profil 45-ALU surowy 3m</t>
  </si>
  <si>
    <t>B4023ANODA_1</t>
  </si>
  <si>
    <t>Profil 45-ALU anoda e6-k1 1m</t>
  </si>
  <si>
    <t>B4023ANODA_2</t>
  </si>
  <si>
    <t>Profil 45-ALU anoda e6-k1 2m</t>
  </si>
  <si>
    <t>B4023ANODA_3</t>
  </si>
  <si>
    <t>Profil 45-ALU anoda e6-k1 3m</t>
  </si>
  <si>
    <t>B4023K7_1</t>
  </si>
  <si>
    <t>Profil 45-ALU anoda e6-k7 1m</t>
  </si>
  <si>
    <t>Czarna anoda</t>
  </si>
  <si>
    <t>B4023K7_2</t>
  </si>
  <si>
    <t>Profil 45-ALU anoda e6-k7 2m</t>
  </si>
  <si>
    <t>B4023K7_3</t>
  </si>
  <si>
    <t>Profil 45-ALU anoda e6-k7 3m</t>
  </si>
  <si>
    <t>B4023L9010OD_1</t>
  </si>
  <si>
    <t>Profil 45-ALU lakier ral9010 1m</t>
  </si>
  <si>
    <t>B4023L9010OD_2</t>
  </si>
  <si>
    <t>Profil 45-ALU lakier ral9010 2m</t>
  </si>
  <si>
    <t>B7009ANODA_1</t>
  </si>
  <si>
    <t>Profil GLAD-45 anoda e6-k1 1m</t>
  </si>
  <si>
    <t>oświetlenie meblowe i dekoracyjne; możliwość łatwego łączenia w ciągi</t>
  </si>
  <si>
    <t>B7009ANODA_2</t>
  </si>
  <si>
    <t>Profil GLAD-45 anoda e6-k1 2m</t>
  </si>
  <si>
    <t>B7009ANODA_3</t>
  </si>
  <si>
    <t>Profil GLAD-45 anoda e6-k1 3m</t>
  </si>
  <si>
    <t>B7697ANODA_1</t>
  </si>
  <si>
    <t>Profil KUBIK-45 anoda e6-k1 1m</t>
  </si>
  <si>
    <t>Do budowania przestrzennych form oświetleniowych</t>
  </si>
  <si>
    <t>B7697ANODA_2</t>
  </si>
  <si>
    <t>Profil KUBIK-45 anoda e6-k1 2m</t>
  </si>
  <si>
    <t>B7697ANODA_3</t>
  </si>
  <si>
    <t>Profil KUBIK-45 anoda e6-k1 3m</t>
  </si>
  <si>
    <t>B5390NA_1</t>
  </si>
  <si>
    <t>Profil TAMI surowy 1m</t>
  </si>
  <si>
    <t>Stosować z osłonką "T" 17004, zaślepka 20051</t>
  </si>
  <si>
    <t>B5390NA_2</t>
  </si>
  <si>
    <t>Profil TAMI surowy 2m</t>
  </si>
  <si>
    <t>B5390ANODA_1</t>
  </si>
  <si>
    <t>Profil TAMI anoda e6-k1 1m</t>
  </si>
  <si>
    <t>Stosować z osłonką "T" 17004, zaślepka 20051,</t>
  </si>
  <si>
    <t>B5390ANODA_2</t>
  </si>
  <si>
    <t>Profil TAMI anoda e6-k1 2m</t>
  </si>
  <si>
    <t>C1919ANODA_1</t>
  </si>
  <si>
    <t>Profil TAPO anoda e6-k1 1m</t>
  </si>
  <si>
    <t>Stosować z osłonką "T" 17004, zaślepka 20055,</t>
  </si>
  <si>
    <t>C1919ANODA_2</t>
  </si>
  <si>
    <t>Profil TAPO anoda e6-k1 2m</t>
  </si>
  <si>
    <t>B5391NA_1</t>
  </si>
  <si>
    <t>Profil TAN-C5 surowy 1m</t>
  </si>
  <si>
    <t>Stosować z osłonka "T" 17004, zaślepka 20052</t>
  </si>
  <si>
    <t>B5391NA_2</t>
  </si>
  <si>
    <t>Profil TAN-C5 surowy 2m</t>
  </si>
  <si>
    <t>B5391ANODA_1</t>
  </si>
  <si>
    <t>Profil TAN-C5 anoda e6-k1 1m</t>
  </si>
  <si>
    <t>Stosować z osłonką "T" 17004, zaślepka 20052,</t>
  </si>
  <si>
    <t>B5391ANODA_2</t>
  </si>
  <si>
    <t>Profil TAN-C5 anoda e6-k1 2m</t>
  </si>
  <si>
    <t>B5392ANODA_1</t>
  </si>
  <si>
    <t>Profil TAKO anoda e6-k1 1m</t>
  </si>
  <si>
    <t>Stosować z osłonką "T" 17004, zaślepka 20053,</t>
  </si>
  <si>
    <t>B5392ANODA_2</t>
  </si>
  <si>
    <t>Profil TAKO anoda e6-k1 2m</t>
  </si>
  <si>
    <t>B5393ANODA_1</t>
  </si>
  <si>
    <t>Profil TOST anoda e6-k1 1m</t>
  </si>
  <si>
    <t>Stosować z osłonką "T" 17004, zaślepka 20054</t>
  </si>
  <si>
    <t>B5393ANODA_2</t>
  </si>
  <si>
    <t>Profil TOST anoda e6-k1 2m</t>
  </si>
  <si>
    <t>B4370ANODA_1</t>
  </si>
  <si>
    <t>Profil PAC-ALU anoda e6-k1 1m</t>
  </si>
  <si>
    <t>Montaż w narożnikach; Świecenie pod kątem 45 stopni</t>
  </si>
  <si>
    <t>B4370ANODA_2</t>
  </si>
  <si>
    <t>Profil PAC-ALU anoda e6-k1 2m</t>
  </si>
  <si>
    <t>B4370ANODA_3</t>
  </si>
  <si>
    <t>Profil PAC-ALU anoda e6-k1 3m</t>
  </si>
  <si>
    <t>B6367ANODA_1</t>
  </si>
  <si>
    <t>Profil KOPRO anoda e6-k1 1m</t>
  </si>
  <si>
    <t>B6367ANODA_2</t>
  </si>
  <si>
    <t>Profil KOPRO anoda e6-k1 2m</t>
  </si>
  <si>
    <t>B6367ANODA_3</t>
  </si>
  <si>
    <t>Profil KOPRO anoda e6-k1 3m</t>
  </si>
  <si>
    <t>B7890ANODA_1</t>
  </si>
  <si>
    <t>Profil KOPRO-30 anoda e6-k1 1m</t>
  </si>
  <si>
    <t>Stosować z zaślepkami nr kat: 24173 + 24172, 24175 + 24174, 24177 + 24176, 24179 + 24178,</t>
  </si>
  <si>
    <t>B7890ANODA_2</t>
  </si>
  <si>
    <t>Profil KOPRO-30 anoda e6-k1 2m</t>
  </si>
  <si>
    <t>B7890ANODA_3</t>
  </si>
  <si>
    <t>Profil KOPRO-30 anoda e6-k1 3m</t>
  </si>
  <si>
    <t>18015ANODA_1</t>
  </si>
  <si>
    <t>Profil LOC-30 anoda e6-k1 1m</t>
  </si>
  <si>
    <t>Montaż w narożnikach; Świecenie pod kątem 30 stopni</t>
  </si>
  <si>
    <t>18015ANODA_2</t>
  </si>
  <si>
    <t>Profil LOC-30 anoda e6-k1 2m</t>
  </si>
  <si>
    <t>18015ANODA_3</t>
  </si>
  <si>
    <t>Profil LOC-30 anoda e6-k1 3m</t>
  </si>
  <si>
    <t>B4369ANODA_1</t>
  </si>
  <si>
    <t>Profil STOS-ALU anoda e6-k1 1m</t>
  </si>
  <si>
    <t>oświetlenie meblowe i dekoracyjne; możliwość wykonania oprawy liniowej o stopniu ochrony IP67; możliwość budowania opraw wielokątnych przy użyciu łączników ZM</t>
  </si>
  <si>
    <t>B4369ANODA_2</t>
  </si>
  <si>
    <t>Profil STOS-ALU anoda e6-k1 2m</t>
  </si>
  <si>
    <t>B4369ANODA_3</t>
  </si>
  <si>
    <t>Profil STOS-ALU anoda e6-k1 3m</t>
  </si>
  <si>
    <t>B6639ANODA_1</t>
  </si>
  <si>
    <t>Profil TEST-36 anoda e6-k1 1m</t>
  </si>
  <si>
    <t>stosować z zaślepką 24055, 24040</t>
  </si>
  <si>
    <t>B6639ANODA_2</t>
  </si>
  <si>
    <t>Profil TEST-36 anoda e6-k1 2m</t>
  </si>
  <si>
    <t>B6639ANODA_3</t>
  </si>
  <si>
    <t>Profil TEST-36 anoda e6-k1 3m</t>
  </si>
  <si>
    <t>W4507ANODA_1</t>
  </si>
  <si>
    <t>Profil TEST-74 anoda e6-k1 1m</t>
  </si>
  <si>
    <t>stosować z zaślepką 24054, 24039</t>
  </si>
  <si>
    <t>W4507ANODA_2</t>
  </si>
  <si>
    <t>Profil TEST-74 anoda e6-k1 2m</t>
  </si>
  <si>
    <t>W4507ANODA_3</t>
  </si>
  <si>
    <t>Profil TEST-74 anoda e6-k1 3m</t>
  </si>
  <si>
    <t>B4476ANODA_1</t>
  </si>
  <si>
    <t>Profil TRIADA anoda e6-k1 1m</t>
  </si>
  <si>
    <t>oświetlenie główne i funkcyjne</t>
  </si>
  <si>
    <t>B4476ANODA_2</t>
  </si>
  <si>
    <t>Profil TRIADA anoda e6-k1 2m</t>
  </si>
  <si>
    <t>B4476ANODA_3</t>
  </si>
  <si>
    <t>Profil TRIADA anoda e6-k1 3m</t>
  </si>
  <si>
    <t>W4476ANODA_1</t>
  </si>
  <si>
    <t>Profil TETRA-43 anoda e6-k1 1m</t>
  </si>
  <si>
    <t>stosować z zaślepką 24058, 24044</t>
  </si>
  <si>
    <t>W4476ANODA_2</t>
  </si>
  <si>
    <t>Profil TETRA-43 anoda e6-k1 2m</t>
  </si>
  <si>
    <t>W4476ANODA_3</t>
  </si>
  <si>
    <t>Profil TETRA-43 anoda e6-k1 3m</t>
  </si>
  <si>
    <t>W4508ANODA_1</t>
  </si>
  <si>
    <t>Profil TETRA-78 anoda e6-k1 1m</t>
  </si>
  <si>
    <t>stosować z zaślepką 24057, 24043</t>
  </si>
  <si>
    <t>W4508ANODA_2</t>
  </si>
  <si>
    <t>Profil TETRA-78 anoda e6-k1 2m</t>
  </si>
  <si>
    <t>W4508ANODA_3</t>
  </si>
  <si>
    <t>Profil TETRA-78 anoda e6-k1 3m</t>
  </si>
  <si>
    <t>B7176ANODA_1</t>
  </si>
  <si>
    <t>Profil POLI anoda e6-k1 1m</t>
  </si>
  <si>
    <t>Zaślepka - ref. 24128 Mocownik - ref. 24112</t>
  </si>
  <si>
    <t>B7176ANODA_2</t>
  </si>
  <si>
    <t>Profil POLI anoda e6-k1 2m</t>
  </si>
  <si>
    <t>B7176ANODA_3</t>
  </si>
  <si>
    <t>Profil POLI anoda e6-k1 3m</t>
  </si>
  <si>
    <t>18028NA_1</t>
  </si>
  <si>
    <t>Profil NISA-PLA surowy 1m</t>
  </si>
  <si>
    <t>Używać z zaślepkami ref. 24100</t>
  </si>
  <si>
    <t>18028NA_2</t>
  </si>
  <si>
    <t>Profil NISA-PLA surowy 2m</t>
  </si>
  <si>
    <t>18026NA_1</t>
  </si>
  <si>
    <t>Profil NISA-KRA surowy 1m</t>
  </si>
  <si>
    <t>18026NA_2</t>
  </si>
  <si>
    <t>Profil NISA-KRA surowy 2m</t>
  </si>
  <si>
    <t>18026NA_3</t>
  </si>
  <si>
    <t>Profil NISA-KRA surowy 3m</t>
  </si>
  <si>
    <t>18027NA_1</t>
  </si>
  <si>
    <t>Profil NISA-KON surowy 1m</t>
  </si>
  <si>
    <t>18027NA_2</t>
  </si>
  <si>
    <t>Profil NISA-KON surowy 2m</t>
  </si>
  <si>
    <t>18029NA_1</t>
  </si>
  <si>
    <t>Profil NISA-NI surowy 1m</t>
  </si>
  <si>
    <t>18029NA_2</t>
  </si>
  <si>
    <t>Profil NISA-NI surowy 2m</t>
  </si>
  <si>
    <t>18029NA_3</t>
  </si>
  <si>
    <t>Profil NISA-NI surowy 3m</t>
  </si>
  <si>
    <t>18025ANODA_1</t>
  </si>
  <si>
    <t>Profil WERKIN anoda e6-k1 1m</t>
  </si>
  <si>
    <t>18025ANODA_2</t>
  </si>
  <si>
    <t>Profil WERKIN anoda e6-k1 2m</t>
  </si>
  <si>
    <t>18025ANODA_3</t>
  </si>
  <si>
    <t>Profil WERKIN anoda e6-k1 3m</t>
  </si>
  <si>
    <t>18033NA_1</t>
  </si>
  <si>
    <t>Profil LIT-L surowy 1m</t>
  </si>
  <si>
    <t>Ukryte źródło światła; Niewidoczne elementy aluminiowe</t>
  </si>
  <si>
    <t>18033NA_2</t>
  </si>
  <si>
    <t>Profil LIT-L surowy 2m</t>
  </si>
  <si>
    <t>18033NA_3</t>
  </si>
  <si>
    <t>Profil LIT-L surowy 3m</t>
  </si>
  <si>
    <t>18031ANODA_1</t>
  </si>
  <si>
    <t>Profil KIDES anoda e6-k1 1m</t>
  </si>
  <si>
    <t>Używać z zaślepkami ref. 24152, 42617, z osłonami 17052, 17063, 17059</t>
  </si>
  <si>
    <t>18031ANODA_2</t>
  </si>
  <si>
    <t>Profil KIDES anoda e6-k1 2m</t>
  </si>
  <si>
    <t>18031ANODA_3</t>
  </si>
  <si>
    <t>Profil KIDES anoda e6-k1 3m</t>
  </si>
  <si>
    <t>18032ANODA_1</t>
  </si>
  <si>
    <t>Profil KIDES-DUO anoda e6-k1 1m</t>
  </si>
  <si>
    <t>Używać z osłonami KIDES-DUO i typu LIGER-22</t>
  </si>
  <si>
    <t>18032ANODA_2</t>
  </si>
  <si>
    <t>Profil KIDES-DUO anoda e6-k1 2m</t>
  </si>
  <si>
    <t>18032ANODA_3</t>
  </si>
  <si>
    <t>Profil KIDES-DUO anoda e6-k1 3m</t>
  </si>
  <si>
    <t>B7454ANODA_1</t>
  </si>
  <si>
    <t>Profil ATRA anoda e6-k1 1m</t>
  </si>
  <si>
    <t>Estetycznie zamaskowana oprawa; do oprawy KIDES-DUO, przy pomocy sprężyn montażowych</t>
  </si>
  <si>
    <t>B7454ANODA_2</t>
  </si>
  <si>
    <t>Profil ATRA anoda e6-k1 2m</t>
  </si>
  <si>
    <t>B7454ANODA_3</t>
  </si>
  <si>
    <t>Profil ATRA anoda e6-k1 3m</t>
  </si>
  <si>
    <t>B7827NA_1</t>
  </si>
  <si>
    <t>Profil WKŁADKA-KIDES-DUO surowy 1m</t>
  </si>
  <si>
    <t>Dla profili KIDES-DUO - zabezpieczenie LED</t>
  </si>
  <si>
    <t>B7827NA_2</t>
  </si>
  <si>
    <t>Profil WKŁADKA-KIDES-DUO surowy 2m</t>
  </si>
  <si>
    <t>B7827NA_3</t>
  </si>
  <si>
    <t>Profil WKŁADKA-KIDES-DUO surowy 3m</t>
  </si>
  <si>
    <t>18030ANODA_1</t>
  </si>
  <si>
    <t>Profil DES anoda e6-k1 1m</t>
  </si>
  <si>
    <t>Używać z zaślepkami ref. 24151, 42616, 42626 i osłonkami ref. 17036, 17035, 17121, 17122, 17052,17063, 17059</t>
  </si>
  <si>
    <t>18030ANODA_2</t>
  </si>
  <si>
    <t>Profil DES anoda e6-k1 2m</t>
  </si>
  <si>
    <t>18030ANODA_3</t>
  </si>
  <si>
    <t>Profil DES anoda e6-k1 3m</t>
  </si>
  <si>
    <t>18030K7_1</t>
  </si>
  <si>
    <t>Profil DES anoda e6-k7 1m</t>
  </si>
  <si>
    <t>Używać z zaślepkami ref. 24348 i osłonkami ref. 17040, 17036, 17035, 17121, 17122, 17052,17063, 17059</t>
  </si>
  <si>
    <t>18030K7_2</t>
  </si>
  <si>
    <t>Profil DES anoda e6-k7 2m</t>
  </si>
  <si>
    <t>18030K7_3</t>
  </si>
  <si>
    <t>Profil DES anoda e6-k7 3m</t>
  </si>
  <si>
    <t>18036ANODA_1</t>
  </si>
  <si>
    <t>Profil GLADES anoda e6-k1 1m</t>
  </si>
  <si>
    <t>Używać z zaślepką ref. 24151, 42616, 42626 i osłonkami ref. 17052,17063, 17059</t>
  </si>
  <si>
    <t>18036ANODA_2</t>
  </si>
  <si>
    <t>Profil GLADES anoda e6-k1 2m</t>
  </si>
  <si>
    <t>18036ANODA_3</t>
  </si>
  <si>
    <t>Profil GLADES anoda e6-k1 3m</t>
  </si>
  <si>
    <t>B7823NA_1</t>
  </si>
  <si>
    <t>Profil KOZUS surowy 1m</t>
  </si>
  <si>
    <t>oświetlenie główne, dekoracyjne i funkcyjne; Montaż do płyt gipsowo-kartonowych 16 mm / 0.63";</t>
  </si>
  <si>
    <t>B7823NA_2</t>
  </si>
  <si>
    <t>Profil KOZUS surowy 2m</t>
  </si>
  <si>
    <t>B7823NA_3</t>
  </si>
  <si>
    <t>Profil KOZUS surowy 3m</t>
  </si>
  <si>
    <t>C0958NA_1</t>
  </si>
  <si>
    <t>Profil KOZUS-50 surowy 1m</t>
  </si>
  <si>
    <t>Używać z osłonką ref. 17086 i zaślepką ref. 24282</t>
  </si>
  <si>
    <t>C0958NA_2</t>
  </si>
  <si>
    <t>Profil KOZUS-50 surowy 2m</t>
  </si>
  <si>
    <t>C0958NA_3</t>
  </si>
  <si>
    <t>Profil KOZUS-50 surowy 3m</t>
  </si>
  <si>
    <t>B1889NA_1</t>
  </si>
  <si>
    <t>Profil HR-ALU surowy 1m</t>
  </si>
  <si>
    <t>Profil nieanodowany, Używać z osłonką i zaślepkami ref. 0945, 00010, 00347</t>
  </si>
  <si>
    <t>B1889NA_2</t>
  </si>
  <si>
    <t>Profil HR-ALU surowy 2m</t>
  </si>
  <si>
    <t>B1889NA_3</t>
  </si>
  <si>
    <t>Profil HR-ALU surowy 3m</t>
  </si>
  <si>
    <t>B1889ANODA_1</t>
  </si>
  <si>
    <t>Profil HR-ALU anoda e6-k1 1m</t>
  </si>
  <si>
    <t>Profil anodowany, Używać z osłonką i zaślepkami ref. 0945, 00010, 00347</t>
  </si>
  <si>
    <t>B1889ANODA_2</t>
  </si>
  <si>
    <t>Profil HR-ALU anoda e6-k1 2m</t>
  </si>
  <si>
    <t>B1889ANODA_3</t>
  </si>
  <si>
    <t>Profil HR-ALU anoda e6-k1 3m</t>
  </si>
  <si>
    <t>B3579NA_1</t>
  </si>
  <si>
    <t>Profil HR-LINE surowy 1m</t>
  </si>
  <si>
    <t>Profil nieanodowany, Używać z osłonką i zaślepkami ref. 17151, 1316, 00301, 1348, 1445, 24199</t>
  </si>
  <si>
    <t>B3579NA_2</t>
  </si>
  <si>
    <t>Profil HR-LINE surowy 2m</t>
  </si>
  <si>
    <t>B3579NA_3</t>
  </si>
  <si>
    <t>Profil HR-LINE surowy 3m</t>
  </si>
  <si>
    <t>C1829ANODA_1</t>
  </si>
  <si>
    <t>Profil HR-MAX anoda e6-k1 1m</t>
  </si>
  <si>
    <t>C1829ANODA_2</t>
  </si>
  <si>
    <t>Profil HR-MAX anoda e6-k1 2m</t>
  </si>
  <si>
    <t>C1829ANODA_3</t>
  </si>
  <si>
    <t>Profil HR-MAX anoda e6-k1 3m</t>
  </si>
  <si>
    <t>C1827NA_1</t>
  </si>
  <si>
    <t>Profil HR-MAX-T surowy 1m</t>
  </si>
  <si>
    <t>C1827NA_2</t>
  </si>
  <si>
    <t>Profil HR-MAX-T surowy 2m</t>
  </si>
  <si>
    <t>C1827NA_3</t>
  </si>
  <si>
    <t>Profil HR-MAX-T surowy 3m</t>
  </si>
  <si>
    <t>C1828NA_1</t>
  </si>
  <si>
    <t>Profil HR-MAX-TW surowy 1m</t>
  </si>
  <si>
    <t>C1828NA_2</t>
  </si>
  <si>
    <t>Profil HR-MAX-TW surowy 2m</t>
  </si>
  <si>
    <t>C1828NA_3</t>
  </si>
  <si>
    <t>Profil HR-MAX-TW surowy 3m</t>
  </si>
  <si>
    <t>C1844ANODA_1</t>
  </si>
  <si>
    <t>Profil HR-OPTI anodowany e6-k1 1m</t>
  </si>
  <si>
    <t>C1844ANODA_2</t>
  </si>
  <si>
    <t>Profil HR-OPTI anodowany e6-k1 2m</t>
  </si>
  <si>
    <t>C1844ANODA_3</t>
  </si>
  <si>
    <t>Profil HR-OPTI anodowany e6-k1 3m</t>
  </si>
  <si>
    <t>18042ANODA_1</t>
  </si>
  <si>
    <t>Profil STEP anoda e6-k1 1m</t>
  </si>
  <si>
    <t>Profil anodowany, Używać z zaślepką ref. 24113, 24114, 24025, pasujące osłony 17040, 17036, 1370, 17122, 17065, 17035, 17064, 17075, 1369, 17121, 17037</t>
  </si>
  <si>
    <t>18042ANODA_2</t>
  </si>
  <si>
    <t>Profil STEP anoda e6-k1 2m</t>
  </si>
  <si>
    <t>18042ANODA_3</t>
  </si>
  <si>
    <t>Profil STEP anoda e6-k1 3m</t>
  </si>
  <si>
    <t>18042K7_1</t>
  </si>
  <si>
    <t>Profil STEP anoda e6-k7 1m</t>
  </si>
  <si>
    <t>18042K7_2</t>
  </si>
  <si>
    <t>Profil STEP anoda e6-k7 2m</t>
  </si>
  <si>
    <t>18042K7_3</t>
  </si>
  <si>
    <t>Profil STEP anoda e6-k7 3m</t>
  </si>
  <si>
    <t>18038ANODA_1</t>
  </si>
  <si>
    <t>Profil STEPUS anoda e6-k1 1m</t>
  </si>
  <si>
    <t>Profil anodowany, Używać z zaślepką ref. 24230, 24229, pasujące osłony 17032V1, 17042, 17011, 17022, 17087</t>
  </si>
  <si>
    <t>18038ANODA_2</t>
  </si>
  <si>
    <t>Profil STEPUS anoda e6-k1 2m</t>
  </si>
  <si>
    <t>18038ANODA_3</t>
  </si>
  <si>
    <t>Profil STEPUS anoda e6-k1 3m</t>
  </si>
  <si>
    <t>18038K7_1</t>
  </si>
  <si>
    <t>Profil STEPUS anoda e6-k7 1m</t>
  </si>
  <si>
    <t>18038K7_2</t>
  </si>
  <si>
    <t>Profil STEPUS anoda e6-k7 2m</t>
  </si>
  <si>
    <t>18038K7_3</t>
  </si>
  <si>
    <t>Profil STEPUS anoda e6-k7 3m</t>
  </si>
  <si>
    <t>18018ANODA_1</t>
  </si>
  <si>
    <t>Profil STEKO anoda e6-k1 1m</t>
  </si>
  <si>
    <t>Używać z zaślepką ref. 24053, 24037, 24038</t>
  </si>
  <si>
    <t>18018ANODA_2</t>
  </si>
  <si>
    <t>Profil STEKO anoda e6-k1 2m</t>
  </si>
  <si>
    <t>18018ANODA_3</t>
  </si>
  <si>
    <t>Profil STEKO anoda e6-k1 3m</t>
  </si>
  <si>
    <t>18018K7_1</t>
  </si>
  <si>
    <t>Profil STEKO anoda e6-k7 1m</t>
  </si>
  <si>
    <t>Używać z zaślepką ref. 24053, 24246, 24247</t>
  </si>
  <si>
    <t>18018K7_2</t>
  </si>
  <si>
    <t>Profil STEKO anoda e6-k7 2m</t>
  </si>
  <si>
    <t>18018K7_3</t>
  </si>
  <si>
    <t>Profil STEKO anoda e6-k7 3m</t>
  </si>
  <si>
    <t>W4826ANODA_1</t>
  </si>
  <si>
    <t>Profil OBIT anoda e6-k1 1m</t>
  </si>
  <si>
    <t>oświetlenie dekoracyjne i ostrzegawcze; Oświetlenie ciągów komunikacyjnych</t>
  </si>
  <si>
    <t>W4826ANODA_2</t>
  </si>
  <si>
    <t>Profil OBIT anoda e6-k1 2m</t>
  </si>
  <si>
    <t>W4826ANODA_3</t>
  </si>
  <si>
    <t>Profil OBIT anoda e6-k1 3m</t>
  </si>
  <si>
    <t>B6144ANODA_1.05</t>
  </si>
  <si>
    <t>Profil POR anoda e6-k1 1.05m</t>
  </si>
  <si>
    <t>Oświetlenie osadzone w poręczy; oświetlenie dekoracyjne schodów, klatek schodowych i ciągów komunikacyjnych</t>
  </si>
  <si>
    <t>B6144ANODA_2.10</t>
  </si>
  <si>
    <t>Profil POR anoda e6-k1 2.10m</t>
  </si>
  <si>
    <t>18043ANODA_1</t>
  </si>
  <si>
    <t>Profil EX-ALU anoda e6-k1 1m</t>
  </si>
  <si>
    <t>montaż do powierzchni i dekoracyjne podświetlanie przeźroczystych szyldów i paneli</t>
  </si>
  <si>
    <t>18043ANODA_2</t>
  </si>
  <si>
    <t>Profil EX-ALU anoda e6-k1 2m</t>
  </si>
  <si>
    <t>18043ANODA_3</t>
  </si>
  <si>
    <t>Profil EX-ALU anoda e6-k1 3m</t>
  </si>
  <si>
    <t>18017ANODAZM_1</t>
  </si>
  <si>
    <t>Profil KRAV-56 anoda e6-k1 1m</t>
  </si>
  <si>
    <t>dekoracyjne podświetlenie krawędzi dla przeźroczystych paneli</t>
  </si>
  <si>
    <t>18017ANODAZM_2</t>
  </si>
  <si>
    <t>Profil KRAV-56 anoda e6-k1 2m</t>
  </si>
  <si>
    <t>18017ANODAZM_3</t>
  </si>
  <si>
    <t>Profil KRAV-56 anoda e6-k1 3m</t>
  </si>
  <si>
    <t>18016ANODAZM_1</t>
  </si>
  <si>
    <t>Profil KRAV-810 anoda e6-k1 1m</t>
  </si>
  <si>
    <t>18016ANODAZM_2</t>
  </si>
  <si>
    <t>Profil KRAV-810 anoda e6-k1 2m</t>
  </si>
  <si>
    <t>18016ANODAZM_3</t>
  </si>
  <si>
    <t>Profil KRAV-810 anoda e6-k1 3m</t>
  </si>
  <si>
    <t>18045ANODA_1</t>
  </si>
  <si>
    <t>Profil KRAV05IN anoda e6-k1 1m</t>
  </si>
  <si>
    <t>Stosować z zaślepkami ref. 24308</t>
  </si>
  <si>
    <t>18045ANODA_2</t>
  </si>
  <si>
    <t>Profil KRAV05IN anoda e6-k1 2m</t>
  </si>
  <si>
    <t>18045ANODA_3</t>
  </si>
  <si>
    <t>Profil KRAV05IN anoda e6-k1 3m</t>
  </si>
  <si>
    <t>18035ANODA_1</t>
  </si>
  <si>
    <t>Profil PULA anoda e6-k1 1m</t>
  </si>
  <si>
    <t>Stosować z zaślepkami ref. 24193, 24196</t>
  </si>
  <si>
    <t>18035ANODA_2</t>
  </si>
  <si>
    <t>Profil PULA anoda e6-k1 2m</t>
  </si>
  <si>
    <t>18035ANODA_3</t>
  </si>
  <si>
    <t>Profil PULA anoda e6-k1 3m</t>
  </si>
  <si>
    <t>B5552ANODA_1</t>
  </si>
  <si>
    <t>Profil LARKO anoda e6-k1 1m</t>
  </si>
  <si>
    <t>oświetlenie główne, dekoracyjne i funkcyjne; Montaż do płyt gipsowo-kartonowyc</t>
  </si>
  <si>
    <t>B5552ANODA_2</t>
  </si>
  <si>
    <t>Profil LARKO anoda e6-k1 2m</t>
  </si>
  <si>
    <t>B5552ANODA_3</t>
  </si>
  <si>
    <t>Profil LARKO anoda e6-k1 3m</t>
  </si>
  <si>
    <t>B5552L9010OD_1</t>
  </si>
  <si>
    <t>Profil LARKO lakier ral9010 1m</t>
  </si>
  <si>
    <t>B5552L9010OD_2</t>
  </si>
  <si>
    <t>Profil LARKO lakier ral9010 2m</t>
  </si>
  <si>
    <t>C0756ANODA_1</t>
  </si>
  <si>
    <t>Profil LARKO-50 anoda e6-k1 1m</t>
  </si>
  <si>
    <t>Używać z osłona LIGER-50, zaślepką LARKO-50</t>
  </si>
  <si>
    <t>C0756ANODA_2</t>
  </si>
  <si>
    <t>Profil LARKO-50 anoda e6-k1 2m</t>
  </si>
  <si>
    <t>C0756ANODA_3</t>
  </si>
  <si>
    <t>Profil LARKO-50 anoda e6-k1 3m</t>
  </si>
  <si>
    <t>B5553ANODA_1</t>
  </si>
  <si>
    <t>Profil LOKOM anoda e6-k1 1m</t>
  </si>
  <si>
    <t>Używać z osłonkami ref. 17087, 17032V1, 17042, 17011, 17022, 17006, 17007, 17008, 17010, 17013 i zaślepkami ref. 24103, 24005, 24009</t>
  </si>
  <si>
    <t>B5553ANODA_2</t>
  </si>
  <si>
    <t>Profil LOKOM anoda e6-k1 2m</t>
  </si>
  <si>
    <t>B5553ANODA_3</t>
  </si>
  <si>
    <t>Profil LOKOM anoda e6-k1 3m</t>
  </si>
  <si>
    <t>B5553K7_1</t>
  </si>
  <si>
    <t>Profil LOKOM anoda e6-k7 1m</t>
  </si>
  <si>
    <t>B5553K7_2</t>
  </si>
  <si>
    <t>Profil LOKOM anoda e6-k7 2m</t>
  </si>
  <si>
    <t>B5553K7_3</t>
  </si>
  <si>
    <t>Profil LOKOM anoda e6-k7 3m</t>
  </si>
  <si>
    <t>B5553L9010OD_1</t>
  </si>
  <si>
    <t>Profil LOKOM lakier ral9010 1m</t>
  </si>
  <si>
    <t>B5553L9010OD_2</t>
  </si>
  <si>
    <t>Profil LOKOM lakier ral9010 2m</t>
  </si>
  <si>
    <t>B5553L9005OD_1</t>
  </si>
  <si>
    <t>Profil LOKOM lakier ral9005 1m</t>
  </si>
  <si>
    <t>B5553L9005OD_2</t>
  </si>
  <si>
    <t>Profil LOKOM lakier ral9005 2m</t>
  </si>
  <si>
    <t>B5554ANODA_1</t>
  </si>
  <si>
    <t>Profil LIPOD anoda e6-k1 1m</t>
  </si>
  <si>
    <t>Używać z osłonkami ref. 17032V1, 17042, 17011, 17022, 17006, 17007, 17008, 00413, 00415, 17087 i zaślepkami ref. 24004, 24283, 24263, 24051</t>
  </si>
  <si>
    <t>B5554ANODA_2</t>
  </si>
  <si>
    <t>Profil LIPOD anoda e6-k1 2m</t>
  </si>
  <si>
    <t>B5554ANODA_3</t>
  </si>
  <si>
    <t>Profil LIPOD anoda e6-k1 3m</t>
  </si>
  <si>
    <t>B5554K7_1</t>
  </si>
  <si>
    <t>Profil LIPOD anoda e6-k7 1m</t>
  </si>
  <si>
    <t>B5554K7_2</t>
  </si>
  <si>
    <t>Profil LIPOD anoda e6-k7 2m</t>
  </si>
  <si>
    <t>B5554K7_3</t>
  </si>
  <si>
    <t>Profil LIPOD anoda e6-k7 3m</t>
  </si>
  <si>
    <t>B5554L9010OD_1</t>
  </si>
  <si>
    <t>Profil LIPOD lakier ral9010 1m</t>
  </si>
  <si>
    <t>B5554L9010OD_2</t>
  </si>
  <si>
    <t>Profil LIPOD lakier ral9010 2m</t>
  </si>
  <si>
    <t>B5554L9005OD_1</t>
  </si>
  <si>
    <t>Profil LIPOD lakier ral9005 1m</t>
  </si>
  <si>
    <t>B5554L9005OD_2</t>
  </si>
  <si>
    <t>Profil LIPOD lakier ral9005 2m</t>
  </si>
  <si>
    <t>C2609ANODA_1</t>
  </si>
  <si>
    <t>Profil LIPOD-50 anoda e6-k1 1m</t>
  </si>
  <si>
    <t>Używać z osłona LIGER-50 ref. 17086, zaślepkami ref. 24394, 24371</t>
  </si>
  <si>
    <t>C2609ANODA_2</t>
  </si>
  <si>
    <t>Profil LIPOD-50 anoda e6-k1 2m</t>
  </si>
  <si>
    <t>C2609ANODA_3</t>
  </si>
  <si>
    <t>Profil LIPOD-50 anoda e6-k1 3m</t>
  </si>
  <si>
    <t>C2609K7_1</t>
  </si>
  <si>
    <t>Profil LIPOD-50 anoda e6-k7 1m</t>
  </si>
  <si>
    <t>Używać z osłonami ref. 17089, 17086 i zaślepkami ref. 24436, 24371, 24394</t>
  </si>
  <si>
    <t>C2609K7_2</t>
  </si>
  <si>
    <t>Profil LIPOD-50 anoda e6-k7 2m</t>
  </si>
  <si>
    <t>C2609K7_3</t>
  </si>
  <si>
    <t>Profil LIPOD-50 anoda e6-k7 3m</t>
  </si>
  <si>
    <t>B6454NA_1</t>
  </si>
  <si>
    <t>Profil KOZEL surowy 1m</t>
  </si>
  <si>
    <t>B6454NA_2</t>
  </si>
  <si>
    <t>Profil KOZEL surowy 2m</t>
  </si>
  <si>
    <t>B6454NA_3</t>
  </si>
  <si>
    <t>Profil KOZEL surowy 3m</t>
  </si>
  <si>
    <t>C0757NA_1</t>
  </si>
  <si>
    <t>Profil KOZEL-50 surowy 1m</t>
  </si>
  <si>
    <t>C0757NA_2</t>
  </si>
  <si>
    <t>Profil KOZEL-50 surowy 2m</t>
  </si>
  <si>
    <t>C0757NA_3</t>
  </si>
  <si>
    <t>Profil KOZEL-50 surowy 3m</t>
  </si>
  <si>
    <t>C0399NA_1</t>
  </si>
  <si>
    <t>Profil TEKNIK-ZM surowy 1m</t>
  </si>
  <si>
    <t>Montaż do płyt gipsowo-kartonowych 12 mm / 0.47"; niewidoczne elementy aluminiowe</t>
  </si>
  <si>
    <t>C0399NA_2</t>
  </si>
  <si>
    <t>Profil TEKNIK-ZM surowy 2m</t>
  </si>
  <si>
    <t>C0399NA_3</t>
  </si>
  <si>
    <t>Profil TEKNIK-ZM surowy 3m</t>
  </si>
  <si>
    <t>C1554NA_1</t>
  </si>
  <si>
    <t>Profil TEKNIK-ZM-TK surowy 1m</t>
  </si>
  <si>
    <t>Montaż w litych powierzchniach murarskich; Niewidoczne elementy aluminiowe</t>
  </si>
  <si>
    <t>C1554NA_2</t>
  </si>
  <si>
    <t>Profil TEKNIK-ZM-TK surowy 2m</t>
  </si>
  <si>
    <t>C1554NA_3</t>
  </si>
  <si>
    <t>Profil TEKNIK-ZM-TK surowy 3m</t>
  </si>
  <si>
    <t>C0600NA_1</t>
  </si>
  <si>
    <t>Profil KOZUS-CR surowy 1 m</t>
  </si>
  <si>
    <t>Montaż do płyt gipsowo-kartonowych 16 mm / 0.63"; Linia światła zlicowana z powierzchnią; Niewidoczne elementy aluminiowe</t>
  </si>
  <si>
    <t>C0600NA_2</t>
  </si>
  <si>
    <t>Profil KOZUS-CR surowy 2 m</t>
  </si>
  <si>
    <t>C0600NA_3</t>
  </si>
  <si>
    <t>Profil KOZUS-CR surowy 3 m</t>
  </si>
  <si>
    <t>B6638V1NA_1</t>
  </si>
  <si>
    <t>Profil TEKUS surowy 1m</t>
  </si>
  <si>
    <t>Montaż do płyt gipsowo-kartonowych 16 mm / 0.63"; Niewidoczne elementy aluminiowe</t>
  </si>
  <si>
    <t>B6638V1NA_2</t>
  </si>
  <si>
    <t>Profil TEKUS surowy 2m</t>
  </si>
  <si>
    <t>B6638V1NA_3</t>
  </si>
  <si>
    <t>Profil TEKUS surowy 3m</t>
  </si>
  <si>
    <t>C1293NA_1</t>
  </si>
  <si>
    <t>Profil TEKUS-ZM surowy 1m</t>
  </si>
  <si>
    <t>Używać z zaślepką ref. 24313</t>
  </si>
  <si>
    <t>C1293NA_2</t>
  </si>
  <si>
    <t>Profil TEKUS-ZM surowy 2m</t>
  </si>
  <si>
    <t>C1293NA_3</t>
  </si>
  <si>
    <t>Profil TEKUS-ZM surowy 3m</t>
  </si>
  <si>
    <t>B5556ANODA_1</t>
  </si>
  <si>
    <t>Profil GIZA anoda e6-k1 1m</t>
  </si>
  <si>
    <t>Używać z osłona 17087, 17006, 17022, 17032V1, 17011, 17007, 00413, 17042, 00415, 17008</t>
  </si>
  <si>
    <t>B5556ANODA_2</t>
  </si>
  <si>
    <t>Profil GIZA anoda e6-k1 2m</t>
  </si>
  <si>
    <t>B5556ANODA_3</t>
  </si>
  <si>
    <t>Profil GIZA anoda e6-k1 3m</t>
  </si>
  <si>
    <t>B6164ANODA_1</t>
  </si>
  <si>
    <t>Profil OPAC-30 anoda e6-k1 1m</t>
  </si>
  <si>
    <t>B6164ANODA_2</t>
  </si>
  <si>
    <t>Profil OPAC-30 anoda e6-k1 2m</t>
  </si>
  <si>
    <t>B6164ANODA_3</t>
  </si>
  <si>
    <t>Profil OPAC-30 anoda e6-k1 3m</t>
  </si>
  <si>
    <t>C0758ANODA_1</t>
  </si>
  <si>
    <t>Profil GIZA-LL anoda e6-k1 1m</t>
  </si>
  <si>
    <t>Używać z zaślepką ref. 24281 i osłonami ref. 17044, 17032V1,17042, 17011, 17022</t>
  </si>
  <si>
    <t>C0758ANODA_2</t>
  </si>
  <si>
    <t>Profil GIZA-LL anoda e6-k1 2m</t>
  </si>
  <si>
    <t>C0758ANODA_3</t>
  </si>
  <si>
    <t>Profil GIZA-LL anoda e6-k1 3m</t>
  </si>
  <si>
    <t>C0758K7_1</t>
  </si>
  <si>
    <t>Profil GIZA-LL anoda e6-k7 1m</t>
  </si>
  <si>
    <t>C0758K7_2</t>
  </si>
  <si>
    <t>Profil GIZA-LL anoda e6-k7 2m</t>
  </si>
  <si>
    <t>C0758K7_3</t>
  </si>
  <si>
    <t>Profil GIZA-LL anoda e6-k7 3m</t>
  </si>
  <si>
    <t>C0758L9010OD_1</t>
  </si>
  <si>
    <t>Profil GIZA-LL lakier ral9010 1m</t>
  </si>
  <si>
    <t>C0758L9010OD_2</t>
  </si>
  <si>
    <t>Profil GIZA-LL lakier ral9010 2m</t>
  </si>
  <si>
    <t>C2479NA_1</t>
  </si>
  <si>
    <t>Profil GIZA-LL-T surowy 1m</t>
  </si>
  <si>
    <t>C2479NA_2</t>
  </si>
  <si>
    <t>Profil GIZA-LL-T surowy 2m</t>
  </si>
  <si>
    <t>C2479NA_3</t>
  </si>
  <si>
    <t>Profil GIZA-LL-T surowy 3m</t>
  </si>
  <si>
    <t>C2724NA_1</t>
  </si>
  <si>
    <t>Profil GIZA-LL-UST surowy 1m</t>
  </si>
  <si>
    <t>C2724NA_2</t>
  </si>
  <si>
    <t>Profil GIZA-LL-UST surowy 2m</t>
  </si>
  <si>
    <t>C2724NA_3</t>
  </si>
  <si>
    <t>Profil GIZA-LL-UST surowy 3m</t>
  </si>
  <si>
    <t>C2162ANODA_1</t>
  </si>
  <si>
    <t>Profil GIZA-DUO-LL anoda e6-k1 1m</t>
  </si>
  <si>
    <t>Używać z zaślepką ref. 24372 i osłonami ref. 17044, 17032V1,17042, 17011, 17022</t>
  </si>
  <si>
    <t>C2162ANODA_2</t>
  </si>
  <si>
    <t>Profil GIZA-DUO-LL anoda e6-k1 2m</t>
  </si>
  <si>
    <t>C2162ANODA_3</t>
  </si>
  <si>
    <t>Profil GIZA-DUO-LL anoda e6-k1 3m</t>
  </si>
  <si>
    <t>C2162K7_1</t>
  </si>
  <si>
    <t>Profil GIZA-DUO-LL anoda e6-k7 1m</t>
  </si>
  <si>
    <t>C2162K7_2</t>
  </si>
  <si>
    <t>Profil GIZA-DUO-LL anoda e6-k7 2m</t>
  </si>
  <si>
    <t>C2162K7_3</t>
  </si>
  <si>
    <t>Profil GIZA-DUO-LL anoda e6-k7 3m</t>
  </si>
  <si>
    <t>C2627ANODA_1</t>
  </si>
  <si>
    <t>Profil GLAZA-LL anoda e6-k1 1m</t>
  </si>
  <si>
    <t>Używać z zaślepką ref. 24377, 24368, 24385 i osłonami ref. 17032V1,17042, 17022, 17087</t>
  </si>
  <si>
    <t>C2627ANODA_2</t>
  </si>
  <si>
    <t>Profil GLAZA-LL anoda e6-k1 2m</t>
  </si>
  <si>
    <t>C2627ANODA_3</t>
  </si>
  <si>
    <t>Profil GLAZA-LL anoda e6-k1 3m</t>
  </si>
  <si>
    <t>C2627K7_1</t>
  </si>
  <si>
    <t>Profil GLAZA-LL anoda e6-k7 1m</t>
  </si>
  <si>
    <t>C2627K7_2</t>
  </si>
  <si>
    <t>Profil GLAZA-LL anoda e6-k7 2m</t>
  </si>
  <si>
    <t>C2627K7_3</t>
  </si>
  <si>
    <t>Profil GLAZA-LL anoda e6-k7 3m</t>
  </si>
  <si>
    <t>C3059ANODA_1</t>
  </si>
  <si>
    <t>Profil GLAZA-DUO anoda e6-k1 1m</t>
  </si>
  <si>
    <t>Use with end cap 24418, 24452 and covers 17032V1,17042, 17022, 17087 , 17011</t>
  </si>
  <si>
    <t>C3059ANODA_2</t>
  </si>
  <si>
    <t>Profil GLAZA-DUO anoda e6-k1 2m</t>
  </si>
  <si>
    <t>Use with end cap 24418, 24452 and covers 17032V1,17042, 17022, 17087 , 17012</t>
  </si>
  <si>
    <t>C3059ANODA_3</t>
  </si>
  <si>
    <t>Profil GLAZA-DUO anoda e6-k1 3m</t>
  </si>
  <si>
    <t>Use with end cap 24418, 24452 and covers 17032V1,17042, 17022, 17087 , 17013</t>
  </si>
  <si>
    <t>18050ANODA_1</t>
  </si>
  <si>
    <t>Profil 4050 anoda e6-k1 1m</t>
  </si>
  <si>
    <t>Używać z zaślepką ref. 24335 i osłonami ref. 17055, 17057</t>
  </si>
  <si>
    <t>18050ANODA_2</t>
  </si>
  <si>
    <t>Profil 4050 anoda e6-k1 2m</t>
  </si>
  <si>
    <t>18050ANODA_3</t>
  </si>
  <si>
    <t>Profil 4050 anoda e6-k1 3m</t>
  </si>
  <si>
    <t>18051ANODA_1</t>
  </si>
  <si>
    <t>Profil 4050-W anoda e6-k1 1m</t>
  </si>
  <si>
    <t>18051ANODA_2</t>
  </si>
  <si>
    <t>Profil 4050-W anoda e6-k1 2m</t>
  </si>
  <si>
    <t>18051ANODA_3</t>
  </si>
  <si>
    <t>Profil 4050-W anoda e6-k1 3m</t>
  </si>
  <si>
    <t>18047ANODA_1</t>
  </si>
  <si>
    <t>Profil MOD-50 anoda e6-k1 1m</t>
  </si>
  <si>
    <t>stosować z zaślepka ref. 24329, osłonka ref. 17058 or 17056, Odbłyśnik ref. 17003</t>
  </si>
  <si>
    <t>18047ANODA_2</t>
  </si>
  <si>
    <t>Profil MOD-50 anoda e6-k1 2m</t>
  </si>
  <si>
    <t>18047ANODA_3</t>
  </si>
  <si>
    <t>Profil MOD-50 anoda e6-k1 3m</t>
  </si>
  <si>
    <t>18047K7_1</t>
  </si>
  <si>
    <t>Profil MOD-50 anoda e6-k7 1m</t>
  </si>
  <si>
    <t>18047K7_2</t>
  </si>
  <si>
    <t>Profil MOD-50 anoda e6-k7 2m</t>
  </si>
  <si>
    <t>18047K7_3</t>
  </si>
  <si>
    <t>Profil MOD-50 anoda e6-k7 3m</t>
  </si>
  <si>
    <t>18047L9010OD_1</t>
  </si>
  <si>
    <t>Profil MOD-50 lakier ral9010 1m</t>
  </si>
  <si>
    <t>stosować z zaślepka ref. 24329, 24406 osłonka ref. 17058 or 17056, Odbłyśnik ref. 17003</t>
  </si>
  <si>
    <t>18047L9010OD_2</t>
  </si>
  <si>
    <t>Profil MOD-50 lakier ral9010 2m</t>
  </si>
  <si>
    <t>18049ANODA_1</t>
  </si>
  <si>
    <t>Profil MOD-100 anoda e6-k1 1m</t>
  </si>
  <si>
    <t>18049ANODA_2</t>
  </si>
  <si>
    <t>Profil MOD-100 anoda e6-k1 2m</t>
  </si>
  <si>
    <t>18049ANODA_3</t>
  </si>
  <si>
    <t>Profil MOD-100 anoda e6-k1 3m</t>
  </si>
  <si>
    <t>18056NA_1</t>
  </si>
  <si>
    <t>Profil RAM-3035-KOZE 1m</t>
  </si>
  <si>
    <t>stosować z zaślepka ref. 24349, profilem ref. B8441ANODA i wkrętem ref.70283</t>
  </si>
  <si>
    <t>18056NA_2</t>
  </si>
  <si>
    <t>Profil RAM-3035-KOZE 2m</t>
  </si>
  <si>
    <t>18056NA_3</t>
  </si>
  <si>
    <t>Profil RAM-3035-KOZE 3m</t>
  </si>
  <si>
    <t>C1780NA_1</t>
  </si>
  <si>
    <t>Profil 3035-KR-KOZE surowy 1m</t>
  </si>
  <si>
    <t>stosować z ref. C1779NA_0.06</t>
  </si>
  <si>
    <t>C1780NA_2</t>
  </si>
  <si>
    <t>Profil 3035-KR-KOZE surowy 2m</t>
  </si>
  <si>
    <t>stosować z ref. C1779NA_2</t>
  </si>
  <si>
    <t>C1780NA_3</t>
  </si>
  <si>
    <t>Profil 3035-KR-KOZE surowy 3m</t>
  </si>
  <si>
    <t>stosować z ref. C1779NA_3</t>
  </si>
  <si>
    <t>18053ANODA_1</t>
  </si>
  <si>
    <t>Profil OMODO-50 1m</t>
  </si>
  <si>
    <t>stosować z zaślepka ref. 24353, osłoną ref. 17166 or 17165, profilem ref.18055NA</t>
  </si>
  <si>
    <t>18053ANODA_2</t>
  </si>
  <si>
    <t>Profil OMODO-50 2m</t>
  </si>
  <si>
    <t>18053ANODA_3</t>
  </si>
  <si>
    <t>Profil OMODO-50 3m</t>
  </si>
  <si>
    <t>18055NA_1</t>
  </si>
  <si>
    <t>Profil RAM-KOZE-50 1m</t>
  </si>
  <si>
    <t>stosować z zaślepka ref. 24350 profilem ref. 18053ANODA</t>
  </si>
  <si>
    <t>18055NA_2</t>
  </si>
  <si>
    <t>Profil RAM-KOZE-50 2m</t>
  </si>
  <si>
    <t>18055NA_3</t>
  </si>
  <si>
    <t>Profil RAM-KOZE-50 3m</t>
  </si>
  <si>
    <t>18060ANODA_1</t>
  </si>
  <si>
    <t>Profil RAM-KOL-50 1m</t>
  </si>
  <si>
    <t>18060ANODA_2</t>
  </si>
  <si>
    <t>Profil RAM-KOL-50 2m</t>
  </si>
  <si>
    <t>18060ANODA_3</t>
  </si>
  <si>
    <t>Profil RAM-KOL-50 3m</t>
  </si>
  <si>
    <t>18059NA_1</t>
  </si>
  <si>
    <t>Profil RAM-TEK-50 1m</t>
  </si>
  <si>
    <t>18059NA_2</t>
  </si>
  <si>
    <t>Profil RAM-TEK-50 2m</t>
  </si>
  <si>
    <t>18059NA_3</t>
  </si>
  <si>
    <t>Profil RAM-TEK-50 3m</t>
  </si>
  <si>
    <t>18058ANODA_1</t>
  </si>
  <si>
    <t>Profil OMODO-100 1m</t>
  </si>
  <si>
    <t>stosować z zaślepka ref. 24354, osłonką ref. 17166 or 17165, profilem ref.18057NA</t>
  </si>
  <si>
    <t>18058ANODA_2</t>
  </si>
  <si>
    <t>Profil OMODO-100 2m</t>
  </si>
  <si>
    <t>18058ANODA_3</t>
  </si>
  <si>
    <t>Profil OMODO-100 3m</t>
  </si>
  <si>
    <t>18057NA_1</t>
  </si>
  <si>
    <t>Profil RAM-KOZE-100 1m</t>
  </si>
  <si>
    <t>stosować z zaślepka ref. 24351, profilem ref. 18058ANODA</t>
  </si>
  <si>
    <t>18057NA_2</t>
  </si>
  <si>
    <t>Profil RAM-KOZE-100 2m</t>
  </si>
  <si>
    <t>18057NA_3</t>
  </si>
  <si>
    <t>Profil RAM-KOZE-100 3m</t>
  </si>
  <si>
    <t>18062ANODA_1</t>
  </si>
  <si>
    <t>Profil RAM-KOL-100 1m</t>
  </si>
  <si>
    <t>18062ANODA_2</t>
  </si>
  <si>
    <t>Profil RAM-KOL-100 2m</t>
  </si>
  <si>
    <t>18062ANODA_3</t>
  </si>
  <si>
    <t>Profil RAM-KOL-100 3m</t>
  </si>
  <si>
    <t>18061NA_1</t>
  </si>
  <si>
    <t>Profil RAM-TEK-100 1m</t>
  </si>
  <si>
    <t>18061NA_2</t>
  </si>
  <si>
    <t>Profil RAM-TEK-100 2m</t>
  </si>
  <si>
    <t>18061NA_3</t>
  </si>
  <si>
    <t>Profil RAM-TEK-100 3m</t>
  </si>
  <si>
    <t>C1772NA_1</t>
  </si>
  <si>
    <t>Profil MOD-KR-KOZE surowy 1m</t>
  </si>
  <si>
    <t>stosować z akcesoriami ref. C1815NA_0.06, C1773NA_0.06</t>
  </si>
  <si>
    <t>C1772NA_2</t>
  </si>
  <si>
    <t>Profil MOD-KR-KOZE surowy 2m</t>
  </si>
  <si>
    <t>C1772NA_3</t>
  </si>
  <si>
    <t>Profil MOD-KR-KOZE surowy 3m</t>
  </si>
  <si>
    <t>C2053ANODA_1</t>
  </si>
  <si>
    <t>Profil MOD-KR-KOL anoda e6-k1 1m</t>
  </si>
  <si>
    <t>C2053ANODA_2</t>
  </si>
  <si>
    <t>Profil MOD-KR-KOL anoda e6-k1 2m</t>
  </si>
  <si>
    <t>C2053ANODA_3</t>
  </si>
  <si>
    <t>Profil MOD-KR-KOL anoda e6-k1 3m</t>
  </si>
  <si>
    <t>C2052NA_1</t>
  </si>
  <si>
    <t>Profil MOD-KR-TEK surowy 1m</t>
  </si>
  <si>
    <t>C2052NA_2</t>
  </si>
  <si>
    <t>Profil MOD-KR-TEK surowy 2m</t>
  </si>
  <si>
    <t>C2052NA_3</t>
  </si>
  <si>
    <t>Profil MOD-KR-TEK surowy 3m</t>
  </si>
  <si>
    <t>18009ANODA_1</t>
  </si>
  <si>
    <t>Profil BOX anoda e6-k1 1m</t>
  </si>
  <si>
    <t>BOX sprawdza się jako estetyczna obudowa zasilacza</t>
  </si>
  <si>
    <t>18009ANODA_2</t>
  </si>
  <si>
    <t>Profil BOX anoda e6-k1 2m</t>
  </si>
  <si>
    <t>18009ANODA_3</t>
  </si>
  <si>
    <t>Profil BOX anoda e6-k1 3m</t>
  </si>
  <si>
    <t>18010ANODA_1</t>
  </si>
  <si>
    <t>Profil NIBO anoda e6-k1 1m</t>
  </si>
  <si>
    <t>NIBO sprawdza się jako estetyczna obudowa zasilaczy</t>
  </si>
  <si>
    <t>18010ANODA_2</t>
  </si>
  <si>
    <t>Profil NIBO anoda e6-k1 2m</t>
  </si>
  <si>
    <t>18010ANODA_3</t>
  </si>
  <si>
    <t>Profil NIBO anoda e6-k1 3m</t>
  </si>
  <si>
    <t>18011ANODA_1</t>
  </si>
  <si>
    <t>Profil INTER anoda e6-k1 1m</t>
  </si>
  <si>
    <t>INTER sprawdza się jako estetyczna obudowa zasilaczy i diod LED</t>
  </si>
  <si>
    <t>18011ANODA_2</t>
  </si>
  <si>
    <t>Profil INTER anoda e6-k1 2m</t>
  </si>
  <si>
    <t>18011ANODA_3</t>
  </si>
  <si>
    <t>Profil INTER anoda e6-k1 3m</t>
  </si>
  <si>
    <t>18012ANODA_1</t>
  </si>
  <si>
    <t>Profil IMET anoda e6-k1 1m</t>
  </si>
  <si>
    <t>IMET sprawdza się jako estetyczna obudowa zasilaczy i diod LED</t>
  </si>
  <si>
    <t>18012ANODA_2</t>
  </si>
  <si>
    <t>Profil IMET anoda e6-k1 2m</t>
  </si>
  <si>
    <t>18012ANODA_3</t>
  </si>
  <si>
    <t>Profil IMET anoda e6-k1 3m</t>
  </si>
  <si>
    <t>18013ANODA_1</t>
  </si>
  <si>
    <t>Profil IKON anoda e6-k1 1m</t>
  </si>
  <si>
    <t>IKON działa jako estetyczna obudowa zasilaczy i diod LED</t>
  </si>
  <si>
    <t>18013ANODA_2</t>
  </si>
  <si>
    <t>Profil IKON anoda e6-k1 2m</t>
  </si>
  <si>
    <t>18013ANODA_3</t>
  </si>
  <si>
    <t>Profil IKON anoda e6-k1 3m</t>
  </si>
  <si>
    <t>18014ANODA_1</t>
  </si>
  <si>
    <t>Profil IDOL anoda e6-k1 1m</t>
  </si>
  <si>
    <t>IDOL sprawdza się jako estetyczna obudowa zasilaczy LED</t>
  </si>
  <si>
    <t>18014ANODA_2</t>
  </si>
  <si>
    <t>Profil IDOL anoda e6-k1 2m</t>
  </si>
  <si>
    <t>18014ANODA_3</t>
  </si>
  <si>
    <t>Profil IDOL anoda e6-k1 3m</t>
  </si>
  <si>
    <t>B6593ANODA_1</t>
  </si>
  <si>
    <t>Profil SEPOD anoda e6-k1 1m</t>
  </si>
  <si>
    <t>Używać z osłonką 17081, 17085, 17083, 17084</t>
  </si>
  <si>
    <t>B6593ANODA_2</t>
  </si>
  <si>
    <t>Profil SEPOD anoda e6-k1 2m</t>
  </si>
  <si>
    <t>B6593ANODA_3</t>
  </si>
  <si>
    <t>Profil SEPOD anoda e6-k1 3m</t>
  </si>
  <si>
    <t>18020ANODA_1</t>
  </si>
  <si>
    <t>Profil TESPO anoda e6-k1 1m</t>
  </si>
  <si>
    <t>Stosować z zaślepką ref. 24105</t>
  </si>
  <si>
    <t>18020ANODA_2</t>
  </si>
  <si>
    <t>Profil TESPO anoda e6-k1 2m</t>
  </si>
  <si>
    <t>18020ANODA_3</t>
  </si>
  <si>
    <t>Profil TESPO anoda e6-k1 3m</t>
  </si>
  <si>
    <t>B6597ANODA_1</t>
  </si>
  <si>
    <t>Profil SEKODU anoda e6-k1 1m</t>
  </si>
  <si>
    <t>Stosować z osłonką ref. 17081</t>
  </si>
  <si>
    <t>B6597ANODA_2</t>
  </si>
  <si>
    <t>Profil SEKODU anoda e6-k1 2m</t>
  </si>
  <si>
    <t>B6597ANODA_3</t>
  </si>
  <si>
    <t>Profil SEKODU anoda e6-k1 3m</t>
  </si>
  <si>
    <t>B6595ANODA_1</t>
  </si>
  <si>
    <t>Profil SEKOMA anoda e6-k1 1m</t>
  </si>
  <si>
    <t>B6595ANODA_2</t>
  </si>
  <si>
    <t>Profil SEKOMA anoda e6-k1 2m</t>
  </si>
  <si>
    <t>B6595ANODA_3</t>
  </si>
  <si>
    <t>Profil SEKOMA anoda e6-k1 3m</t>
  </si>
  <si>
    <t>18021V1NA_1</t>
  </si>
  <si>
    <t>Profil TESE surowy 1m</t>
  </si>
  <si>
    <t>Stosować z zaślepką ref. 24047</t>
  </si>
  <si>
    <t>18021V1NA_2</t>
  </si>
  <si>
    <t>Profil TESE surowy 2m</t>
  </si>
  <si>
    <t>18021V1NA_3</t>
  </si>
  <si>
    <t>Profil TESE surowy 3m</t>
  </si>
  <si>
    <t>B8332V1NA_1</t>
  </si>
  <si>
    <t>Profil FOLED surowy 1m</t>
  </si>
  <si>
    <t>Profil anodowany, stosować z osłonką ref. 17077</t>
  </si>
  <si>
    <t>B8332V1NA_2</t>
  </si>
  <si>
    <t>Profil FOLED surowy 2m</t>
  </si>
  <si>
    <t>B8332V1NA_3</t>
  </si>
  <si>
    <t>Profil FOLED surowy 3m</t>
  </si>
  <si>
    <t>B8333V1NA_1</t>
  </si>
  <si>
    <t>Profil FOLED-SUF surowy 1m</t>
  </si>
  <si>
    <t>Profil anodowany, Używać z osłonką ref. 17077</t>
  </si>
  <si>
    <t>B8333V1NA_2</t>
  </si>
  <si>
    <t>Profil FOLED-SUF surowy 2m</t>
  </si>
  <si>
    <t>B8333V1NA_3</t>
  </si>
  <si>
    <t>Profil FOLED-SUF surowy 3m</t>
  </si>
  <si>
    <t>B8334V1NA_1</t>
  </si>
  <si>
    <t>Profil FOLED-BOK surowy 1m</t>
  </si>
  <si>
    <t>B8334V1NA_2</t>
  </si>
  <si>
    <t>Profil FOLED-BOK surowy 2m</t>
  </si>
  <si>
    <t>B8334V1NA_3</t>
  </si>
  <si>
    <t>Profil FOLED-BOK surowy 3m</t>
  </si>
  <si>
    <t>C3632NA_1</t>
  </si>
  <si>
    <t>FOLED-50 raw-aluminum Extrusion 1m</t>
  </si>
  <si>
    <t>non-anodized Extrusion, use with ref. Cover 17171, end cap ref. 24294, 42676</t>
  </si>
  <si>
    <t>C3632NA_2</t>
  </si>
  <si>
    <t>FOLED-50 raw-aluminum Extrusion 2m</t>
  </si>
  <si>
    <t>C3632NA_3</t>
  </si>
  <si>
    <t>FOLED-50 raw-aluminum Extrusion 3m</t>
  </si>
  <si>
    <t>C3631NA_1</t>
  </si>
  <si>
    <t>FOLED-SUF-50 raw-aluminum Extrusion 1m</t>
  </si>
  <si>
    <t>C3631NA_2</t>
  </si>
  <si>
    <t>FOLED-SUF-50 raw-aluminum Extrusion 2m</t>
  </si>
  <si>
    <t>C3631NA_3</t>
  </si>
  <si>
    <t>FOLED-SUF-50 raw-aluminum Extrusion 3m</t>
  </si>
  <si>
    <t>SA57945NA_1</t>
  </si>
  <si>
    <t>Profil FOLED-50-BOK surowy 1m</t>
  </si>
  <si>
    <t>Dla sufitów podwieszanych z folii np.: Barisol z przeznaczeniem obniżania sufitu</t>
  </si>
  <si>
    <t>SA57945NA_2</t>
  </si>
  <si>
    <t>Profil FOLED-50-BOK surowy 2m</t>
  </si>
  <si>
    <t>SA57945NA_3</t>
  </si>
  <si>
    <t>Profil FOLED-50-BOK surowy 3m</t>
  </si>
  <si>
    <t>B8338NA_1</t>
  </si>
  <si>
    <t>Profil FOLHAK surowy 1m</t>
  </si>
  <si>
    <t>Profil anodowany, stosować z ref. 79106, B8332NA, B8333NA, B8334NA</t>
  </si>
  <si>
    <t>B8338NA_2</t>
  </si>
  <si>
    <t>Profil FOLHAK surowy 2m</t>
  </si>
  <si>
    <t>H1179L9010OD_1</t>
  </si>
  <si>
    <t>Profil POKET lakier RAL9010 1m</t>
  </si>
  <si>
    <t>H1179L9010OD_2</t>
  </si>
  <si>
    <t>Profil POKET lakier RAL9010 2m</t>
  </si>
  <si>
    <t>H1179L9010OD_3</t>
  </si>
  <si>
    <t>Profil POKET lakier RAL9010 3m</t>
  </si>
  <si>
    <t>H1179NA_1</t>
  </si>
  <si>
    <t>Profil POKET surowy 1000</t>
  </si>
  <si>
    <t>H1179NA_2</t>
  </si>
  <si>
    <t>Profil POKET surowy 2005</t>
  </si>
  <si>
    <t>H1179NA_3</t>
  </si>
  <si>
    <t>Profil POKET surowy 3m</t>
  </si>
  <si>
    <t>H1234L9010OD_1</t>
  </si>
  <si>
    <t>Profil POK-US lakier RAL9010 1m</t>
  </si>
  <si>
    <t>H1234L9010OD_2</t>
  </si>
  <si>
    <t>Profil POK-US lakier RAL9010 2m</t>
  </si>
  <si>
    <t>H1234L9010OD_3</t>
  </si>
  <si>
    <t>Profil POK-US lakier RAL9010 3m</t>
  </si>
  <si>
    <t>H1234NA_1</t>
  </si>
  <si>
    <t>Profil POK-US surowy 1m</t>
  </si>
  <si>
    <t>H1234NA_2</t>
  </si>
  <si>
    <t>Profil POK-US surowy 2m</t>
  </si>
  <si>
    <t>H1234NA_3</t>
  </si>
  <si>
    <t>Profil POK-US surowy 3m</t>
  </si>
  <si>
    <t>H1177L9010OD_1</t>
  </si>
  <si>
    <t>Profil DIPOKET lakier RAL9010 1m</t>
  </si>
  <si>
    <t>H1177L9010OD_2</t>
  </si>
  <si>
    <t>Profil DIPOKET lakier RAL9010 2m</t>
  </si>
  <si>
    <t>H1177L9010OD_3</t>
  </si>
  <si>
    <t>Profil DIPOKET lakier RAL9010 3m</t>
  </si>
  <si>
    <t>H1177NA_1</t>
  </si>
  <si>
    <t>Profil DIPOKET surowy 1m</t>
  </si>
  <si>
    <t>H1177NA_2</t>
  </si>
  <si>
    <t>Profil DIPOKET surowy 2m</t>
  </si>
  <si>
    <t>H1177NA_3</t>
  </si>
  <si>
    <t>Profil DIPOKET surowy 3m</t>
  </si>
  <si>
    <t>H1233L9010OD_1</t>
  </si>
  <si>
    <t>Profil DIPOK-US lakier RAL9010 1m</t>
  </si>
  <si>
    <t>H1233L9010OD_2</t>
  </si>
  <si>
    <t>Profil DIPOK-US lakier RAL9010 2m</t>
  </si>
  <si>
    <t>H1233L9010OD_3</t>
  </si>
  <si>
    <t>Profil DIPOK-US lakier RAL9010 3m</t>
  </si>
  <si>
    <t>H1233NA_1</t>
  </si>
  <si>
    <t>Profil DIPOK-US surowy 1m</t>
  </si>
  <si>
    <t>H1233NA_2</t>
  </si>
  <si>
    <t>Profil DIPOK-US surowy 2m</t>
  </si>
  <si>
    <t>H1233NA_3</t>
  </si>
  <si>
    <t>Profil DIPOK-US surowy 3m</t>
  </si>
  <si>
    <t>C4106ANODA_1</t>
  </si>
  <si>
    <t>Profil PLAKIN-DUO anoda e6-k1 1m</t>
  </si>
  <si>
    <t>konieczny zakup razem z Listwą Montażową C20000C02 aby zamontować profil na ścianie</t>
  </si>
  <si>
    <t>C4106ANODA_2</t>
  </si>
  <si>
    <t>Profil PLAKIN-DUO anoda e6-k1 2m</t>
  </si>
  <si>
    <t>C4106ANODA_3</t>
  </si>
  <si>
    <t>Profil PLAKIN-DUO anoda e6-k1 3m</t>
  </si>
  <si>
    <t>C4106K7_1</t>
  </si>
  <si>
    <t>Profil PLAKIN-DUO anoda e6-k7 1m</t>
  </si>
  <si>
    <t>C4106K7_2</t>
  </si>
  <si>
    <t>Profil PLAKIN-DUO anoda e6-k7 2m</t>
  </si>
  <si>
    <t>C4106K7_3</t>
  </si>
  <si>
    <t>Profil PLAKIN-DUO anoda e6-k7 3m</t>
  </si>
  <si>
    <t>A04106L10_1</t>
  </si>
  <si>
    <t>Profil PLAKIN-DUO lakierowany biały</t>
  </si>
  <si>
    <t>A04106L10_2</t>
  </si>
  <si>
    <t>A04106L10_3</t>
  </si>
  <si>
    <t>C4106NA_1</t>
  </si>
  <si>
    <t>Profil PLAKIN-DUO surowy 1m</t>
  </si>
  <si>
    <t>C4106NA_2</t>
  </si>
  <si>
    <t>Profil PLAKIN-DUO surowy 2m</t>
  </si>
  <si>
    <t>C4106NA_3</t>
  </si>
  <si>
    <t>Profil PLAKIN-DUO surowy 3m</t>
  </si>
  <si>
    <t>17034_1</t>
  </si>
  <si>
    <t>Osłona PIKO mleczna 1m</t>
  </si>
  <si>
    <t>Osłona mleczna dedykowana do profili LINO, PIKO</t>
  </si>
  <si>
    <t>17034_2</t>
  </si>
  <si>
    <t>Osłona PIKO mleczna 2m</t>
  </si>
  <si>
    <t>17034_3</t>
  </si>
  <si>
    <t>Osłona PIKO mleczna 3m</t>
  </si>
  <si>
    <t>17164_1</t>
  </si>
  <si>
    <t>Osłona LUK-10 1m</t>
  </si>
  <si>
    <t>Osłona do profili PIKO-O</t>
  </si>
  <si>
    <t>17164_2</t>
  </si>
  <si>
    <t>Osłona LUK-10 2m</t>
  </si>
  <si>
    <t>17164_3</t>
  </si>
  <si>
    <t>Osłona LUK-10 3m</t>
  </si>
  <si>
    <t>17090_1</t>
  </si>
  <si>
    <t>Osłona LUK-10 mrożona 1m</t>
  </si>
  <si>
    <t>17090_2</t>
  </si>
  <si>
    <t>Osłona LUK-10 mrożona 2m</t>
  </si>
  <si>
    <t>17090_3</t>
  </si>
  <si>
    <t>Osłona LUK-10 mrożona 3m</t>
  </si>
  <si>
    <t>17088_1</t>
  </si>
  <si>
    <t>Osłona LUK-10 czarna 1m</t>
  </si>
  <si>
    <t>17088_2</t>
  </si>
  <si>
    <t>Osłona LUK-10 czarna 2m</t>
  </si>
  <si>
    <t>17088_3</t>
  </si>
  <si>
    <t>Osłona LUK-10 czarna 3m</t>
  </si>
  <si>
    <t>00220_1</t>
  </si>
  <si>
    <t>Osłona S przezroczysta 1m</t>
  </si>
  <si>
    <t>Osłona przeźroczysta skupiająca wiązkę światła, kąt świecenie dla:PDS-4, PDS-O, PDS4-K, 45-ALU - 10° , Micro, Micro-K - 60°, REGULOR ZWK - 10°, 30°, 60°, 90° (nie stosować z profilami MDF)</t>
  </si>
  <si>
    <t>00220_2</t>
  </si>
  <si>
    <t>Osłona S przezroczysta 2m</t>
  </si>
  <si>
    <t>00220_3</t>
  </si>
  <si>
    <t>Osłona S przezroczysta 3m</t>
  </si>
  <si>
    <t>17111_1</t>
  </si>
  <si>
    <t>Osłona S satyna 1m</t>
  </si>
  <si>
    <t>Osłona przeźroczysta o powierzchni matowej skupiająca wiązkę światła, kąt świecenie dla: PDS4, PDSO, PDS4-K, 45-ALU - 10°, Micro, Micro-K - 60°, REGULOR ZWK- 10°, 30°, 60°, 90° (nie stosować z profilami MDF)</t>
  </si>
  <si>
    <t>17111_2</t>
  </si>
  <si>
    <t>Osłona S satyna 2m</t>
  </si>
  <si>
    <t>17111_3</t>
  </si>
  <si>
    <t>Osłona S satyna 3m</t>
  </si>
  <si>
    <t>17015_1</t>
  </si>
  <si>
    <t>Osłona T mleczna 1m</t>
  </si>
  <si>
    <t>Osłona 100, 200 cm, dla profili TAMI, TAN-C5, TAKO, TOST</t>
  </si>
  <si>
    <t>17015_2</t>
  </si>
  <si>
    <t>Osłona T mleczna 2m</t>
  </si>
  <si>
    <t>17076_1</t>
  </si>
  <si>
    <t>Osłona PDS-LUK mleczna 1m</t>
  </si>
  <si>
    <t>Osłona do profili PDS-O, OLEK</t>
  </si>
  <si>
    <t>17076_2</t>
  </si>
  <si>
    <t>Osłona PDS-LUK mleczna 2m</t>
  </si>
  <si>
    <t>17076_3</t>
  </si>
  <si>
    <t>Osłona PDS-LUK mleczna 3m</t>
  </si>
  <si>
    <t>17162V1_1</t>
  </si>
  <si>
    <t>Osłona JAZ mleczna 1m</t>
  </si>
  <si>
    <t>Używać z zaślepkami 24224V1, Osłona do profili JAZ</t>
  </si>
  <si>
    <t>17162V1_2</t>
  </si>
  <si>
    <t>Osłona JAZ mleczna 2m</t>
  </si>
  <si>
    <t>17162V1_3</t>
  </si>
  <si>
    <t>Osłona JAZ mleczna 3m</t>
  </si>
  <si>
    <t>17163_1</t>
  </si>
  <si>
    <t>Osłona JAZ-DUO mleczna 1m</t>
  </si>
  <si>
    <t>Używać z zaślepkami 42641, 42644, Osłona do profili JAZ-DUO</t>
  </si>
  <si>
    <t>17163_2</t>
  </si>
  <si>
    <t>Osłona JAZ-DUO mleczna 2m</t>
  </si>
  <si>
    <t>17163_3</t>
  </si>
  <si>
    <t>Osłona JAZ-DUO mleczna 3m</t>
  </si>
  <si>
    <t>17141_1</t>
  </si>
  <si>
    <t>Osłona 3035 mleczna 1m</t>
  </si>
  <si>
    <t>Osłona do profili 3035, 3035-O</t>
  </si>
  <si>
    <t>17141_2</t>
  </si>
  <si>
    <t>Osłona 3035 mleczna 2m</t>
  </si>
  <si>
    <t>17141_3</t>
  </si>
  <si>
    <t>Osłona 3035 mleczna 3m</t>
  </si>
  <si>
    <t>17141_10</t>
  </si>
  <si>
    <t>Osłona 3035 mleczna 10m</t>
  </si>
  <si>
    <t>17038_1</t>
  </si>
  <si>
    <t>Osłona M-K mleczna 1m</t>
  </si>
  <si>
    <t>Osłona do profilu MICRO-ALU</t>
  </si>
  <si>
    <t>17038_2</t>
  </si>
  <si>
    <t>Osłona M-K mleczna 2m</t>
  </si>
  <si>
    <t>17038_3</t>
  </si>
  <si>
    <t>Osłona M-K mleczna 3m</t>
  </si>
  <si>
    <t>17179_1</t>
  </si>
  <si>
    <t>Osłona KA-COM mleczna 1m</t>
  </si>
  <si>
    <t>Nowa Osłona do profili: PDS4-ALU, PDS-O, PDS4-K, PDS ZM, MICRO-ALU, MICRO-K, 45-ALU, GLAD 45, KUBIK 45, REGULOR ZWK, STEP KPL., POLI, DES KPL., LIT-L KPL., OBIT</t>
  </si>
  <si>
    <t>17179_2</t>
  </si>
  <si>
    <t>Osłona KA-COM mleczna 2m</t>
  </si>
  <si>
    <t>17179_3</t>
  </si>
  <si>
    <t>Osłona KA-COM mleczna 3m</t>
  </si>
  <si>
    <t>17122_1</t>
  </si>
  <si>
    <t>Osłona KA-COM przeźroczysta 1m</t>
  </si>
  <si>
    <t>17122_2</t>
  </si>
  <si>
    <t>Osłona KA-COM przeźroczysta 2m</t>
  </si>
  <si>
    <t>17122_3</t>
  </si>
  <si>
    <t>Osłona KA-COM przeźroczysta 3m</t>
  </si>
  <si>
    <t>17035_1</t>
  </si>
  <si>
    <t>Osłona KA mleczna 1m</t>
  </si>
  <si>
    <t>Osłona do profili: PDS-NK, PDS-4-PLUS, PDS4-ALU, PDS-O, PDS4-K, PDS-ZM, MICRO-NK, MICRO-PLUS, MICRO-ALU, MICRO-K, 45-ALU, GLAD-45, KUBIK-45, REGULOR, STEP, POLI, DES, LIT-L, OBIT</t>
  </si>
  <si>
    <t>17035_2</t>
  </si>
  <si>
    <t>Osłona KA mleczna 2m</t>
  </si>
  <si>
    <t>17035_3</t>
  </si>
  <si>
    <t>Osłona KA mleczna 3m</t>
  </si>
  <si>
    <t>17036_1</t>
  </si>
  <si>
    <t>Osłona KA przezroczysta 1m</t>
  </si>
  <si>
    <t>17036_2</t>
  </si>
  <si>
    <t>Osłona KA przezroczysta 2m</t>
  </si>
  <si>
    <t>17036_3</t>
  </si>
  <si>
    <t>Osłona KA przezroczysta 3m</t>
  </si>
  <si>
    <t>17064_1</t>
  </si>
  <si>
    <t>Osłona KA-PRO mleczna 1m</t>
  </si>
  <si>
    <t>17064_2</t>
  </si>
  <si>
    <t>Osłona KA-PRO mleczna 2m</t>
  </si>
  <si>
    <t>17064_3</t>
  </si>
  <si>
    <t>Osłona KA-PRO mleczna 3m</t>
  </si>
  <si>
    <t>17065_1</t>
  </si>
  <si>
    <t>Osłona KA-PRO przezroczysta 1m</t>
  </si>
  <si>
    <t>17065_2</t>
  </si>
  <si>
    <t>Osłona KA-PRO przezroczysta 2m</t>
  </si>
  <si>
    <t>17065_3</t>
  </si>
  <si>
    <t>Osłona KA-PRO przezroczysta 3m</t>
  </si>
  <si>
    <t>1369_1</t>
  </si>
  <si>
    <t>Osłona HS mleczna 1m</t>
  </si>
  <si>
    <t>1369_2</t>
  </si>
  <si>
    <t>Osłona HS mleczna 2m</t>
  </si>
  <si>
    <t>1369_3</t>
  </si>
  <si>
    <t>Osłona HS mleczna 3m</t>
  </si>
  <si>
    <t>1370_1</t>
  </si>
  <si>
    <t>Osłona HS przezroczysta 1m</t>
  </si>
  <si>
    <t>1370_2</t>
  </si>
  <si>
    <t>Osłona HS przezroczysta 2m</t>
  </si>
  <si>
    <t>1370_3</t>
  </si>
  <si>
    <t>Osłona HS przezroczysta 3m</t>
  </si>
  <si>
    <t>17037_1</t>
  </si>
  <si>
    <t>Osłona LIGER mleczna 1m</t>
  </si>
  <si>
    <t>17037_2</t>
  </si>
  <si>
    <t>Osłona LIGER mleczna 2m</t>
  </si>
  <si>
    <t>17037_3</t>
  </si>
  <si>
    <t>Osłona LIGER mleczna 3m</t>
  </si>
  <si>
    <t>17037_6</t>
  </si>
  <si>
    <t>Osłona LIGER mleczna 6m</t>
  </si>
  <si>
    <t>17037_10</t>
  </si>
  <si>
    <t>Osłona LIGER mleczna 10m</t>
  </si>
  <si>
    <t>17040_1</t>
  </si>
  <si>
    <t>Osłona LIGER czarna 1m</t>
  </si>
  <si>
    <t>17040_2</t>
  </si>
  <si>
    <t>Osłona LIGER czarna 2m</t>
  </si>
  <si>
    <t>17040_3</t>
  </si>
  <si>
    <t>Osłona LIGER czarna 3m</t>
  </si>
  <si>
    <t>17039_1</t>
  </si>
  <si>
    <t>Osłona SILER mleczna 1m</t>
  </si>
  <si>
    <t>dla profili SILER</t>
  </si>
  <si>
    <t>17039_2</t>
  </si>
  <si>
    <t>Osłona SILER mleczna 2m</t>
  </si>
  <si>
    <t>17039_3</t>
  </si>
  <si>
    <t>Osłona SILER mleczna 3m</t>
  </si>
  <si>
    <t>17049_1</t>
  </si>
  <si>
    <t>Osłona SILER transparentna 1m</t>
  </si>
  <si>
    <t>17049_2</t>
  </si>
  <si>
    <t>Osłona SILER transparentna 2m</t>
  </si>
  <si>
    <t>17049_3</t>
  </si>
  <si>
    <t>Osłona SILER transparentna 3m</t>
  </si>
  <si>
    <t>17066_1</t>
  </si>
  <si>
    <t>Osłona KA-PRO-12 mleczna 1m</t>
  </si>
  <si>
    <t>Osłona dla profili : STOS-ALU, PAC-ALU, TRIADA, TRIADA-K</t>
  </si>
  <si>
    <t>17066_2</t>
  </si>
  <si>
    <t>Osłona KA-PRO-12 mleczna 2m</t>
  </si>
  <si>
    <t>17066_3</t>
  </si>
  <si>
    <t>Osłona KA-PRO-12 mleczna 3m</t>
  </si>
  <si>
    <t>17067_1</t>
  </si>
  <si>
    <t>Osłona KA-PRO-12 przezroczysta 1m</t>
  </si>
  <si>
    <t>17067_2</t>
  </si>
  <si>
    <t>Osłona KA-PRO-12 przezroczysta 2m</t>
  </si>
  <si>
    <t>17067_3</t>
  </si>
  <si>
    <t>Osłona KA-PRO-12 przezroczysta 3m</t>
  </si>
  <si>
    <t>17078_1</t>
  </si>
  <si>
    <t>Osłona KA-12 mleczna 1m</t>
  </si>
  <si>
    <t>17078_2</t>
  </si>
  <si>
    <t>Osłona KA-12 mleczna 2m</t>
  </si>
  <si>
    <t>17078_3</t>
  </si>
  <si>
    <t>Osłona KA-12 mleczna 3m</t>
  </si>
  <si>
    <t>17079_1</t>
  </si>
  <si>
    <t>Osłona KA-12 przezroczysta 1m</t>
  </si>
  <si>
    <t>17079_2</t>
  </si>
  <si>
    <t>Osłona KA-12 przezroczysta 2m</t>
  </si>
  <si>
    <t>17079_3</t>
  </si>
  <si>
    <t>Osłona KA-12 przezroczysta 3m</t>
  </si>
  <si>
    <t>00157_1</t>
  </si>
  <si>
    <t>Osłona HS-12 mleczna 1m</t>
  </si>
  <si>
    <t>00157_2</t>
  </si>
  <si>
    <t>Osłona HS-12 mleczna 2m</t>
  </si>
  <si>
    <t>00157_3</t>
  </si>
  <si>
    <t>Osłona HS-12 mleczna 3m</t>
  </si>
  <si>
    <t>00158_1</t>
  </si>
  <si>
    <t>Osłona HS-12 przezroczysta 1m</t>
  </si>
  <si>
    <t>00158_2</t>
  </si>
  <si>
    <t>Osłona HS-12 przezroczysta 2m</t>
  </si>
  <si>
    <t>00158_3</t>
  </si>
  <si>
    <t>Osłona HS-12 przezroczysta 3m</t>
  </si>
  <si>
    <t>17093_1</t>
  </si>
  <si>
    <t>Osłona KOPRO -K mleczna 1m</t>
  </si>
  <si>
    <t>Osłona dla profili : KOPRO, KOPRO-30</t>
  </si>
  <si>
    <t>17093_2</t>
  </si>
  <si>
    <t>Osłona KOPRO -K mleczna 2m</t>
  </si>
  <si>
    <t>17093_3</t>
  </si>
  <si>
    <t>Osłona KOPRO -K mleczna 3m</t>
  </si>
  <si>
    <t>17092_1</t>
  </si>
  <si>
    <t>Osłona KOPRO -L mleczna 1m</t>
  </si>
  <si>
    <t>17092_2</t>
  </si>
  <si>
    <t>Osłona KOPRO -L mleczna 2m</t>
  </si>
  <si>
    <t>17092_3</t>
  </si>
  <si>
    <t>Osłona KOPRO -L mleczna 3m</t>
  </si>
  <si>
    <t>17091_1</t>
  </si>
  <si>
    <t>Osłona KOPRO -P mleczna 1m</t>
  </si>
  <si>
    <t>17091_2</t>
  </si>
  <si>
    <t>Osłona KOPRO -P mleczna 2m</t>
  </si>
  <si>
    <t>17091_3</t>
  </si>
  <si>
    <t>Osłona KOPRO -P mleczna 3m</t>
  </si>
  <si>
    <t>17006_1</t>
  </si>
  <si>
    <t>Osłona G-L przezroczysta 1m</t>
  </si>
  <si>
    <t>Osłona dla profili : GIP, GIZA, LIPOD, LOKOM, LARKO, LESTO</t>
  </si>
  <si>
    <t>17006_2</t>
  </si>
  <si>
    <t>Osłona G-L przezroczysta 2m</t>
  </si>
  <si>
    <t>17006_3</t>
  </si>
  <si>
    <t>Osłona G-L przezroczysta 3m</t>
  </si>
  <si>
    <t>17017_1</t>
  </si>
  <si>
    <t>Osłona G-L mrożona 1m</t>
  </si>
  <si>
    <t>17017_2</t>
  </si>
  <si>
    <t>Osłona G-L mrożona 2m</t>
  </si>
  <si>
    <t>17017_3</t>
  </si>
  <si>
    <t>Osłona G-L mrożona 3m</t>
  </si>
  <si>
    <t>17010_1</t>
  </si>
  <si>
    <t>Osłona G-L mleczna 1m</t>
  </si>
  <si>
    <t>Osłona dla profili : GIP, GIZA, LIPOD, LOKOM, LARKO, LESTO, pprzepuszczalność 66%</t>
  </si>
  <si>
    <t>17010_2</t>
  </si>
  <si>
    <t>Osłona G-L mleczna 2m</t>
  </si>
  <si>
    <t>17010_3</t>
  </si>
  <si>
    <t>Osłona G-L mleczna 3m</t>
  </si>
  <si>
    <t>17012_1</t>
  </si>
  <si>
    <t>Osłona G-L czarna 1m</t>
  </si>
  <si>
    <t>17012_2</t>
  </si>
  <si>
    <t>Osłona G-L czarna 2m</t>
  </si>
  <si>
    <t>17012_3</t>
  </si>
  <si>
    <t>Osłona G-L czarna 3m</t>
  </si>
  <si>
    <t>17016_1</t>
  </si>
  <si>
    <t>Osłona G-K mrożona 1m</t>
  </si>
  <si>
    <t>17016_2</t>
  </si>
  <si>
    <t>Osłona G-K mrożona 2m</t>
  </si>
  <si>
    <t>17016_3</t>
  </si>
  <si>
    <t>Osłona G-K mrożona 3m</t>
  </si>
  <si>
    <t>17013_1</t>
  </si>
  <si>
    <t>Osłona G-K mleczna 1m</t>
  </si>
  <si>
    <t>Osłona dla profili : GIP, GIZA, LIPOD, LOKOM, LARKO, LESTO, przepuszczalność 66%</t>
  </si>
  <si>
    <t>17013_2</t>
  </si>
  <si>
    <t>Osłona G-K mleczna 2m</t>
  </si>
  <si>
    <t>17013_3</t>
  </si>
  <si>
    <t>Osłona G-K mleczna 3m</t>
  </si>
  <si>
    <t>17014_1</t>
  </si>
  <si>
    <t>Osłona G-K czarna 1m</t>
  </si>
  <si>
    <t>17014_2</t>
  </si>
  <si>
    <t>Osłona G-K czarna 2m</t>
  </si>
  <si>
    <t>17014_3</t>
  </si>
  <si>
    <t>Osłona G-K czarna 3m</t>
  </si>
  <si>
    <t>17011_1</t>
  </si>
  <si>
    <t>Osłona HS-22 mleczna 1m</t>
  </si>
  <si>
    <t>Osłona dla profili : GIZA, LIPOD, LOKOM, LARKO, LEST, KOZEL, KOZUS, KIDES DUO KPL.</t>
  </si>
  <si>
    <t>17011_2</t>
  </si>
  <si>
    <t>Osłona HS-22 mleczna 2m</t>
  </si>
  <si>
    <t>17011_3</t>
  </si>
  <si>
    <t>Osłona HS-22 mleczna 3m</t>
  </si>
  <si>
    <t>17022_1</t>
  </si>
  <si>
    <t>Osłona HS-22 przezroczysta 1m</t>
  </si>
  <si>
    <t>17022_2</t>
  </si>
  <si>
    <t>Osłona HS-22 przezroczysta 2m</t>
  </si>
  <si>
    <t>17022_3</t>
  </si>
  <si>
    <t>Osłona HS-22 przezroczysta 3m</t>
  </si>
  <si>
    <t>17032V1_1</t>
  </si>
  <si>
    <t>Osłona LIGER-22 mleczna 1m</t>
  </si>
  <si>
    <t>17032V1_2</t>
  </si>
  <si>
    <t>Osłona LIGER-22 mleczna 2m</t>
  </si>
  <si>
    <t>17032V1_3</t>
  </si>
  <si>
    <t>Osłona LIGER-22 mleczna 3m</t>
  </si>
  <si>
    <t>17032V1_6</t>
  </si>
  <si>
    <t>Osłona LIGER-22 mleczna 6m</t>
  </si>
  <si>
    <t>17032V1_10</t>
  </si>
  <si>
    <t>Osłona LIGER-22 mleczna 10m</t>
  </si>
  <si>
    <t>17032V1OP_10</t>
  </si>
  <si>
    <t>Osłona LIGER-22-10m mleczna</t>
  </si>
  <si>
    <t>17087_1</t>
  </si>
  <si>
    <t>Osłona LIGER-22 czarna PC 1m</t>
  </si>
  <si>
    <t>17087_2</t>
  </si>
  <si>
    <t>Osłona LIGER-22 czarna PC 2m</t>
  </si>
  <si>
    <t>17087_3</t>
  </si>
  <si>
    <t>Osłona LIGER-22 czarna PC 3m</t>
  </si>
  <si>
    <t>17042_1</t>
  </si>
  <si>
    <t>Osłona MUN-22 mrożona 1m</t>
  </si>
  <si>
    <t>17042_2</t>
  </si>
  <si>
    <t>Osłona MUN-22 mrożona 2m</t>
  </si>
  <si>
    <t>17042_3</t>
  </si>
  <si>
    <t>Osłona MUN-22 mrożona 3m</t>
  </si>
  <si>
    <t>17124_1</t>
  </si>
  <si>
    <t>Wkładka ochronna TECH-22 1m</t>
  </si>
  <si>
    <t>Używać w profilach : KOZUS, KOZEL, KOZUS-CR</t>
  </si>
  <si>
    <t>17124_2</t>
  </si>
  <si>
    <t>Wkładka ochronna TECH-22 2m</t>
  </si>
  <si>
    <t>17124_3</t>
  </si>
  <si>
    <t>Wkładka ochronna TECH-22 3m</t>
  </si>
  <si>
    <t>17168_1</t>
  </si>
  <si>
    <t>Wkładka ochronna TECH-28 1m</t>
  </si>
  <si>
    <t>Używać z profilami TEKNIK, TEKNIK-ZM, TEKNIK-ZM-TK</t>
  </si>
  <si>
    <t>17168_2</t>
  </si>
  <si>
    <t>Wkładka ochronna TECH-28 2m</t>
  </si>
  <si>
    <t>17168_3</t>
  </si>
  <si>
    <t>Wkładka ochronna TECH-28 3m</t>
  </si>
  <si>
    <t>17056_1.5</t>
  </si>
  <si>
    <t>Osłona JUN-50 1,5m</t>
  </si>
  <si>
    <t>stosować z MOD-50, OMODO-50 profil ref. 18047ANODA, 18053ANODA</t>
  </si>
  <si>
    <t>17165_1.5</t>
  </si>
  <si>
    <t>Osłona JUN-100 1.5m</t>
  </si>
  <si>
    <t>stosować z MOD-100, OMODO-100 profil ref. 18049ANODA, 18058ANODA</t>
  </si>
  <si>
    <t>17169_1</t>
  </si>
  <si>
    <t>Osłona PRS-50 1m</t>
  </si>
  <si>
    <t>Używać z profilami ref.18047ANODA, 18053ANODA</t>
  </si>
  <si>
    <t>17169_2</t>
  </si>
  <si>
    <t>Osłona PRS-50 2m</t>
  </si>
  <si>
    <t>17169_3</t>
  </si>
  <si>
    <t>Osłona PRS-50 3m</t>
  </si>
  <si>
    <t>17169OP_10</t>
  </si>
  <si>
    <t>Osłona PRS-50 10m</t>
  </si>
  <si>
    <t>17057_1</t>
  </si>
  <si>
    <t>Osłona POL-40 mleczna 1m</t>
  </si>
  <si>
    <t>Używać z profilami 4050, 4050-W ref.18050ANODA, 18051ANODA</t>
  </si>
  <si>
    <t>17057_2</t>
  </si>
  <si>
    <t>Osłona POL-40 mleczna 2m</t>
  </si>
  <si>
    <t>17057_3</t>
  </si>
  <si>
    <t>Osłona POL-40 mleczna 3m</t>
  </si>
  <si>
    <t>17058_1</t>
  </si>
  <si>
    <t>Osłona POL-50 1m</t>
  </si>
  <si>
    <t>Używać z profilami MOD-100, OMODO-100 ref. 18049ANODA, 18058ANODA</t>
  </si>
  <si>
    <t>17058_2</t>
  </si>
  <si>
    <t>Osłona POL-50 2m</t>
  </si>
  <si>
    <t>17058_3</t>
  </si>
  <si>
    <t>Osłona POL-50 3m</t>
  </si>
  <si>
    <t>17166_1</t>
  </si>
  <si>
    <t>Osłona POL-100 1m</t>
  </si>
  <si>
    <t>Używać z profilami MOD-100, OMODO-100 profil ref. 18049ANODA, 18058ANODA</t>
  </si>
  <si>
    <t>17166_2</t>
  </si>
  <si>
    <t>Osłona POL-100 2m</t>
  </si>
  <si>
    <t>17166_3</t>
  </si>
  <si>
    <t>Osłona POL-100 3m</t>
  </si>
  <si>
    <t>17003_1</t>
  </si>
  <si>
    <t>Odbłyśnik REFLEX 16-60 1m</t>
  </si>
  <si>
    <t>Używać z profilem MOD ref. 18047ANODA, 18049ANODA</t>
  </si>
  <si>
    <t>17003_2</t>
  </si>
  <si>
    <t>Odbłyśnik REFLEX 16-60 2m</t>
  </si>
  <si>
    <t>17003_3</t>
  </si>
  <si>
    <t>Odbłyśnik REFLEX 16-60 3m</t>
  </si>
  <si>
    <t>17086_1</t>
  </si>
  <si>
    <t>Osłona LIGER-50 mleczna 1m</t>
  </si>
  <si>
    <t>Używać z LARKO-50, KOZEL-50, KOZUS-50, LIPOD-50</t>
  </si>
  <si>
    <t>17086_2</t>
  </si>
  <si>
    <t>Osłona LIGER-50 mleczna 2m</t>
  </si>
  <si>
    <t>17086_3</t>
  </si>
  <si>
    <t>Osłona LIGER-50 mleczna 3m</t>
  </si>
  <si>
    <t>17086_10</t>
  </si>
  <si>
    <t>Osłona LIGER-50 mleczna 10m</t>
  </si>
  <si>
    <t>17089_1</t>
  </si>
  <si>
    <t>Osłona LIGER-50 czarna 1m</t>
  </si>
  <si>
    <t>17089_2</t>
  </si>
  <si>
    <t>Osłona LIGER-50 czarna 2m</t>
  </si>
  <si>
    <t>17089_3</t>
  </si>
  <si>
    <t>Osłona LIGER-50 czarna 3m</t>
  </si>
  <si>
    <t>17125_1</t>
  </si>
  <si>
    <t>Wkładka ochronna TECH-50 1m</t>
  </si>
  <si>
    <t>Używać z Profilami KOZUS-50, KOZEL-50</t>
  </si>
  <si>
    <t>17125_2</t>
  </si>
  <si>
    <t>Wkładka ochronna TECH-50 2m</t>
  </si>
  <si>
    <t>17125_3</t>
  </si>
  <si>
    <t>Wkładka ochronna TECH-50 3m</t>
  </si>
  <si>
    <t>17052_1</t>
  </si>
  <si>
    <t>jaz-duo</t>
  </si>
  <si>
    <t>Osłona dla profili :DES, OBIT</t>
  </si>
  <si>
    <t>17052_2</t>
  </si>
  <si>
    <t>Osłona DHS mleczna 2m</t>
  </si>
  <si>
    <t>17052_3</t>
  </si>
  <si>
    <t>Osłona DHS mleczna 3m</t>
  </si>
  <si>
    <t>17063_1</t>
  </si>
  <si>
    <t>Osłona DHS przezroczysta 1m</t>
  </si>
  <si>
    <t>17063_2</t>
  </si>
  <si>
    <t>Osłona DHS przezroczysta 2m</t>
  </si>
  <si>
    <t>17063_3</t>
  </si>
  <si>
    <t>Osłona DHS przezroczysta 3m</t>
  </si>
  <si>
    <t>17059_3</t>
  </si>
  <si>
    <t>Osłona JUN-47 3m</t>
  </si>
  <si>
    <t>Używać z profilami DES, GLADES</t>
  </si>
  <si>
    <t>17051_1</t>
  </si>
  <si>
    <t>Osłona HSP-47 mleczna 1m</t>
  </si>
  <si>
    <t>Osłona dla profili : INTER, IKON, IDOL, IMET, KIDES</t>
  </si>
  <si>
    <t>17051_2</t>
  </si>
  <si>
    <t>Osłona HSP-47 mleczna 2m</t>
  </si>
  <si>
    <t>17051_3</t>
  </si>
  <si>
    <t>Osłona HSP-47 mleczna 3m</t>
  </si>
  <si>
    <t>17062_1</t>
  </si>
  <si>
    <t>Osłona HSP-47 przezroczysta 1m</t>
  </si>
  <si>
    <t>17062_2</t>
  </si>
  <si>
    <t>Osłona HSP-47 przezroczysta 2m</t>
  </si>
  <si>
    <t>17062_3</t>
  </si>
  <si>
    <t>Osłona HSP-47 przezroczysta 3m</t>
  </si>
  <si>
    <t>17081_1</t>
  </si>
  <si>
    <t>Osłona SZER mleczna 1m</t>
  </si>
  <si>
    <t>83% przepuszczalność światła</t>
  </si>
  <si>
    <t>17081_2</t>
  </si>
  <si>
    <t>Osłona SZER mleczna 2m</t>
  </si>
  <si>
    <t>17081_3</t>
  </si>
  <si>
    <t>Osłona SZER mleczna 3m</t>
  </si>
  <si>
    <t>17082_1</t>
  </si>
  <si>
    <t>Osłona SZER przezroczysta 1m</t>
  </si>
  <si>
    <t>90% przepuszczalność światła</t>
  </si>
  <si>
    <t>17082_2</t>
  </si>
  <si>
    <t>Osłona SZER przezroczysta 2m</t>
  </si>
  <si>
    <t>17082_3</t>
  </si>
  <si>
    <t>Osłona SZER przezroczysta 3m</t>
  </si>
  <si>
    <t>17083_1</t>
  </si>
  <si>
    <t>Osłona SZER-L mleczna 1m</t>
  </si>
  <si>
    <t>52% przepuszczalność światła</t>
  </si>
  <si>
    <t>17083_2</t>
  </si>
  <si>
    <t>Osłona SZER-L mleczna 2m</t>
  </si>
  <si>
    <t>17083_3</t>
  </si>
  <si>
    <t>Osłona SZER-L mleczna 3m</t>
  </si>
  <si>
    <t>17084_1</t>
  </si>
  <si>
    <t>Osłona SZER-STRUKTURA mleczna 1m</t>
  </si>
  <si>
    <t>do profili SEKOMA, SEPOD, SEKODU</t>
  </si>
  <si>
    <t>17084_2</t>
  </si>
  <si>
    <t>Osłona SZER-STRUKTURA mleczna 2m</t>
  </si>
  <si>
    <t>17084_3</t>
  </si>
  <si>
    <t>Osłona SZER-STRUKTURA mleczna 3m</t>
  </si>
  <si>
    <t>17041_1</t>
  </si>
  <si>
    <t>Osłona MUN mrożona 1m</t>
  </si>
  <si>
    <t>Osłona do profilu Multi-A</t>
  </si>
  <si>
    <t>17041_2</t>
  </si>
  <si>
    <t>Osłona MUN mrożona 2m</t>
  </si>
  <si>
    <t>0945_1</t>
  </si>
  <si>
    <t>Osłona HR-ALU mleczna 1m</t>
  </si>
  <si>
    <t>Osłona do profili:HR-ALU, HR-ALU anodowany</t>
  </si>
  <si>
    <t>0945_2</t>
  </si>
  <si>
    <t>Osłona HR-ALU mleczna 2m</t>
  </si>
  <si>
    <t>0945_3</t>
  </si>
  <si>
    <t>Osłona HR-ALU mleczna 3m</t>
  </si>
  <si>
    <t>B3579ANODA_1</t>
  </si>
  <si>
    <t>HRLINE-ALU-1M-A</t>
  </si>
  <si>
    <t>B3579ANODA_2</t>
  </si>
  <si>
    <t>HRLINE-ALU-2M-A</t>
  </si>
  <si>
    <t>B3579ANODA_3</t>
  </si>
  <si>
    <t>HRLINE-ALU-3M-A</t>
  </si>
  <si>
    <t>17151_1</t>
  </si>
  <si>
    <t>Osłona HR-LINE-2 mleczna 1m</t>
  </si>
  <si>
    <t>dla profili HR-LINE, HR-LINE Anodowany</t>
  </si>
  <si>
    <t>17151_2</t>
  </si>
  <si>
    <t>Osłona HR-LINE-2 mleczna 2m</t>
  </si>
  <si>
    <t>17151_3</t>
  </si>
  <si>
    <t>Osłona HR-LINE-2 mleczna 3m</t>
  </si>
  <si>
    <t>17152_1</t>
  </si>
  <si>
    <t>Osłona HR-21 mleczna 1m</t>
  </si>
  <si>
    <t>Dla profili HR-MAX, HR-OPTI</t>
  </si>
  <si>
    <t>17152_2</t>
  </si>
  <si>
    <t>Osłona HR-21 mleczna 2m</t>
  </si>
  <si>
    <t>17152_3</t>
  </si>
  <si>
    <t>Osłona HR-21 mleczna 3m</t>
  </si>
  <si>
    <t>17127_1</t>
  </si>
  <si>
    <t>Wkładka ochronna TECH-35 1m</t>
  </si>
  <si>
    <t>Dla profili HR-MAX-T, HR-MAX-TW</t>
  </si>
  <si>
    <t>17127_2</t>
  </si>
  <si>
    <t>Wkładka ochronna TECH-35 2m</t>
  </si>
  <si>
    <t>17127_3</t>
  </si>
  <si>
    <t>Wkładka ochronna TECH-35 3m</t>
  </si>
  <si>
    <t>17131_1</t>
  </si>
  <si>
    <t>Osłona KIDES-DUO mrożona 1m</t>
  </si>
  <si>
    <t>Osłona do profilu: ref. 18032ANODA - KIDES DUO</t>
  </si>
  <si>
    <t>17131_2</t>
  </si>
  <si>
    <t>Osłona KIDES-DUO mrożona 2m</t>
  </si>
  <si>
    <t>17131_3</t>
  </si>
  <si>
    <t>Osłona KIDES-DUO mrożona 3m</t>
  </si>
  <si>
    <t>17045_1</t>
  </si>
  <si>
    <t>Osłona FOLED czarna 1m</t>
  </si>
  <si>
    <t>osłonka do profili FOLED</t>
  </si>
  <si>
    <t>17045_2</t>
  </si>
  <si>
    <t>Osłona FOLED czarna 2m</t>
  </si>
  <si>
    <t>17045_3</t>
  </si>
  <si>
    <t>Osłona FOLED czarna 3m</t>
  </si>
  <si>
    <t>17047_1</t>
  </si>
  <si>
    <t>Osłona FOLED 1m</t>
  </si>
  <si>
    <t>17047_2</t>
  </si>
  <si>
    <t>Osłona FOLED 2m</t>
  </si>
  <si>
    <t>17047_3</t>
  </si>
  <si>
    <t>Osłona FOLED 3m</t>
  </si>
  <si>
    <t>17171_1</t>
  </si>
  <si>
    <t>Osłona FOLED-50 mleczna 1m</t>
  </si>
  <si>
    <t>Osłona do profili FOLED-50</t>
  </si>
  <si>
    <t>17171_2</t>
  </si>
  <si>
    <t>Osłona FOLED-50 mleczna 2m</t>
  </si>
  <si>
    <t>17171_3</t>
  </si>
  <si>
    <t>Osłona FOLED-50 mleczna 3m</t>
  </si>
  <si>
    <t>17112_1</t>
  </si>
  <si>
    <t>Osłona LENSO 1m</t>
  </si>
  <si>
    <t>Osłona do profili POKET / POK-US</t>
  </si>
  <si>
    <t>17112_2</t>
  </si>
  <si>
    <t>Osłona LENSO 2m</t>
  </si>
  <si>
    <t>17112_3</t>
  </si>
  <si>
    <t>Osłona LENSO 3m</t>
  </si>
  <si>
    <t>17173_1</t>
  </si>
  <si>
    <t>Osłona DILENSO 1m</t>
  </si>
  <si>
    <t>Osłona do profili DIPOKET / DIPOK-US</t>
  </si>
  <si>
    <t>17173_2</t>
  </si>
  <si>
    <t>Osłona DILENSO 2m</t>
  </si>
  <si>
    <t>17173_3</t>
  </si>
  <si>
    <t>Osłona DILENSO 3m</t>
  </si>
  <si>
    <t>17069_1</t>
  </si>
  <si>
    <t>Osłona BENCO-7 1m</t>
  </si>
  <si>
    <t>Osłona do zaginanych profili PIKO / PIKO-ZM / LINO</t>
  </si>
  <si>
    <t>17069_2</t>
  </si>
  <si>
    <t>Osłona BENCO-7 2m</t>
  </si>
  <si>
    <t>17069_3</t>
  </si>
  <si>
    <t>Osłona BENCO-7 3m</t>
  </si>
  <si>
    <t>17069_10</t>
  </si>
  <si>
    <t>Osłona BENCO-7 10m</t>
  </si>
  <si>
    <t>Zaślepka PIKO ral7035</t>
  </si>
  <si>
    <t>dla profili PIKO</t>
  </si>
  <si>
    <t>Zaślepka PIKO-OTW ral7035</t>
  </si>
  <si>
    <t>Zaślepka PIKO-O ral7035</t>
  </si>
  <si>
    <t>dla profili PIKO-O</t>
  </si>
  <si>
    <t>Zaślepka PIKO-O-OTW ral7035</t>
  </si>
  <si>
    <t>Zaślepka PIKO-O ral9010</t>
  </si>
  <si>
    <t>Zaślepka PIKO-O-OTW ral9010</t>
  </si>
  <si>
    <t>Zaślepka PIKO-O-90 ral7015</t>
  </si>
  <si>
    <t>Zaślepka TEPIKO ral7035</t>
  </si>
  <si>
    <t>dla profili TEPIKO</t>
  </si>
  <si>
    <t>Zaślepka PIKO-ZM ral7035</t>
  </si>
  <si>
    <t>dla profili PIKO-ZM</t>
  </si>
  <si>
    <t>Zaślepka PIKO-ZM-OTW ral7035</t>
  </si>
  <si>
    <t>Zaślepka LINO ral7035</t>
  </si>
  <si>
    <t>dla profili LINO</t>
  </si>
  <si>
    <t>Zaślepka LINO-OTW ral7035</t>
  </si>
  <si>
    <t>Zaślepka MICRO-ALU ral7035</t>
  </si>
  <si>
    <t>dla profili MICRO-ALU</t>
  </si>
  <si>
    <t>Zaślepka MICRO-ALU-OTW ral7035</t>
  </si>
  <si>
    <t>Zaślepka MICRO-PLUS ral7035</t>
  </si>
  <si>
    <t>dla profili MICRO-PLUS</t>
  </si>
  <si>
    <t>Zaślepka MICRO-PLUS-OTW ral7035</t>
  </si>
  <si>
    <t>C24392C10</t>
  </si>
  <si>
    <t>Zaślepka MICRO-PLUS ral9010 biała</t>
  </si>
  <si>
    <t>C24392C10TW</t>
  </si>
  <si>
    <t>Zaślepka MICRO-PLUS-OTW ral9010 biały</t>
  </si>
  <si>
    <t>C24392L01</t>
  </si>
  <si>
    <t>Zaślepka MICRO-PLUS Srebrny</t>
  </si>
  <si>
    <t>C24392L01TW</t>
  </si>
  <si>
    <t>Zaślepka MICRO-PLUS-OTW srebrny</t>
  </si>
  <si>
    <t>Zaślepka M-K ral7035</t>
  </si>
  <si>
    <t>dla profili Micro z osłonką M-K</t>
  </si>
  <si>
    <t>Zaślepka MICRO-H ral7035</t>
  </si>
  <si>
    <t>dla profili MICRO-H</t>
  </si>
  <si>
    <t>Zaślepka MICRO-K ral7035</t>
  </si>
  <si>
    <t>dla profili MICRO-K</t>
  </si>
  <si>
    <t>Zaślepka MICRO-K-OTW ral7035</t>
  </si>
  <si>
    <t>Zaślepka MICRO-LNK ral7035</t>
  </si>
  <si>
    <t>dla profili MICRO-NK</t>
  </si>
  <si>
    <t>Zaślepka MICRO-LNK-OTW ral7035</t>
  </si>
  <si>
    <t>Zaślepka MICRO-LNK ral9005</t>
  </si>
  <si>
    <t>Zaślepka MICRO-LNK-OTW ral9005</t>
  </si>
  <si>
    <t>Zaślepka MICRO-LNK ral9010</t>
  </si>
  <si>
    <t>Zaślepka MICRO-LNK-OTW ral9010</t>
  </si>
  <si>
    <t>Zaślepka MICRO-LNK metalizowana</t>
  </si>
  <si>
    <t>Zaślepka MICRO-LNK-OTW metalizowana</t>
  </si>
  <si>
    <t>Zaślepka MICRO-NK ral7035</t>
  </si>
  <si>
    <t>Zaślepka MICRO-NK-OTW ral7035</t>
  </si>
  <si>
    <t>Zaślepka MICRO-NK ral9010</t>
  </si>
  <si>
    <t>Zaślepka MICRO-NK-OTW ral9010</t>
  </si>
  <si>
    <t>Zaślepka MICRO-NK metalizowana</t>
  </si>
  <si>
    <t>Zaślepka MICRO-NK-OTW metalizowana</t>
  </si>
  <si>
    <t>Zaślepka PDS-4-PLUS ral7035</t>
  </si>
  <si>
    <t>dla profili PDS-4-PLUS</t>
  </si>
  <si>
    <t>Zaślepka PDS-4-PLUS-OTW ral7035</t>
  </si>
  <si>
    <t>Zaślepka PDS-4-PLUS metalizowana</t>
  </si>
  <si>
    <t>Zaślepka SILER ral7035</t>
  </si>
  <si>
    <t>Zaślepka PDS-LNK ral7035</t>
  </si>
  <si>
    <t>dla profili PDS-NK</t>
  </si>
  <si>
    <t>Zaślepka PDS-LNK-OTW ral7035</t>
  </si>
  <si>
    <t>Zaślepka PDS-LNK ral9005</t>
  </si>
  <si>
    <t>Zaślepka PDS-LNK-OTW ral9005</t>
  </si>
  <si>
    <t>Zaślepka PDS-LNK ral9010</t>
  </si>
  <si>
    <t>Zaślepka PDS-LNK-OTW ral9010</t>
  </si>
  <si>
    <t>Zaślepka PDS-LNK metalizowana</t>
  </si>
  <si>
    <t>Zaślepka PDS-LNK-OTW metalizowana</t>
  </si>
  <si>
    <t>Zaślepka PDS-NK ral7035</t>
  </si>
  <si>
    <t>Zaślepka PDS-NK-OTW ral7035</t>
  </si>
  <si>
    <t>Zaślepka PDS-NK ral9010</t>
  </si>
  <si>
    <t>Zaślepka PDS-NK-OTW ral9010</t>
  </si>
  <si>
    <t>Zaślepka PDS-NK metalizowana</t>
  </si>
  <si>
    <t>Zaślepka PDS-NK-OTW metalizowana</t>
  </si>
  <si>
    <t>Zaślepka 45-16 ral7035</t>
  </si>
  <si>
    <t>dla profili 45-16</t>
  </si>
  <si>
    <t>Zaślepka 45-ALU ral7035</t>
  </si>
  <si>
    <t>dla profili 45-ALU</t>
  </si>
  <si>
    <t>Zaślepka 45-ALU-OTW ral7035</t>
  </si>
  <si>
    <t>Zaślepka GLAD-45 ral7035</t>
  </si>
  <si>
    <t>dla profili GLAD</t>
  </si>
  <si>
    <t>Zaślepka GLAD-45-OTW ral7035</t>
  </si>
  <si>
    <t>do profilu GLAD</t>
  </si>
  <si>
    <t>Zaślepka PDS-ZM ral7035</t>
  </si>
  <si>
    <t>dla profili PDS-ZM</t>
  </si>
  <si>
    <t>Zaślepka POR ral7035</t>
  </si>
  <si>
    <t>dla profili POR</t>
  </si>
  <si>
    <t>Zatrzask POR ral7035</t>
  </si>
  <si>
    <t>Do poręczy o średnicy do 42 mm,</t>
  </si>
  <si>
    <t>Zatrzask PORPLUS ral7035</t>
  </si>
  <si>
    <t>Do poręczy o średnicy od 48 do 52 mm,</t>
  </si>
  <si>
    <t>Zaślepka PDS-O ral7035</t>
  </si>
  <si>
    <t>dla profili PDS-O</t>
  </si>
  <si>
    <t>Zaślepka PDS-O-OTW ral7035</t>
  </si>
  <si>
    <t>Zaślepka OLEK ral7035</t>
  </si>
  <si>
    <t>dla profili OLEK z osłonkami płaskimi</t>
  </si>
  <si>
    <t>Zaślepka OLEK-LUK ral7035</t>
  </si>
  <si>
    <t>dla profili OLEK z osłonką PDS-LUK</t>
  </si>
  <si>
    <t>Zaślepka OLEK-LUK-FI5 ral7035</t>
  </si>
  <si>
    <t>zaślepka z otworem na kabel, dla profili OLEK z osłoną PDS-LUK</t>
  </si>
  <si>
    <t>Zaślepka REGULOR ral7035</t>
  </si>
  <si>
    <t>dla profili Regulor ZWK</t>
  </si>
  <si>
    <t>24224V1</t>
  </si>
  <si>
    <t>Zaślepka JAZ ral7035</t>
  </si>
  <si>
    <t>dla profili JAZ z oslonka JAZ-v1</t>
  </si>
  <si>
    <t>Zaślepka 3035 ral7035</t>
  </si>
  <si>
    <t>Zaślepka do profilu 3035</t>
  </si>
  <si>
    <t>Zaślepka 3035-O ral7035</t>
  </si>
  <si>
    <t>Zaślepka do profilu 3035-O</t>
  </si>
  <si>
    <t>Zaślepka STOS-ALU ral7035</t>
  </si>
  <si>
    <t>dla profili STOS-ALU</t>
  </si>
  <si>
    <t>Zaślepka TEST-36 ral7035</t>
  </si>
  <si>
    <t>dla profili TEST -36</t>
  </si>
  <si>
    <t>Zaślepka TEST-74 ral7035</t>
  </si>
  <si>
    <t>dla profili TEST-74</t>
  </si>
  <si>
    <t>Zaślepka PAC-ALU ral7035</t>
  </si>
  <si>
    <t>dla profili PAC-ALU</t>
  </si>
  <si>
    <t>Zaślepka KOPRO-K ral7035</t>
  </si>
  <si>
    <t>dla profili KOPRO</t>
  </si>
  <si>
    <t>Zaślepka KOPRO-L ral7035</t>
  </si>
  <si>
    <t>dla profili KOPRO z osłonką KORPO-L</t>
  </si>
  <si>
    <t>Zaślepka KOPRO-P ral7035</t>
  </si>
  <si>
    <t>dla profili KOPRO z osłonką KORPO-P</t>
  </si>
  <si>
    <t>Zaślepka KOPRO-30-L-L ral7035</t>
  </si>
  <si>
    <t>dla profili KOPRO-30 z osłonką KOPRO-L lewa strona</t>
  </si>
  <si>
    <t>Zaślepka KOPRO-30-L-P ral7035</t>
  </si>
  <si>
    <t>dla profili KOPRO-30 z osłonką KOPRO-L prawa strona</t>
  </si>
  <si>
    <t>Zaślepka KOPRO-30-P-L ral7035</t>
  </si>
  <si>
    <t>dla profili KOPRO-30 z osłonką KOPRO-P lewa strona</t>
  </si>
  <si>
    <t>Zaślepka KOPRO-30-P-P ral7035</t>
  </si>
  <si>
    <t>dla profili KOPRO-30 z osłonką KOPRO-P prawa strona</t>
  </si>
  <si>
    <t>Zaślepka LOC-30-P ral7035</t>
  </si>
  <si>
    <t>dla profil LOC-30 prawa strona</t>
  </si>
  <si>
    <t>Zaślepka LOC-30-L ral7035</t>
  </si>
  <si>
    <t>dla profil LOC-30 lewa strona</t>
  </si>
  <si>
    <t>Zaślepka TRIADA ral7035</t>
  </si>
  <si>
    <t>dla profili TRIADA-ALU</t>
  </si>
  <si>
    <t>Zaślepka TETRA-43 ral7035</t>
  </si>
  <si>
    <t>dla profili TETRA-43</t>
  </si>
  <si>
    <t>Zaślepka TETRA-78 ral7035</t>
  </si>
  <si>
    <t>dla profili TETRA-78</t>
  </si>
  <si>
    <t>Zaślepka TRIADA-K ral7035</t>
  </si>
  <si>
    <t>dla profili TRIADA-K</t>
  </si>
  <si>
    <t>Zaślepka WERKIN-L ral7035</t>
  </si>
  <si>
    <t>dla profil WERKIN lewa strona</t>
  </si>
  <si>
    <t>Zaślepka WERKIN-P ral7035</t>
  </si>
  <si>
    <t>dla profil WERKIN prawa strona</t>
  </si>
  <si>
    <t>Zaślepka ONISA ral7035</t>
  </si>
  <si>
    <t>dla profili NISA-PLA, NISA-NI.,</t>
  </si>
  <si>
    <t>Zaślepka POLI ral7035</t>
  </si>
  <si>
    <t>dla profili POLI</t>
  </si>
  <si>
    <t>Zaślepka HR-ALU ral7035</t>
  </si>
  <si>
    <t>dla profili HR-ALU</t>
  </si>
  <si>
    <t>Zaślepka HR-LINE ral7035</t>
  </si>
  <si>
    <t>dla profili HR-LINE</t>
  </si>
  <si>
    <t>Zaślepka HR-MAX-STN</t>
  </si>
  <si>
    <t>Dla profili HR-MAX</t>
  </si>
  <si>
    <t>Zaślepka HR-MAX-T-STN</t>
  </si>
  <si>
    <t>Dla profili HR-MAX-T, HR-MAX-TK</t>
  </si>
  <si>
    <t>Zaślepka HR-MAX-TK-STN</t>
  </si>
  <si>
    <t>Dla profili HR-MAX-TK</t>
  </si>
  <si>
    <t>Zaślepka HR-OPTI-STN</t>
  </si>
  <si>
    <t>Dla profili HR-OPTI</t>
  </si>
  <si>
    <t>Klips HR-MAX</t>
  </si>
  <si>
    <t>Pianka HR-MAX</t>
  </si>
  <si>
    <t>długość 1250 mm , do profili systemu HR-MAX</t>
  </si>
  <si>
    <t>Zaślepka EX</t>
  </si>
  <si>
    <t>dla profili EX-ALU</t>
  </si>
  <si>
    <t>Zaślepka KRAV-56 ral7035</t>
  </si>
  <si>
    <t>dla profili KRAV 56,</t>
  </si>
  <si>
    <t>Zaślepka KRAV-810 ral7035</t>
  </si>
  <si>
    <t>dla profili KRAV 810,</t>
  </si>
  <si>
    <t>Zaślepka KRAV-05IN ral7035</t>
  </si>
  <si>
    <t>Zaślepka STEP-P ral7035</t>
  </si>
  <si>
    <t>dla profil STEP - R prawa strona</t>
  </si>
  <si>
    <t>Zaślepka STEP-L ral7035</t>
  </si>
  <si>
    <t>dla profil STEP - L lewa strona</t>
  </si>
  <si>
    <t>Zaślepka STEPUS-P ral7035</t>
  </si>
  <si>
    <t>dla profili STEPUS</t>
  </si>
  <si>
    <t>Zaślepka STEPUS-L ral7035</t>
  </si>
  <si>
    <t>Zaślepka STEKO-P ral7035</t>
  </si>
  <si>
    <t>dla profil STEKO - R prawa strona</t>
  </si>
  <si>
    <t>Zaślepka STEKO-L ral7035</t>
  </si>
  <si>
    <t>dla profil STEKO - L lewa strona</t>
  </si>
  <si>
    <t>Zaślepka OBIT ral7035</t>
  </si>
  <si>
    <t>dla profili OBIT</t>
  </si>
  <si>
    <t>Zaślepka MULTI-A ral7035</t>
  </si>
  <si>
    <t>dla profili MULTI - A</t>
  </si>
  <si>
    <t>Zaślepka GIZA ral7035</t>
  </si>
  <si>
    <t>dla profili GIZA</t>
  </si>
  <si>
    <t>Zaślepka GIZA-LL ral7035</t>
  </si>
  <si>
    <t>dla profili GIZA-LL</t>
  </si>
  <si>
    <t>Zaślepka TEKNIK-ZM ral7035</t>
  </si>
  <si>
    <t>dla profili TEKNIK -ZM</t>
  </si>
  <si>
    <t>Zaślepka TEKUS-ZM ral7035</t>
  </si>
  <si>
    <t>dla profili TEKUS -ZM, TEKNIK-TK-ZM</t>
  </si>
  <si>
    <t>Zatrzask TEKNIK ral9010</t>
  </si>
  <si>
    <t>dla profili LIPOD,LESTO,LOKOM,LARKO</t>
  </si>
  <si>
    <t>Zaślepka KOZMA ral7035</t>
  </si>
  <si>
    <t>dla profili KOZMA</t>
  </si>
  <si>
    <t>Zaślepka OPK-4 ral7035</t>
  </si>
  <si>
    <t>dla profili OPK-4</t>
  </si>
  <si>
    <t>Zaślepka TPK-4 ral7035</t>
  </si>
  <si>
    <t>dla profili TPK-4</t>
  </si>
  <si>
    <t>Zaślepka LIPOD ral7035</t>
  </si>
  <si>
    <t>dla profili LIPOD</t>
  </si>
  <si>
    <t>Zaślepka LIPOD-50 ral7035</t>
  </si>
  <si>
    <t>Zaślepka LOKOM ral7035</t>
  </si>
  <si>
    <t>dla profili LOKOM</t>
  </si>
  <si>
    <t>Zaślepka LARKO ral7035</t>
  </si>
  <si>
    <t>dla profili LARKO</t>
  </si>
  <si>
    <t>Zaślepka LARKO-50 ral7035</t>
  </si>
  <si>
    <t>Zaślepka OPAC-30 ral7035</t>
  </si>
  <si>
    <t>dla profili OPAC-30</t>
  </si>
  <si>
    <t>Zaślepka KOZEL ral7035</t>
  </si>
  <si>
    <t>dla profili KOZEL</t>
  </si>
  <si>
    <t>Zaślepka KOZEL-50 ral7035</t>
  </si>
  <si>
    <t>dla profili KOZEL-50</t>
  </si>
  <si>
    <t>Zaślepka KOMPENSA-K ral7035</t>
  </si>
  <si>
    <t>dla profili LARKO, LOKOM, LIPOD z osłonką G-L</t>
  </si>
  <si>
    <t>Zaślepka GIL ral7035</t>
  </si>
  <si>
    <t>dla profili GIZA z osłonką G-L</t>
  </si>
  <si>
    <t>Zaślepka GIZAT ral7035</t>
  </si>
  <si>
    <t>dla profili GIZA z osłonką G-K</t>
  </si>
  <si>
    <t>Zaślepka 4050</t>
  </si>
  <si>
    <t>dla profili 4050</t>
  </si>
  <si>
    <t>Zaślepka 4050-W</t>
  </si>
  <si>
    <t>dla profili 4050-W</t>
  </si>
  <si>
    <t>Zaślepka MOD-50 ral7035</t>
  </si>
  <si>
    <t>dla profili MOD-50</t>
  </si>
  <si>
    <t>Zaślepka MOD-50 ral9010</t>
  </si>
  <si>
    <t>Zaślepka MOD-100</t>
  </si>
  <si>
    <t>dla profili MOD-100</t>
  </si>
  <si>
    <t>Zaślepka OMODO-50</t>
  </si>
  <si>
    <t>dla profili OMODO-50</t>
  </si>
  <si>
    <t>Zaślepka RAM-TEZE-50 ral7035</t>
  </si>
  <si>
    <t>dla profili RAM-KOZE-50, RAM-TEK-50</t>
  </si>
  <si>
    <t>Zaślepka RAM-KOL-50 ral7035</t>
  </si>
  <si>
    <t>dla profili RAM-KOL-50</t>
  </si>
  <si>
    <t>Zaślepka OMODO-100</t>
  </si>
  <si>
    <t>dla profili OMODO-100</t>
  </si>
  <si>
    <t>Zaślepka RAM-KOZE-100 ral7035</t>
  </si>
  <si>
    <t>dla profili RAM-KOZE-100</t>
  </si>
  <si>
    <t>Zaślepka RAM-KOL-100 ral7035</t>
  </si>
  <si>
    <t>dla profili RAM-KOL-100</t>
  </si>
  <si>
    <t>Zaślepka RAM-TEK-100 ral7035</t>
  </si>
  <si>
    <t>dla profili RAM-TEK-100</t>
  </si>
  <si>
    <t>Zaślepka RAM-3035-TEZE ral7035</t>
  </si>
  <si>
    <t>dla profili RAM-3035-KOZE</t>
  </si>
  <si>
    <t>Zaślepka BOX ral7035</t>
  </si>
  <si>
    <t>dla profili BOX</t>
  </si>
  <si>
    <t>Zaślepka NIBO ral7035</t>
  </si>
  <si>
    <t>dla profili NIBO KPL.</t>
  </si>
  <si>
    <t>Zaślepka INTER ral7035</t>
  </si>
  <si>
    <t>dla profili INTER</t>
  </si>
  <si>
    <t>Zaślepka INTER-PLUS ral7035</t>
  </si>
  <si>
    <t>Zaślepka IMET-P ral7035</t>
  </si>
  <si>
    <t>dla profili IMET prawa strona</t>
  </si>
  <si>
    <t>Zaślepka IMET-L ral7035</t>
  </si>
  <si>
    <t>dla profili IMET lewa strona</t>
  </si>
  <si>
    <t>Zaślepka IDOL ral7035</t>
  </si>
  <si>
    <t>dla profili IDOL</t>
  </si>
  <si>
    <t>Zaślepka IKON ral7035</t>
  </si>
  <si>
    <t>dla profili IKON</t>
  </si>
  <si>
    <t>Zaślepka SEKODU ral7035</t>
  </si>
  <si>
    <t>dla profili SEDOKU, zaślepka ze śrubami</t>
  </si>
  <si>
    <t>Zaślepka SEKOMA ral7035</t>
  </si>
  <si>
    <t>dla profili SEKOMA, zaślepka ze śrubami</t>
  </si>
  <si>
    <t>Zaślepka TELIT-L-L ral9010</t>
  </si>
  <si>
    <t>dla profili LIT-L lewa strona</t>
  </si>
  <si>
    <t>Zaślepka TELIT-L-P ral9010</t>
  </si>
  <si>
    <t>dla profili LIT-L prawa strona</t>
  </si>
  <si>
    <t>Zaślepka KOZUS ral7035</t>
  </si>
  <si>
    <t>dla profili KOZUS</t>
  </si>
  <si>
    <t>Zaślepka KOZUS-50 ral7035</t>
  </si>
  <si>
    <t>dla profili KOZUS-50</t>
  </si>
  <si>
    <t>Zaślepka MICRO-ALU ral9010</t>
  </si>
  <si>
    <t>Zaślepka MICRO-K ral9010</t>
  </si>
  <si>
    <t>do profilu MICRO-K</t>
  </si>
  <si>
    <t>Zaślepka MICRO-ALU-OTW ral9010</t>
  </si>
  <si>
    <t>Zaślepka PDS-4-OTW ral9010</t>
  </si>
  <si>
    <t>dla profili PDS 4</t>
  </si>
  <si>
    <t>Zaślepka MICRO-K-OTW ral9010</t>
  </si>
  <si>
    <t>do profilu MICRO-K-OTW</t>
  </si>
  <si>
    <t>Zaślepka 45-ALU-MW ral9010</t>
  </si>
  <si>
    <t>do profilu 45-ALU</t>
  </si>
  <si>
    <t>Zaślepka 45-ALU-OTW-MW ral9010</t>
  </si>
  <si>
    <t>do profilu 45-ALU-OTW-MW</t>
  </si>
  <si>
    <t>Zaślepka TAMI EKO biały</t>
  </si>
  <si>
    <t>do profilu TAMI</t>
  </si>
  <si>
    <t>Zaślepka 45-ALU ral9010</t>
  </si>
  <si>
    <t>Zaślepka 45-ALU-OTW ral9010</t>
  </si>
  <si>
    <t>Zaślepka TAN-C5 EKO biały</t>
  </si>
  <si>
    <t>do profilu TAN-C5</t>
  </si>
  <si>
    <t>Zaślepka TAKO EKO biały</t>
  </si>
  <si>
    <t>do profilu TAKO</t>
  </si>
  <si>
    <t>Zaślepka TOST EKO biały</t>
  </si>
  <si>
    <t>do profilu TOST</t>
  </si>
  <si>
    <t>Zaślepka GIZA ral9010</t>
  </si>
  <si>
    <t>do profili GIZA</t>
  </si>
  <si>
    <t>Zaślepka GIL ral9010</t>
  </si>
  <si>
    <t>Zaślepka GIZAT ral9010</t>
  </si>
  <si>
    <t>Zaślepka FOLED-W</t>
  </si>
  <si>
    <t>do profili FOLED, FOLED-BOK, FOLED-SUF</t>
  </si>
  <si>
    <t>Zaślepka FOLED-50-W</t>
  </si>
  <si>
    <t>do profili FOLED-50, FOLED-50-SUF</t>
  </si>
  <si>
    <t>Zaślepka PIKO ral9005</t>
  </si>
  <si>
    <t>do profilu PIKO</t>
  </si>
  <si>
    <t>Zaślepka PIKO-OTW ral9005</t>
  </si>
  <si>
    <t>Zaślepka PIKO-ZM ral9005</t>
  </si>
  <si>
    <t>do profilu PIKO-ZM</t>
  </si>
  <si>
    <t>Zaślepka PIKO-ZM-OTW ral9005</t>
  </si>
  <si>
    <t>Zaślepka PIKO-O ral9005</t>
  </si>
  <si>
    <t>do profilu PIKO-O</t>
  </si>
  <si>
    <t>Zaślepka PIKO-O-OTW ral9005</t>
  </si>
  <si>
    <t>Zaślepka PDS-G ral9005</t>
  </si>
  <si>
    <t>do profilu PDS-ZMG</t>
  </si>
  <si>
    <t>Zaślepka PDS-4-PLUS ral9005</t>
  </si>
  <si>
    <t>Zaślepka PDS-4-PLUS-OTW ral9005</t>
  </si>
  <si>
    <t>Zaślepka PDS-NK ral9005</t>
  </si>
  <si>
    <t>Zaślepka PDS-NK-OTW ral9005</t>
  </si>
  <si>
    <t>Zaślepka PDS-ZM-PLUS ral9005</t>
  </si>
  <si>
    <t>dla profili PDS-ZM-PLUS</t>
  </si>
  <si>
    <t>Zaślepka SILER ral9005</t>
  </si>
  <si>
    <t>Zaślepka MICRO-ALU ral9005</t>
  </si>
  <si>
    <t>do profilu MICRO-ALU</t>
  </si>
  <si>
    <t>Zaślepka MICRO-ALU-OTW ral9005</t>
  </si>
  <si>
    <t>Zaślepka MICRO-ALU-OTW-MW lakier ral9005</t>
  </si>
  <si>
    <t>Zaślepka MICRO-PLUS ral9005</t>
  </si>
  <si>
    <t>dla profili MICRO-Plus</t>
  </si>
  <si>
    <t>Zaślepka MICRO-PLUS-OTW ral9005</t>
  </si>
  <si>
    <t>Zaślepka MICRO-G ral9005</t>
  </si>
  <si>
    <t>do profilu MICRO-G</t>
  </si>
  <si>
    <t>Zaślepka MICRO-NK ral9005</t>
  </si>
  <si>
    <t>Zaślepka MICRO-NK-OTW ral9005</t>
  </si>
  <si>
    <t>Zaślepka OLEK-LUK ral9005</t>
  </si>
  <si>
    <t>do profilu OLEK z cover PDS-LUK</t>
  </si>
  <si>
    <t>Zaślepka OLEK ral9005</t>
  </si>
  <si>
    <t>do profilu OLEK z cover płaską</t>
  </si>
  <si>
    <t>Zaślepka 45-ALU ral9005</t>
  </si>
  <si>
    <t>Zaślepka 45-ALU-OTW ral9005</t>
  </si>
  <si>
    <t>Zaślepka GIZA ral9005</t>
  </si>
  <si>
    <t>do profilu Giza</t>
  </si>
  <si>
    <t>Zaślepka GIL ral9005</t>
  </si>
  <si>
    <t>Zaślepka GIZAT ral9005</t>
  </si>
  <si>
    <t>Zaślepka GLAZA-LL ral9005</t>
  </si>
  <si>
    <t>do profilu GLAZA-LL</t>
  </si>
  <si>
    <t>Zaślepka LIPOD ral9005</t>
  </si>
  <si>
    <t>do profilu LIPOD</t>
  </si>
  <si>
    <t>Zaślepka LOKOM ral9005</t>
  </si>
  <si>
    <t>do profilu LOKOM</t>
  </si>
  <si>
    <t>Zaślepka MOD-50 ral9005</t>
  </si>
  <si>
    <t>do profilu MOD-50</t>
  </si>
  <si>
    <t>Zaślepka DESIN ral9005</t>
  </si>
  <si>
    <t>do profilu DES</t>
  </si>
  <si>
    <t>Zaślepka STEP-P ral9005</t>
  </si>
  <si>
    <t>do profilu STEP KPL prawa strona</t>
  </si>
  <si>
    <t>Zaślepka STEP-L ral9005</t>
  </si>
  <si>
    <t>do profilu STEP KPL lewa strona</t>
  </si>
  <si>
    <t>Zaślepka STEPUS-P ral9005</t>
  </si>
  <si>
    <t>do profilu STEPUS prawa strona</t>
  </si>
  <si>
    <t>Zaślepka STEPUS-L ral9005</t>
  </si>
  <si>
    <t>Zaślepka STEKO-P ral9005</t>
  </si>
  <si>
    <t>do profilu STEKO prawa strona</t>
  </si>
  <si>
    <t>Zaślepka STEKO-L ral9005</t>
  </si>
  <si>
    <t>do profilu STEKO lewa strona</t>
  </si>
  <si>
    <t>Zaślepka FOLED-W czarna</t>
  </si>
  <si>
    <t>Zaślepka MICRO-ALU metalizowana</t>
  </si>
  <si>
    <t>Zaślepka STOS-ALU metalizowana</t>
  </si>
  <si>
    <t>dla profili PDS4-ALU</t>
  </si>
  <si>
    <t>Zaślepka TEST-36 metalizowana</t>
  </si>
  <si>
    <t>dla profili TEST-36</t>
  </si>
  <si>
    <t>Zaślepka TEST-74 metalizowana</t>
  </si>
  <si>
    <t>Zaślepka TRIADA metalizowana</t>
  </si>
  <si>
    <t>dla profili TRIADA</t>
  </si>
  <si>
    <t>Zaślepka TETRA-43 metalizowana</t>
  </si>
  <si>
    <t>Zaślepka TETRA-78 metalizowana</t>
  </si>
  <si>
    <t>Zaślepka LIPOD metalizowana</t>
  </si>
  <si>
    <t>Zaślepka LIPOD-50 metalizowana</t>
  </si>
  <si>
    <t>dla profili LIPOD-50</t>
  </si>
  <si>
    <t>Zaślepka LOKOM metalizowana</t>
  </si>
  <si>
    <t>Zaślepka LARKO metalizowana</t>
  </si>
  <si>
    <t>Zaślepka KOPRO-30-L-L metalizowana</t>
  </si>
  <si>
    <t>dla profili KOPRO-30 z osł. KOPRO-L lewa strona, metalizowana</t>
  </si>
  <si>
    <t>Zaślepka KOPRO-30-L-P metalizowana</t>
  </si>
  <si>
    <t>dla profili KOPRO-30 z osł. KOPRO-L prawa strona, metalizowana</t>
  </si>
  <si>
    <t>Zaślepka KOPRO-30-P-L metalizowana</t>
  </si>
  <si>
    <t>dla profili KOPRO-30 z osł. KOPRO-P lewa strona, metalizowana</t>
  </si>
  <si>
    <t>Zaślepka KOPRO-30-P-P metalizowana</t>
  </si>
  <si>
    <t>dla profili KOPRO-30 z osł. KOPRO-P prawa strona, metalizowana</t>
  </si>
  <si>
    <t>Zaślepka OPAC-30 metalizowana</t>
  </si>
  <si>
    <t>Zaślepka GLAZA-LL metalizowana</t>
  </si>
  <si>
    <t>dla profili GLAZA-LL</t>
  </si>
  <si>
    <t>Zaślepka GIL metalizowana</t>
  </si>
  <si>
    <t>Zaślepka GIZAT metalizowana</t>
  </si>
  <si>
    <t>Zaślepka PULA-L metalizowana</t>
  </si>
  <si>
    <t>dla profili PULA KPL. lewa strona</t>
  </si>
  <si>
    <t>Zaślepka PULA-P metalizowana</t>
  </si>
  <si>
    <t>dla profili PULA KPL. prawa strona</t>
  </si>
  <si>
    <t>Zaślepka SEPOD metalizowana</t>
  </si>
  <si>
    <t>dla profili SEPOD</t>
  </si>
  <si>
    <t>Zaślepka TESPO metalizowana</t>
  </si>
  <si>
    <t>dla profili TESPO</t>
  </si>
  <si>
    <t>Zaślepka SEKODU metalizowana</t>
  </si>
  <si>
    <t>dla profili SEDOKU</t>
  </si>
  <si>
    <t>Zaślepka SEKOMA metalizowana</t>
  </si>
  <si>
    <t>dla profili SEKOMA</t>
  </si>
  <si>
    <t>Zaślepka KOPRO-L metalizowana</t>
  </si>
  <si>
    <t>dla profili KOPRO-L</t>
  </si>
  <si>
    <t>Zaślepka KOPRO-K metalizowana</t>
  </si>
  <si>
    <t>dla profili KOPRO-K</t>
  </si>
  <si>
    <t>Zaślepka KOPRO-P metalizowana</t>
  </si>
  <si>
    <t>dla profili KOPRO-P</t>
  </si>
  <si>
    <t>Zaślepka DESIN metalizowana</t>
  </si>
  <si>
    <t>dla profili DES</t>
  </si>
  <si>
    <t>Zaślepka KIDESIN metalizowana</t>
  </si>
  <si>
    <t>dla profili KIDES</t>
  </si>
  <si>
    <t>Zaślepka KIDESIN-DUO metalizowana</t>
  </si>
  <si>
    <t>dla profili KIDES-DUO</t>
  </si>
  <si>
    <t>Zaślepka MICRO-ALU-OTW-MW ral7035</t>
  </si>
  <si>
    <t>Zaślepka PDS-O-MW ral7035</t>
  </si>
  <si>
    <t>Zaślepka PDS-O-OTW-MW ral7035</t>
  </si>
  <si>
    <t>Zaślepka 45-ALU-MW ral7035</t>
  </si>
  <si>
    <t>Zaślepka 45-ALU-OTW-MW ral7035</t>
  </si>
  <si>
    <t>Zaślepka EX-3D</t>
  </si>
  <si>
    <t>Zaślepka EX-3D-OTW</t>
  </si>
  <si>
    <t>Mocownik K-10</t>
  </si>
  <si>
    <t>dla profili PIKO, LINO, PIKO-ZM</t>
  </si>
  <si>
    <t>Mocownik PLD-10 transparentny</t>
  </si>
  <si>
    <t>Zestaw mocownik PLD-20</t>
  </si>
  <si>
    <t>dla profili OLEK z osłonami płaskimi (LIGER, KA, HS) oraz osłoną wypukłą PDS-LUK oraz dla profili PDS-O z osłonami płaskimi (LIGER, KA, HS) oraz osłoną wypukłą PDS-LUK</t>
  </si>
  <si>
    <t>Łącznik PD-MICRO</t>
  </si>
  <si>
    <t>Łącznik dla profilu MICRO-ALU</t>
  </si>
  <si>
    <t>Mocownik PDS-STN</t>
  </si>
  <si>
    <t>dla profili PDS4-ALU, PDS-O, MICRO-ALU, REGULOR ZWK</t>
  </si>
  <si>
    <t>Mocownik PDS lakier ral9005</t>
  </si>
  <si>
    <t>Mocownik PDS lakier ral9010</t>
  </si>
  <si>
    <t>Mocownik PDS-STN-60G</t>
  </si>
  <si>
    <t>dla profili PDS-4-ALU, PDS-4-PLUS, PDS-O, MICRO-ALU, MICRO-PLUS, REGULOR ZWK, 45-16, TAMI, TAPO</t>
  </si>
  <si>
    <t>Mocownik PDS-STN-45D</t>
  </si>
  <si>
    <t>Mocownik PDS-STN-60D</t>
  </si>
  <si>
    <t>Mocownik PDS-STN-30D</t>
  </si>
  <si>
    <t>Mocownik PDS-STN-90D</t>
  </si>
  <si>
    <t>Mocownik PDS-STN-90G</t>
  </si>
  <si>
    <t>Mocownik PDS-STN-ALFA</t>
  </si>
  <si>
    <t>Mocownik PL-PDM ral7035</t>
  </si>
  <si>
    <t>Mocownik PDS-H ral7035</t>
  </si>
  <si>
    <t>dla profili PDS-H</t>
  </si>
  <si>
    <t>Mocownik 45-STN</t>
  </si>
  <si>
    <t>dla profili 45-ALU, stal nierdzewna</t>
  </si>
  <si>
    <t>Mocownik 45 lakier ral9005</t>
  </si>
  <si>
    <t>Mocownik 45 lakier ral9010</t>
  </si>
  <si>
    <t>Mocownik GIP ral7035</t>
  </si>
  <si>
    <t>dla profili GIP, GIZA, LIPOD</t>
  </si>
  <si>
    <t>Mocownik GIP-UV ral7035</t>
  </si>
  <si>
    <t>Mocownik GIP-UV ral9005</t>
  </si>
  <si>
    <t>Mocownik GIP-STN</t>
  </si>
  <si>
    <t>Mocownik do profili z 3 zamkami mały jak LIPOD. Do montowania natynkowego, odporny na UV, produkowany z blachy nierdzewnej, niewidoczny.</t>
  </si>
  <si>
    <t>Mocownik POLI</t>
  </si>
  <si>
    <t>Mocownik PLANISA ral7035</t>
  </si>
  <si>
    <t>Mocownik PIONISA ral7035</t>
  </si>
  <si>
    <t>Mocownik DCP</t>
  </si>
  <si>
    <t>dla kabli, przewodów</t>
  </si>
  <si>
    <t>Mocownik AM-24</t>
  </si>
  <si>
    <t>Mocownik do wpinania opraw oświetleniowych w sufity zbudowane w systemie Armstrong, współpracuje z profilami z grupy architektonicznych (np. GIZA, LIPOD</t>
  </si>
  <si>
    <t>Sprężyna PDS</t>
  </si>
  <si>
    <t>dla profili MICRO, PDS4-ALU, STOS-ALU, TAMI (inne profile bez zaczepów)</t>
  </si>
  <si>
    <t>Sprężyna GP</t>
  </si>
  <si>
    <t>dla profili GIP (inne profile z zamkiem małym)</t>
  </si>
  <si>
    <t>Sprężyna TR</t>
  </si>
  <si>
    <t>dla profili TRIADA, TOST (inne profile z zamkiem dużym)</t>
  </si>
  <si>
    <t>Sprężyna KMA</t>
  </si>
  <si>
    <t>dla profili Mocują oprawy - profile przewidziane do powierzchni (nie zagłębione w tzw. gnieździe).Do profili z zamkiem małym.</t>
  </si>
  <si>
    <t>00844V1</t>
  </si>
  <si>
    <t>Sprężyna KDU</t>
  </si>
  <si>
    <t>dla profili TRIADA-K (ine profile z zamkiem dużym)</t>
  </si>
  <si>
    <t>Sprężyna BLOK</t>
  </si>
  <si>
    <t>dla profili TESPO, TEST, TES-16, WERKIN KPL.</t>
  </si>
  <si>
    <t>Sprężyna KR</t>
  </si>
  <si>
    <t>dla profili 3035-MOS, MOD-MOS-50, MOD-MOS-100</t>
  </si>
  <si>
    <t>Sprężyna RAM-1</t>
  </si>
  <si>
    <t>dla profili MOD-MOS-50, MOD-MOS-100</t>
  </si>
  <si>
    <t>Zestaw NEO-ZM-3</t>
  </si>
  <si>
    <t>do lekkich i średnich opraw LED</t>
  </si>
  <si>
    <t>Zestaw NEO-ZM-4</t>
  </si>
  <si>
    <t>Zestaw NEO-ZM-PLUS-3</t>
  </si>
  <si>
    <t>do średnich i ciężkich opraw LED</t>
  </si>
  <si>
    <t>Zestaw NEO-ZM-PLUS-4</t>
  </si>
  <si>
    <t>Zaślepka KOŃCOWA-FOLED</t>
  </si>
  <si>
    <t>dla profilu Foled</t>
  </si>
  <si>
    <t>Foled-50 End cap</t>
  </si>
  <si>
    <t>dla profili Foled-50</t>
  </si>
  <si>
    <t>Wieszak FOLED ze sprężyną</t>
  </si>
  <si>
    <t>dla profilu Folhak</t>
  </si>
  <si>
    <t>Mocownik REG-PD-UV ral7035</t>
  </si>
  <si>
    <t>dla profilu typu PDS-4-ALU, MICRO-ALU</t>
  </si>
  <si>
    <t>Mocownik REGIP-UV ral7035</t>
  </si>
  <si>
    <t>dla profilu typu GIZA, LIPOD</t>
  </si>
  <si>
    <t>Mocownik HR-OPTI</t>
  </si>
  <si>
    <t>do HR-OPTI</t>
  </si>
  <si>
    <t>Mocownik HR-OPTI-155</t>
  </si>
  <si>
    <t>Mocownik HR-OPTI-45</t>
  </si>
  <si>
    <t>Mocownik HR-OPTI-105</t>
  </si>
  <si>
    <t>Mocownik HR-OPTI-75</t>
  </si>
  <si>
    <t>Mocownik HR-OPTI-90</t>
  </si>
  <si>
    <t>Taśma samoprz. DWUSTR-9MM-396008-50M</t>
  </si>
  <si>
    <t>rolka 50 m</t>
  </si>
  <si>
    <t>Taśma samoprz. DWUSTR-9MM-VST4050C-33M</t>
  </si>
  <si>
    <t>rolka 33m</t>
  </si>
  <si>
    <t>Zestaw zaślepek 3035-HQ</t>
  </si>
  <si>
    <t>dla profili 3035</t>
  </si>
  <si>
    <t>Zestaw zaślepek 3035-O-HQ</t>
  </si>
  <si>
    <t>dla profili 3035-O</t>
  </si>
  <si>
    <t>Zestaw zaślepek DES-HQ</t>
  </si>
  <si>
    <t>Zaślepka DES</t>
  </si>
  <si>
    <t>Zestaw zaślepek JAZ-HQ</t>
  </si>
  <si>
    <t>dla profili JAZ</t>
  </si>
  <si>
    <t>Zestaw zaślepek KIDES-HQ</t>
  </si>
  <si>
    <t>Zaślepka KIDES</t>
  </si>
  <si>
    <t>Zaślepka KIDES-DUO</t>
  </si>
  <si>
    <t>Zestaw zaślepek OLEK-LUK-HQ</t>
  </si>
  <si>
    <t>dla profili OLEK-LUK</t>
  </si>
  <si>
    <t>Zestaw zaślepek SILER-HQ</t>
  </si>
  <si>
    <t>Zaślepka przewodnik PIKO-O ral7012</t>
  </si>
  <si>
    <t>Zaślepka przewodnik MICRO-M3 ral7035</t>
  </si>
  <si>
    <t>Zaślepka przewodnik MICRO ral7035</t>
  </si>
  <si>
    <t>Zaślepka przewodnik PDS-O ral7035</t>
  </si>
  <si>
    <t>do profilu PDS-O</t>
  </si>
  <si>
    <t>Zaślepka przewodnik PDS-O metalizowana</t>
  </si>
  <si>
    <t>Zaślepka przewodnik OLEK ral7035</t>
  </si>
  <si>
    <t>do profilu OLEK</t>
  </si>
  <si>
    <t>Zaślepka przewodnik OLEK-LUK ral7035</t>
  </si>
  <si>
    <t>do profilu OLEK-LUK</t>
  </si>
  <si>
    <t>Zaślepka JAZ-DUO-N</t>
  </si>
  <si>
    <t>do profilu JAZ-DUO</t>
  </si>
  <si>
    <t>Zaślepka JAZ-DUO-N-OTW</t>
  </si>
  <si>
    <t>Zaślepka JAZ-DUO-W ral1035</t>
  </si>
  <si>
    <t>Zaślepka JAZ-DUO-W ral9010</t>
  </si>
  <si>
    <t>Zaślepka JAZ-DUO-N-FI-6,5</t>
  </si>
  <si>
    <t>Zaślepka przewodnik JAZ-DUO-N</t>
  </si>
  <si>
    <t>Zaślepka przewodnik JAZ-DUO-W</t>
  </si>
  <si>
    <t>17167_0.25</t>
  </si>
  <si>
    <t>Maskownica MP-22 metalizowana 0,25m</t>
  </si>
  <si>
    <t>do profilI typu LIPOD</t>
  </si>
  <si>
    <t>17167_1</t>
  </si>
  <si>
    <t>Maskownica MP-22 metalizowana 1m</t>
  </si>
  <si>
    <t>17167l9005_0.25</t>
  </si>
  <si>
    <t>Maskownica MP-22 lakier ral9005 0,25m</t>
  </si>
  <si>
    <t>17167L9005_1</t>
  </si>
  <si>
    <t>Maskownica MP-22 lakier ral9005 1m</t>
  </si>
  <si>
    <t>17167L9010_0.25</t>
  </si>
  <si>
    <t>Maskownica MP-22 lakier ral9010 0,25m</t>
  </si>
  <si>
    <t>17167L9010_1</t>
  </si>
  <si>
    <t>Maskownica MP-22 lakier ral9010 1m</t>
  </si>
  <si>
    <t>17172_0.5</t>
  </si>
  <si>
    <t>Maskownica MP-50 metalizowana 0,5m</t>
  </si>
  <si>
    <t>Maskownica na bazie osłony LIGER-50, ekstrudowana z PC,</t>
  </si>
  <si>
    <t>17172_1</t>
  </si>
  <si>
    <t>Maskownica MP-50 metalizowana 1m</t>
  </si>
  <si>
    <t>17172L9005_0.5</t>
  </si>
  <si>
    <t>Maskownica MP-50 ral9005 0,5m</t>
  </si>
  <si>
    <t>Maskownica na bazie osłony LIGER-50, ekstrudowana z PC, RAL9005</t>
  </si>
  <si>
    <t>17172L9005_1</t>
  </si>
  <si>
    <t>Maskownica MP-50 ral9005 1m</t>
  </si>
  <si>
    <t>17172L9010_0.5</t>
  </si>
  <si>
    <t>Maskownica MP-50 ral9010 0,5m</t>
  </si>
  <si>
    <t>Maskownica na bazie osłony LIGER-50, ekstrudowana z PC, RAL9010</t>
  </si>
  <si>
    <t>17172L9010_1</t>
  </si>
  <si>
    <t>Maskownica MP-50 ral9010 1m</t>
  </si>
  <si>
    <t>Złącze</t>
  </si>
  <si>
    <t>do profilu 4050-W</t>
  </si>
  <si>
    <t>Łącznik ZM-MINI-180</t>
  </si>
  <si>
    <t>dla profili: GIZA-LL, GIZA-DUO-LL, 3035, JAZ, OPK-4, OLEK, KOPRO-30, PDS-ZM, GLAD-45, KUBIK-45, GIZA, LIPOD, LOKOM, LARKO,</t>
  </si>
  <si>
    <t>Łącznik ZM-45-G</t>
  </si>
  <si>
    <t>LESTO, OPAC-30, SEPOD, SEKOMA, SEKODU, WERKIN, 30305-O, PIKO-ZM</t>
  </si>
  <si>
    <t>Łącznik ZM-60-G</t>
  </si>
  <si>
    <t>Dla profili GIZA-LL, OPK-4, 3035, JAZ, OLEK, KOPRO-30, PDS-ZM, OPAC-30, SEPOD, 3035-O, LARKO-50, PIKO-ZM, PDS-ZMG, MOD-50, PDS-ZM-PLUS, RAM-KOL-50, RAM-KOL-100, 4050, 4050-W, GIZA-DUO-LL, GLAZA-LL, LIPOD-50</t>
  </si>
  <si>
    <t>Łącznik ZM-90-G</t>
  </si>
  <si>
    <t>Łącznik ZM-120-G</t>
  </si>
  <si>
    <t>Dla profili GIZA-LL, OPK-4, 3035, JAZ, OLEK, KOPRO-30, PDS-ZM, OPAC-30, SEPOD, 3035-O, LARKO-50, PIKO-ZM, PDS-ZMG, MOD-50, PDS-ZM-PLUS, RAM-KOL-50, RAM-KOL-100, 4050, 4050-W, GIZA-DUO-LL, GLAZA-LL</t>
  </si>
  <si>
    <t>Łącznik ZM-135-G</t>
  </si>
  <si>
    <t>Łącznik ZM-60</t>
  </si>
  <si>
    <t>Łącznik ZM-90</t>
  </si>
  <si>
    <t>Łącznik ZM-120</t>
  </si>
  <si>
    <t>Łącznik ZM-135</t>
  </si>
  <si>
    <t>Łącznik ZM-180</t>
  </si>
  <si>
    <t>Łącznik ZM-T45-G</t>
  </si>
  <si>
    <t>dla profili:GIZA-LL, GIZA-DUO-LL, 3035, JAZ, OPK-4, OLEK, KOPRO-30, PDS-ZM, GLAD-45, KUBIK-45, GIZA, LIPOD, LOKOM, LARKO,</t>
  </si>
  <si>
    <t>Łącznik ZM-T60-G</t>
  </si>
  <si>
    <t>Łącznik ZM-T90-G</t>
  </si>
  <si>
    <t>Dla profili GIZA-LL, OPK-4, 3035, JAZ, OLEK, FOLED, FOLED-BOX, FOLED-SUF, GIZA, OPAC-30, 3035-O, LARKO-50, PIKO-ZM, PDS-ZMG, PDS-ZM-PLUS, 4050, 4050-W, GIZA-DUO-LL</t>
  </si>
  <si>
    <t>Łącznik ZM-X45-G</t>
  </si>
  <si>
    <t>Dla profili GIZA-LL, OPK-4, 3035, JAZ, OLEK, GIZA, OPAC-30, 3035-O, LARKO-50, PIKO-ZM, PDS-ZMG, PDS-ZM-PLUS, 4050, 4050-W, GIZA-DUO-LL</t>
  </si>
  <si>
    <t>Łącznik ZM-X60-G</t>
  </si>
  <si>
    <t>Do profili GIZA-LL, OPK-4, 45-16, JAZ, OLEK, FOLED, FOLED-BOK, FOLED-SUF, GIZA, OPAC-30, 3035-O, LARKO-50, PIKO-ZM, PDS-ZMG, PDS-ZM-PLUS, 4050, 4050-W, GIZA-DUO-LL</t>
  </si>
  <si>
    <t>Łącznik ZM-X90-G</t>
  </si>
  <si>
    <t>Łącznik ZM-Y120-G</t>
  </si>
  <si>
    <t>Łącznik ZM-PION-45</t>
  </si>
  <si>
    <t>Łącznik ZM-PION-60</t>
  </si>
  <si>
    <t>Łącznik ZM-PION-90</t>
  </si>
  <si>
    <t>do łączenia prostego i kątowego profili KLUŚ wyposażonych w „zamek mały” oraz do stabilizowania końców profili montowanych w ciągi</t>
  </si>
  <si>
    <t>Łącznik ZM-PION-120</t>
  </si>
  <si>
    <t>Do profili GIZA-LL, OPK-4, 3035, JAZ, OLEK, KOPRO-30, PDS-ZM, OPAC-30, SEPOD, OBIT, 3035-O, LARKO-50, PIKO-ZM, PDS-ZMG, MOD-50, PDS-ZM-PLUS, RAM-KOL-50, RAM-KOL-100, 4050, 4050-W, GIZA-DUO-LL, GLAZA-LL</t>
  </si>
  <si>
    <t>Łącznik ZM-PION-135</t>
  </si>
  <si>
    <t>Do profili GIZA-LL, OPK-4, 3035, JAZ, OLEK, KOPRO-30, PDS-ZM, OPAC-30, SEPOD, 3035-O, LARKO-50, PIKO-ZM, PDS-ZMG, MOD-50, PDS-ZM-PLUS, RAM-KOL-50, RAM-KOL-100, 4050, 4050-W, GIZA-DUO-LL, GLAZA-LL, LIPOD-50</t>
  </si>
  <si>
    <t>Łącznik ZM-NA-45</t>
  </si>
  <si>
    <t>dla profili: TPK-4, KOZUS -CR, TEKNIK-ZM, FOLED, FOLED-BOK, FOLED-</t>
  </si>
  <si>
    <t>Łącznik ZM-NA-60</t>
  </si>
  <si>
    <t>SUF, KOZMA, KOZEL, KOZUS, NISA-PLA, NISA-KON, NISA-KRA, NISA-NI, LIT-L</t>
  </si>
  <si>
    <t>Łącznik ZM-NA-90</t>
  </si>
  <si>
    <t>Do profili TPK-4, KOZUS-CR, FOLED, FOLED-BOK, FOLED-SUF, GLAD-45, KUBIK-45, GIZA, LIPOD, KOPRO, KOZMA, KOZEL, KOZUS, DES, GLADES, KIDES-DUO, SEKOMA, SEKODU, NISA-PLA, NISA-KON, NISA-KRA, NISA-NI, LIT-L, KOZUS-50, RAM-KOZE-100, RAM-3035-KOZE, RAM-TEK-50</t>
  </si>
  <si>
    <t>Łącznik ZM-NA-120</t>
  </si>
  <si>
    <t>Łącznik ZM-NA-135</t>
  </si>
  <si>
    <t>Do profili TPK-4, KOZUS-CR, TEKNIK-ZM, FOLED, FOLED-BOK, FOLED-SUF, GLAD-45, KUBIK-45, GIZA, LIPOD, LOKOM, LARKO, KOPRO, KOZMA, KOZEL, KOZUS, DES, GLADES, KIDES-DUO, SEKOMA, SEKODU, NISA-PLA, NISA-KON, NISA-KRA, NISA-NI, LIT-L, KOZEL-50, KOZUS-50, KOZEL-10, TEKUS-ZM, TEKNIK-ZM-TK, RAM-KOZE-50, RAM-KOZE-100, RAM-3035-KOZE, PDS-T, RAM-TEK-50, RAM-TEK-100, PDS-UST, GIZA-LL-T, GIZA-LL-UST</t>
  </si>
  <si>
    <t>Łącznik ZM-NA-180</t>
  </si>
  <si>
    <t>Do profili TPK-4, KOZUS-CR, TEKNIK-ZM, FOLED, FOLED-BOK, FOLED-SUF, GLAD-45, KUBIK-45, GIZA, LIPOD, LOKOM, LARKO, KOPRO, KOZMA, KOZEL, KOZUS, DES, GLADES, KIDES-DUO, SEKOMA, SEKODU, NISA-PLA, NISA-KON, NISA-KRA, NISA-NI, LIT-L, KOZEL-50, KOZUS-50, KOZEL-10, TEKUS-ZM, TEKNIK-ZM-TK, RAM-KOZE-50, RAM-KOZE-100, RAM-3035-KOZE, PDS-T, RAM-TEK-50, RAM-TEK-100, PDS-UST, GIZA-LL-T, GIZA-LL-UST, HR-MAX-T, HR-MAX-TW</t>
  </si>
  <si>
    <t>Łącznik ZM-NA-PION-45</t>
  </si>
  <si>
    <t>Łącznik ZM-NA-PION-60</t>
  </si>
  <si>
    <t>Łącznik ZM-NA-PION-90</t>
  </si>
  <si>
    <t>Łącznik ZM-NA-PION-120</t>
  </si>
  <si>
    <t>Łącznik ZM-NA-PION-135</t>
  </si>
  <si>
    <t>Łącznik ZM-45</t>
  </si>
  <si>
    <t>Łącznik ZM-T45</t>
  </si>
  <si>
    <t>Łącznik ZM-T60</t>
  </si>
  <si>
    <t>Łącznik ZM-T90</t>
  </si>
  <si>
    <t>Łącznik ZM-X45</t>
  </si>
  <si>
    <t>Łącznik ZM-X60</t>
  </si>
  <si>
    <t>Łącznik ZM-X90</t>
  </si>
  <si>
    <t>Łącznik ZM-Y120</t>
  </si>
  <si>
    <t>Łącznik ZD-180</t>
  </si>
  <si>
    <t>dla profili: TAKO, TOST, TRIADA, TRIADA-K, DES, GLADES</t>
  </si>
  <si>
    <t>Łącznik ZD-90</t>
  </si>
  <si>
    <t>Do profili TAKO, TOST, TRIADA, TRIADA-K</t>
  </si>
  <si>
    <t>Łącznik ZD-135</t>
  </si>
  <si>
    <t>Łącznik ZD-90-PION</t>
  </si>
  <si>
    <t>Łącznik ZD-135-PION</t>
  </si>
  <si>
    <t>Mocowanie zasilające kinkietu 73mm</t>
  </si>
  <si>
    <t>Mocowanie z możliwością podłączenia przewodów zasilajacych kinkiet do montażu naściennego, długości 73 mm</t>
  </si>
  <si>
    <t>Linka stalowa z rdzeniem CU FI0,95 mm</t>
  </si>
  <si>
    <t>Umożliwia estetyczne podwieszenie i zasilenie oprawy</t>
  </si>
  <si>
    <t>Linka CU w izolacji FI-1,35mm</t>
  </si>
  <si>
    <t>Długość 1 m</t>
  </si>
  <si>
    <t>Linka stalowa FI-1 1m</t>
  </si>
  <si>
    <t>Linka stalowa FI-1 2m</t>
  </si>
  <si>
    <t>Długość 2 m</t>
  </si>
  <si>
    <t>Linka NIERDZEWNA-05</t>
  </si>
  <si>
    <t>Do podwieszania małogabarytowych opraw oświetleniowych</t>
  </si>
  <si>
    <t>Tulejka na linkę 1mm zaciskowa</t>
  </si>
  <si>
    <t>Tuleja NA-LINKE-05MM</t>
  </si>
  <si>
    <t>do zabezpieczania końcówek lub tworzenia pętli na linkach stalowych o przekroju 0,5 mm</t>
  </si>
  <si>
    <t>Linka zabezpieczająca ZM-1</t>
  </si>
  <si>
    <t>zabezpieczenie opraw oświetleniowych przed odczepieniem się od powierzchni</t>
  </si>
  <si>
    <t>Linka zabezpieczająca ZM-2</t>
  </si>
  <si>
    <t>Pręt FI-3 nierdzewny 2m</t>
  </si>
  <si>
    <t>Pręt do zawieszek, długość 2m, ø3mm</t>
  </si>
  <si>
    <t>Pręt FI-3-ALU anoda srebrny 1m</t>
  </si>
  <si>
    <t>Pręt do zawieszek aluminimum anodowane, długość 1m, ø3mm</t>
  </si>
  <si>
    <t>Pręt FI-3-ALU anoda srebrny 2m</t>
  </si>
  <si>
    <t>Pręt do zawieszek aluminimum anodowane, długość 2m, ø3mm</t>
  </si>
  <si>
    <t>Pręt FI-3-ALU anoda czarny 1m</t>
  </si>
  <si>
    <t>Pręt FI-3-ALU anoda czarny 2m</t>
  </si>
  <si>
    <t>Pręt FI-3 mosiądz chrom 1m</t>
  </si>
  <si>
    <t>Pręt do zawieszek, długość 1m, ø3mm</t>
  </si>
  <si>
    <t>Pręt 100 PUSZ mosiadz chrom 1m</t>
  </si>
  <si>
    <t>Pręt gwintowany jednostronnie, dedykowany do zawieszek PUSZ PRET,długość 1m, ø3mm</t>
  </si>
  <si>
    <t>42530ANODA_1</t>
  </si>
  <si>
    <t>Pręt 100-PUSZ-ALU srebrny</t>
  </si>
  <si>
    <t>Pręt aluminiowy ø3mm gwintem M3, do zawieszek PUSZ-PRET-…</t>
  </si>
  <si>
    <t>42530K7_1</t>
  </si>
  <si>
    <t>Pręt 100-PUSZ-ALU czarny</t>
  </si>
  <si>
    <t>42531ANODA_2</t>
  </si>
  <si>
    <t>Pręt 200-PUSZ-ALU srebrny</t>
  </si>
  <si>
    <t>42531K7_2</t>
  </si>
  <si>
    <t>Pręt 200-PUSZ-ALU czarny</t>
  </si>
  <si>
    <t>Pręt FI-3 nierdzewny 53cm</t>
  </si>
  <si>
    <t>Długość 53 cm, wygięty w łuk, do budowy lamp nablatowych</t>
  </si>
  <si>
    <t>Złącze przewodnikowe PATYK</t>
  </si>
  <si>
    <t>Wysokość 7cm</t>
  </si>
  <si>
    <t>Zawieszka P-M-Z</t>
  </si>
  <si>
    <t>Zawieszka poprzeczna zasilająca, przeznaczona do mocowania opraw oświetleniowych w powierzchniach murowanych</t>
  </si>
  <si>
    <t>00097L9005</t>
  </si>
  <si>
    <t>Zawieszka P-M-Z czarna RAL9005</t>
  </si>
  <si>
    <t>00097L9010</t>
  </si>
  <si>
    <t>Zawieszka P-M-Z biała RAL9010</t>
  </si>
  <si>
    <t>Zawieszka W-M-Z</t>
  </si>
  <si>
    <t>Zawieszka wzdłużna zasilająca, przeznaczona do mocowania opraw oświetleniowych w powierzchniach murowanych</t>
  </si>
  <si>
    <t>00093L9005</t>
  </si>
  <si>
    <t>Zawieszka W-M-Z czarny RAL9005</t>
  </si>
  <si>
    <t>00093L9010</t>
  </si>
  <si>
    <t>Zawieszka W-M-Z biały RAL9010</t>
  </si>
  <si>
    <t>Zawieszka LIN</t>
  </si>
  <si>
    <t>do podwieszania opraw LED</t>
  </si>
  <si>
    <t>Zawieszka FI-8-LIN-ZM</t>
  </si>
  <si>
    <t>podwieszanie opraw o małym gabarycie</t>
  </si>
  <si>
    <t>42285L9005</t>
  </si>
  <si>
    <t>Zawieszka FI-8-LIN-ZM ral9005</t>
  </si>
  <si>
    <t>42285L9010</t>
  </si>
  <si>
    <t>Zawieszka FI-8-LIN-ZM ral9010</t>
  </si>
  <si>
    <t>Zawieszka FI-8-LIN-ZMZ</t>
  </si>
  <si>
    <t>podwieszanie i zasilanie opraw o małym gabarycie</t>
  </si>
  <si>
    <t>42286L9005</t>
  </si>
  <si>
    <t>Zawieszka FI-8-LIN-ZMZ ral9005</t>
  </si>
  <si>
    <t>Zawieszka FI-8-LIN-MR</t>
  </si>
  <si>
    <t>podwieszanie i zasilanie opraw o małym gabarycie, mocowanie do profili bez zewnętrznych elementów do montażu akcesoriów</t>
  </si>
  <si>
    <t>42287L9005</t>
  </si>
  <si>
    <t>Zawieszka FI-8-LIN-MR ral9005</t>
  </si>
  <si>
    <t>42287L9010</t>
  </si>
  <si>
    <t>Zawieszka FI-8-LIN-MR ral9010</t>
  </si>
  <si>
    <t>Zawieszka FI-8-LIN-Z</t>
  </si>
  <si>
    <t>42288L9005</t>
  </si>
  <si>
    <t>Zawieszka FI-8-LIN-Z ral9005</t>
  </si>
  <si>
    <t>42288L9010</t>
  </si>
  <si>
    <t>Zawieszka FI-8-LIN-Z ral9010</t>
  </si>
  <si>
    <t>Zawieszka FI-8-PRET--MR</t>
  </si>
  <si>
    <t>podwieszanie opraw o małym gabarycie za pomocą prętów</t>
  </si>
  <si>
    <t>42345L9005</t>
  </si>
  <si>
    <t>Zawieszka FI-8-PRET-MR czarna RAL9005</t>
  </si>
  <si>
    <t>42345L9010</t>
  </si>
  <si>
    <t>Zawieszka FI-8-PRET-MR biała RAL9010</t>
  </si>
  <si>
    <t>Zawieszka FI-8-PRET-Z</t>
  </si>
  <si>
    <t>podwieszanie i zasilanie opraw o małym gabarycie za pomocą prętów</t>
  </si>
  <si>
    <t>42346L9005</t>
  </si>
  <si>
    <t>Zawieszka FI-8-PRET-Z czarny RAL9005</t>
  </si>
  <si>
    <t>42346L9010</t>
  </si>
  <si>
    <t>Zawieszka FI-8-PRET-Z biały RAL9010</t>
  </si>
  <si>
    <t>Zawieszka FI-8-PRET-ZM</t>
  </si>
  <si>
    <t>42347L9005</t>
  </si>
  <si>
    <t>Zawieszka FI-8-PRET-ZM czarny RAL9005</t>
  </si>
  <si>
    <t>42347L9010</t>
  </si>
  <si>
    <t>Zawieszka FI-8-PRET-ZM biały RAL9010</t>
  </si>
  <si>
    <t>Zawieszka FI-8-PRET-ZMZ</t>
  </si>
  <si>
    <t>Zawieszka FI-10-ZM-W</t>
  </si>
  <si>
    <t>PL/ do połączenia profilu – opr. wyposażonej w zamek ZM z dowolnym rodzajem elementu zawieszającego (linki , pręt, itp.)</t>
  </si>
  <si>
    <t>Zawieszka FI-10-ZM-P</t>
  </si>
  <si>
    <t>PL/ służy do poprzecznego połączenia profilu – oprawy wyposażonej w zamek ZM z elementem zawieszającym (pręt)</t>
  </si>
  <si>
    <t>Zawieszka PUSZ-PRET-ZM</t>
  </si>
  <si>
    <t>PL/ Element przeznaczony dla opraw KLUŚ wyposażonych w zamek mały.</t>
  </si>
  <si>
    <t>Zawieszka PUSZ-PRET-ZD</t>
  </si>
  <si>
    <t>PL/ Element przeznaczony dla opraw KLUŚ wyposażonych w zamek duży.</t>
  </si>
  <si>
    <t>Zawieszka PUSZ-PRET-MR</t>
  </si>
  <si>
    <t>PL/ Element przeznaczony dla opraw KLUŚ o ściankach profili o grubości 1-1.5mm.</t>
  </si>
  <si>
    <t>Zawieszka PUSZ-PRET-LEB</t>
  </si>
  <si>
    <t>PL/ Element przeznaczony dla opraw KLUŚ.Wyposażony w śrubę z łbem sześciokątnym do przykręcenia nawierconego profilu.</t>
  </si>
  <si>
    <t>Zawieszka PUSZ-LIN-ZM</t>
  </si>
  <si>
    <t>Zawieszka PUSZ-LIN-ZD</t>
  </si>
  <si>
    <t>Zawieszka PUSZ-LIN-MR</t>
  </si>
  <si>
    <t>Zawieszka PUSZ-LIN-LEB</t>
  </si>
  <si>
    <t>Zawieszka PUSZ-SUF</t>
  </si>
  <si>
    <t>PL/ Pełni funkcje estetycznego zamocowania linki do sufitu, na której zawieszona jest oprawa oświetleniowa.</t>
  </si>
  <si>
    <t>Zawieszka PUSZ-SUF-49</t>
  </si>
  <si>
    <t>PL/ Pełni funkcje estetycznego zamocowania linki do sufitu, na której zawieszona jest oprawa oświetleniowa. Jest dodatkowo wyposażona w maskownicę 49.</t>
  </si>
  <si>
    <t>42276L9005</t>
  </si>
  <si>
    <t>Zawieszka PUSZ-PRET-ZM ral9005</t>
  </si>
  <si>
    <t>42282L9005</t>
  </si>
  <si>
    <t>Zawieszka PUSZ-PRET-ZD ral9005</t>
  </si>
  <si>
    <t>42281L9005</t>
  </si>
  <si>
    <t>Zawieszka PUSZ-PRET-MR ral9005</t>
  </si>
  <si>
    <t>42280L9005</t>
  </si>
  <si>
    <t>Zawieszka PUSZ-PRET-LEB ral9005</t>
  </si>
  <si>
    <t>42275L9005</t>
  </si>
  <si>
    <t>Zawieszka PUSZ-LIN-ZM ral9005</t>
  </si>
  <si>
    <t>42279L9005</t>
  </si>
  <si>
    <t>Zawieszka PUSZ-LIN-ZD ral9005</t>
  </si>
  <si>
    <t>42278L9005</t>
  </si>
  <si>
    <t>Zawieszka PUSZ-LIN-MR ral9005</t>
  </si>
  <si>
    <t>42277L9005</t>
  </si>
  <si>
    <t>Zawieszka PUSZ-LIN-LEB ral9005</t>
  </si>
  <si>
    <t>42283L9005</t>
  </si>
  <si>
    <t>Zawieszka PUSZ-SUF ral9005</t>
  </si>
  <si>
    <t>42283L9010</t>
  </si>
  <si>
    <t>Zawieszka PUSZ-SUF ral9010</t>
  </si>
  <si>
    <t>Zawieszka K-10-PP</t>
  </si>
  <si>
    <t>dla profili LINO, PIKO, PIKO-ZM</t>
  </si>
  <si>
    <t>Zawieszka K-10-WP</t>
  </si>
  <si>
    <t>Zawieszka K-10-WL</t>
  </si>
  <si>
    <t>42340L9005</t>
  </si>
  <si>
    <t>Zawieszka OS22-DUO-LIN-Z ral9005</t>
  </si>
  <si>
    <t>do profili GIZA, GIZA-LL, LIPOD, GIZA-DUO-LL, GLAZA -LL, GIZA-LL-T, GIZA-LL-UST, GLAZA-DUO</t>
  </si>
  <si>
    <t>42340L9010</t>
  </si>
  <si>
    <t>Zawieszka OS22-DUO-LIN-Z ral9010</t>
  </si>
  <si>
    <t>42343L9005</t>
  </si>
  <si>
    <t>Zawieszka OS22-DUO-PRET-Z ral9005</t>
  </si>
  <si>
    <t>42343L9010</t>
  </si>
  <si>
    <t>Zawieszka OS22-DUO-PRET-Z ral9010</t>
  </si>
  <si>
    <t>42341L9005</t>
  </si>
  <si>
    <t>Zawieszka OS22-LIN-Z ral9005</t>
  </si>
  <si>
    <t>42341L9010</t>
  </si>
  <si>
    <t>Zawieszka OS22-LIN-Z ral9010</t>
  </si>
  <si>
    <t>42344L9005</t>
  </si>
  <si>
    <t>Zawieszka OS22-PRET-Z ral9005</t>
  </si>
  <si>
    <t>42344L9010</t>
  </si>
  <si>
    <t>Zawieszka OS22-PRET-Z ral9010</t>
  </si>
  <si>
    <t>Zawieszka UCHO-ZM</t>
  </si>
  <si>
    <t>dla profilu z "zamkiem małym"</t>
  </si>
  <si>
    <t>Zawieszka UCHO-ZM czarna</t>
  </si>
  <si>
    <t>Zawieszka UCHO-ZD</t>
  </si>
  <si>
    <t>Blokada ZD</t>
  </si>
  <si>
    <t>przewidziana jest dla zamka dużego</t>
  </si>
  <si>
    <t>Blokada ZM</t>
  </si>
  <si>
    <t>Blokada ZM przewidziana jest dla zamka małego</t>
  </si>
  <si>
    <t>Zawieszka W-BOX-Z</t>
  </si>
  <si>
    <t>PL/ Zawieszka wzdłużna boxu zasilania jest elementem pozwalającym podwieszać do boxu, na prętach lub linkach oprawy Kluś z możliwością zasilania prądem 12 i 24 V. Zawieszka umożliwia również regulowanie poziomu oprawy. Jej konstrukcja jest odizolowana elektrycznie od korpusu boxu.</t>
  </si>
  <si>
    <t>Zawieszka W-KG-Z</t>
  </si>
  <si>
    <t>Przeznaczona do montowania wysięgników i linek w układzie prostopadłym do płaszczyzny sufitu, ścian itp. Umożliwia przyłaczenie zasilania jednego bieguna prądowego przewodem, w sytuacji gdy nie ma dostępu do drugiej strony płyty, do której jest mocowana.</t>
  </si>
  <si>
    <t>42552L9005</t>
  </si>
  <si>
    <t>Zawieszka W-KG-Z czarny RAL9005</t>
  </si>
  <si>
    <t>42552L9010</t>
  </si>
  <si>
    <t>Zawieszka W-KG-Z biały RAL9010</t>
  </si>
  <si>
    <t>Zawieszka P-KG-Z</t>
  </si>
  <si>
    <t>Przeznaczona do podwieszania opraw na prętach lub linkah, równoległych do płaszczyzn sufitów, ścian itp. Umożliwia przyłaczenie zasilania jednego bieguna prądowego przewodem, w sytuacji gdy nie ma dostępu do drugiej strony płyty, do której jest mocowana.</t>
  </si>
  <si>
    <t>42553L9005</t>
  </si>
  <si>
    <t>Zawieszka P-KG-Z czarny RAL9005</t>
  </si>
  <si>
    <t>42553L9010</t>
  </si>
  <si>
    <t>Zawieszka P-KG-Z biały RAL9010</t>
  </si>
  <si>
    <t>Zawieszka W-KG</t>
  </si>
  <si>
    <t>Przeznaczona do montowania wysięgników i linek w układzie równoległym do płaszczyzny posadowienia. Z możliwością podłaczenia zasilania jednego bieguna prądowego, w układzie gdy jest dostęp do "lewej" strony płaszczyzny.</t>
  </si>
  <si>
    <t>Zawieszka P-KG</t>
  </si>
  <si>
    <t>Przeznaczona do montowania wysięgników i linek w układzie prostopadłym do płaszczyzny posadowienia. Z możliwością podłaczenia zasilania jednego bieguna prądu, w układzie gdy jest dostęp do "lewej" strony płaszczyzny.</t>
  </si>
  <si>
    <t>Zawieszka W-B</t>
  </si>
  <si>
    <t>Zawieszka mocująca wysięgnik oprawy w układzie prostopadłym do płaszczyzny blatu. Umożliwia podłączenie zasilania jednego bieguna prądu w układzie gdy jest dostęp do "lewej"strony blatu.</t>
  </si>
  <si>
    <t>Zawieszka P-B</t>
  </si>
  <si>
    <t>Zawieszka mocująca wysięgnik oprawy w układzie równoległym do płaszczyzny blatu. Umożliwia podłączenie zasilania jednego bieguna prądu w układzie gdy jest dostęp do "lewej"strony blatu.</t>
  </si>
  <si>
    <t>Zawieszka DP-PDS-O</t>
  </si>
  <si>
    <t>PL/ Do podwieszania i do podtrzymania opraw zwłaszcza przy znacznej ich długości, aby zlikwidować zjawisko obwieszania się. Zawieszka mocowana jest do profilu wkrętem łbem stożkowym. Do profilu: PDS-O</t>
  </si>
  <si>
    <t>Zawieszka DP-ZO-PDS-O</t>
  </si>
  <si>
    <t>PL/ Zawieszki zasilające ZO służą do podwieszania i podtrzymania profili a jednocześnie do poprowadzenia zasilania paska LED. Zawieszki mocowane sa bezpośrednio do profilu wkrętem z łbem stożkowym. Zawieszki z funkcją zasilania wewnętrznego przeznaczone są do przenoszenia prądu o napięciu 12 i 24 V. Jedną zawieszką zasilany jest jeden biegun prądu. W tym przypadku prąd jednego bieguna płynie po wysięgniku mocowania. Przewód łączący biegunpaska LED z wysięgnikiem jest niewidoczny. dla profilu PDS-O</t>
  </si>
  <si>
    <t>Zawieszka DP-45-MOC</t>
  </si>
  <si>
    <t>PL/ Do podwieszania i do podtrzymania opraw zwłaszcza przy znacznej ich długości, aby zlikwidować zjawisko obwieszania się. Zawieszki mocowane są do profilu za pośrednictwem mocownika. dla profilu 45-ALU</t>
  </si>
  <si>
    <t>Wysięgnik K0-AB300</t>
  </si>
  <si>
    <t>PL/ Wysięgnik gładki do montazu w zaczepie wzdłużnym, poprzecznymlub do własnej obróbki. Dostępny w odcinku 300 mm.</t>
  </si>
  <si>
    <t>Wysięgnik K1-AB300</t>
  </si>
  <si>
    <t>PL/ Wysięgnik gładki z końcówką -K1 (jeden raz wygiętą), do montazu w zaczepie wzdłużnym, poprzecznym lub do własnej obróbki. Dostępny w odcinku 300 mm.</t>
  </si>
  <si>
    <t>Pręt M5-K5 1m</t>
  </si>
  <si>
    <t>PL/ Pręt M5 w koszulce termokurczliwej - do budowy wysięgników. Dostępny w odcinku 1000 mm.</t>
  </si>
  <si>
    <t>Pręt M5</t>
  </si>
  <si>
    <t>PL/ Pręt M5 w koszulce termokurczliwej - do budowy wysięgników.</t>
  </si>
  <si>
    <t>Zaczep wzdłużny</t>
  </si>
  <si>
    <t>PL/ Element zamocowania wzdłużnego (współliniowo z osią elementu).</t>
  </si>
  <si>
    <t>Łącznik przewodnikowy PDS</t>
  </si>
  <si>
    <t>Element do stosowania w mocowaniach grupy M5.</t>
  </si>
  <si>
    <t>Łącznik K5</t>
  </si>
  <si>
    <t>Podkładki izolujące FI-3</t>
  </si>
  <si>
    <t>Komplet do izolowania zamocowania Ø 6 mm, od metalowego lub szklanego miejsca jego posadowienia.</t>
  </si>
  <si>
    <t>Kpl. podkładek mont. w strop Armstronga</t>
  </si>
  <si>
    <t>Przeznaczone specjalnie do montażu w stropach Armstronga</t>
  </si>
  <si>
    <t>Docisk M5</t>
  </si>
  <si>
    <t>Śruba dociskowa do przewodnika zaślepki PDS 4-ALU . Element do stosowania w mocowaniach grupy M5</t>
  </si>
  <si>
    <t>Docisk M6</t>
  </si>
  <si>
    <t>Śruba dociskowa do zaczepu wzdłużnego i zaczepu poprzecznego.</t>
  </si>
  <si>
    <t>Głowica BZP</t>
  </si>
  <si>
    <t>Głowica montowana bezpośrednio do profilu. dla profili KLUŚ.</t>
  </si>
  <si>
    <t>Głowica ST</t>
  </si>
  <si>
    <t>Głowica standardowa z mocownikiem. dla profilu PDS 4-ALU, MICRO-ALU, REGULOR ZWK, TAMI itp.</t>
  </si>
  <si>
    <t>Głowica 45-ST</t>
  </si>
  <si>
    <t>Głowica standardowa z mocownikiem. dla profilu 45-ALU</t>
  </si>
  <si>
    <t>Głowica 45-ZZ</t>
  </si>
  <si>
    <t>Głowica zasilająca z mocownikiem. Zasilanie zewnętrzne, dla profilu 45-ALU, TAN-C5</t>
  </si>
  <si>
    <t>Głowica ZO</t>
  </si>
  <si>
    <t>Głowica zasilająca z mocownikiem. Zasilanie wewnętrzne, dla profilu PDS4-ALU, MICRO-ALU, REGULOR ZWK, TAMI itp.</t>
  </si>
  <si>
    <t>Wysięgnik K0G-AB</t>
  </si>
  <si>
    <t>Wysięgnik z gwintem M3 - do wkręcania w zamocowania C1, C2, C3, C4 lub bezpośrednio w miejsce posadowienia. Możliwość zastosowania maskownicy M3.</t>
  </si>
  <si>
    <t>Mocowanie K1G-AB</t>
  </si>
  <si>
    <t>Wysięgnik z gwintem M3, z końcówką - K1 (jeden raz wygiętą), do wkręcania w zamocowania C1, C2, C3, C4 lub bezpośrednio w miejsce posadowienia. Możliwość zastosowania maskownicy M3</t>
  </si>
  <si>
    <t>Pręt FI-3</t>
  </si>
  <si>
    <t>Pręt 3 mm ze stali nierdzewnej</t>
  </si>
  <si>
    <t>Mocowanie C5</t>
  </si>
  <si>
    <t>Zamocowanie z możliwością montażu i demontazu wysięgnika w układzie wzdłużnym. Rodzaj podłoża mur, kamień, beton</t>
  </si>
  <si>
    <t>Mocowanie C6</t>
  </si>
  <si>
    <t>Zamocowanie z możliwością montażu i demontazu wysięgnika w układzie wzdłużnym. Z estetycznym miejscem posadowienia. Rodzaj podłoża karton-gips</t>
  </si>
  <si>
    <t>Mocowanie C7</t>
  </si>
  <si>
    <t>Zamocowanie z możliwością montażu i demontazu wysięgnika w układzie wzdłużnym. Rodzaj podłoża drewno, płyta drewnopochodna</t>
  </si>
  <si>
    <t>Wysięgnik K5G-AB</t>
  </si>
  <si>
    <t>Wysięgnik z gwintem M5 - w koszulce termokurczliwej - do własnej obróbki.</t>
  </si>
  <si>
    <t>Zawieszka PLD-10-PP</t>
  </si>
  <si>
    <t>Montaż do opraw o okrągłym przekroju i małym gabarycie</t>
  </si>
  <si>
    <t>Zawieszka PLD-10-WL</t>
  </si>
  <si>
    <t>Zawieszka PLD-10-WP</t>
  </si>
  <si>
    <t>Zawieszka M4-12</t>
  </si>
  <si>
    <t>do profilu MOD-50, MOD-100</t>
  </si>
  <si>
    <t>42647NI</t>
  </si>
  <si>
    <t>Zestaw mocowań RG-1 srebrny</t>
  </si>
  <si>
    <t>do podwieszania liniowych opraw LED</t>
  </si>
  <si>
    <t>42647GSS</t>
  </si>
  <si>
    <t>Zestaw mocowań RG-1 srebrna satyna</t>
  </si>
  <si>
    <t>42647L9010</t>
  </si>
  <si>
    <t>Zestaw mocowań RG-1 biały</t>
  </si>
  <si>
    <t>42647L9005</t>
  </si>
  <si>
    <t>Zestaw mocowań RG-1 czarny</t>
  </si>
  <si>
    <t>42658NI</t>
  </si>
  <si>
    <t>Zestaw mocowań RD-1 srebrny</t>
  </si>
  <si>
    <t>42658GSS</t>
  </si>
  <si>
    <t>Zestaw mocowań RD-1 srebrna satyna</t>
  </si>
  <si>
    <t>42658L9005</t>
  </si>
  <si>
    <t>Zestaw mocowań RD-1 czarny</t>
  </si>
  <si>
    <t>42658L9010</t>
  </si>
  <si>
    <t>Zestaw mocowań RD-1 biały</t>
  </si>
  <si>
    <t>42653NI</t>
  </si>
  <si>
    <t>Zestaw mocowań RD-2 srebrny</t>
  </si>
  <si>
    <t>do podwieszania liniowych opraw LED w pozycji pochylonej</t>
  </si>
  <si>
    <t>42653GSS</t>
  </si>
  <si>
    <t>Zestaw mocowań RD-2 srebrna satyna</t>
  </si>
  <si>
    <t>42653L9010</t>
  </si>
  <si>
    <t>Zestaw mocowań RD-2 biały</t>
  </si>
  <si>
    <t>42653L9005</t>
  </si>
  <si>
    <t>Zestaw mocowań RD-2 czarny</t>
  </si>
  <si>
    <t>42659NI</t>
  </si>
  <si>
    <t>Zestaw mocowań RD-3 srebrny</t>
  </si>
  <si>
    <t>42659GSS</t>
  </si>
  <si>
    <t>Zestaw mocowań RD-3 srebrna satyna</t>
  </si>
  <si>
    <t>42659L9010</t>
  </si>
  <si>
    <t>Zestaw mocowań RD-3 biały</t>
  </si>
  <si>
    <t>42659L9005</t>
  </si>
  <si>
    <t>Zestaw mocowań RD-3 czarny</t>
  </si>
  <si>
    <t>42657NI</t>
  </si>
  <si>
    <t>Zestaw mocowań RD-4 srebrny</t>
  </si>
  <si>
    <t>42657GSS</t>
  </si>
  <si>
    <t>Zestaw mocowań RD-4 srebrna satyna</t>
  </si>
  <si>
    <t>42657L9010</t>
  </si>
  <si>
    <t>Zestaw mocowań RD-4 biały</t>
  </si>
  <si>
    <t>42657L9005</t>
  </si>
  <si>
    <t>Zestaw mocowań RD-4 czarny</t>
  </si>
  <si>
    <t>Zestaw mocowań W1</t>
  </si>
  <si>
    <t>Głowica montowana bezpośrednio do profilu.</t>
  </si>
  <si>
    <t>Zestaw mocowań W2</t>
  </si>
  <si>
    <t>Głowica standardowa z mocownikiem</t>
  </si>
  <si>
    <t>Zestaw mocowań M3</t>
  </si>
  <si>
    <t>Element mocujący z głowicą ST (standardową) do profili grupy podstawowej, długość wysięgnika 15 mm. Do profili: PDS 4-ALU, PDS-O, MICRO-ALU, REGULOR ZWK, TAMI itp. Rodzaj podłoża karton-gips</t>
  </si>
  <si>
    <t>Zestaw mocowań M4</t>
  </si>
  <si>
    <t>Element mocujący z głowicą ST (standardową) do profili grupy podstawowej, długość wysięgnika 15 mm. Do profili: PDS 4-ALU, PDS-O, MICRO-ALU, REGULOR ZWK, TAMI itp. Rodzaj podłoża mur,kamień, beton</t>
  </si>
  <si>
    <t>Zestaw mocowań M5</t>
  </si>
  <si>
    <t>PL/ Element mocujący z głowicą ST (standardową) do profili grupy podstawowej, długość wysięgnika 15 mm. Do profili: PDS 4-ALU, PDS-O, MICRO-ALU, REGULOR ZWK, TAMI itp. Rodzaj podłoża mur,kamień, beton</t>
  </si>
  <si>
    <t>Zestaw mocowań W6</t>
  </si>
  <si>
    <t>Zestaw mocowań W8</t>
  </si>
  <si>
    <t>Zestaw mocowań W9</t>
  </si>
  <si>
    <t>Głowica standardowa z mocownikiem.</t>
  </si>
  <si>
    <t>Zestaw mocowań W10</t>
  </si>
  <si>
    <t>Mufa hermetyczna</t>
  </si>
  <si>
    <t>Mufa hermetyczna – do łączenia dwóch przewodów. Umożliwiająca wykonywanie przyłączy, np. zasilających oprawy oświetleniowe, zapewniając tym połączeniom wodoszczelność IP 67. Mufy przystosowane są do przewodów dwużyłowych o przekroju okrągłym o średnicach od 4 do 10 mm.</t>
  </si>
  <si>
    <t>Puszka hermetyczna</t>
  </si>
  <si>
    <t>Puszka hermetyczna – do łączenia trzech przewodów umożliwiając ich rozgałęzienie, zapewniając tym połączeniom wodoszczelność IP 67. Puszki Wodoszczelne przystosowane są do przewodów dwużyłowych o przekroju okrągłym o średnicach od 4 do 10 mm.</t>
  </si>
  <si>
    <t>C1779NA_0.06</t>
  </si>
  <si>
    <t>Profil 3035-MOS surowy 0.06m</t>
  </si>
  <si>
    <t>Element do budowy profilu RAM-3035-KOZE, łączy się z profilem 3035-OMODO</t>
  </si>
  <si>
    <t>C1773NA_0.06</t>
  </si>
  <si>
    <t>Profil MOD-MOS-50 surowy 0.06m</t>
  </si>
  <si>
    <t>Element do budowy profilu RAM-KOZE-50, łączy się z profilem RAM-KOL-50 i RAM-TEK-50</t>
  </si>
  <si>
    <t>C1815NA_0.06</t>
  </si>
  <si>
    <t>Profil MOD-MOS-100 surowy 0.06m</t>
  </si>
  <si>
    <t>Element do budowy profilu RAM-KOZE-100, łączy się z profilem RAM-KOL-100 i RAM-TEK-100</t>
  </si>
  <si>
    <t>Sznur silikonowy KR transparentny</t>
  </si>
  <si>
    <t>Sznur silikonowy do systemu MOD, zabezpieczenie Silicon cord for MOD system</t>
  </si>
  <si>
    <t>Sznur antypoślizgowy 4,5</t>
  </si>
  <si>
    <t>17001_1</t>
  </si>
  <si>
    <t>Sznur antypoślizgowy 14 1m</t>
  </si>
  <si>
    <t>do profili STEP i STEPUS</t>
  </si>
  <si>
    <t>17001_2</t>
  </si>
  <si>
    <t>Sznur antypoślizgowy 14 2m</t>
  </si>
  <si>
    <t>17001_3</t>
  </si>
  <si>
    <t>Sznur antypoślizgowy 14 3m</t>
  </si>
  <si>
    <t>17002_1</t>
  </si>
  <si>
    <t>Sznur antypoślizgowy FI-5 1m</t>
  </si>
  <si>
    <t>17002_2</t>
  </si>
  <si>
    <t>Sznur antypoślizgowy FI-5 2m</t>
  </si>
  <si>
    <t>17002_3</t>
  </si>
  <si>
    <t>Sznur antypoślizgowy FI-5 3m</t>
  </si>
  <si>
    <t>17126_1</t>
  </si>
  <si>
    <t>Wkładka ochronna TECH-10 1m</t>
  </si>
  <si>
    <t>do profilu KOZEL-10</t>
  </si>
  <si>
    <t>17126_2</t>
  </si>
  <si>
    <t>Wkładka ochronna TECH-10 2m</t>
  </si>
  <si>
    <t>17126_3</t>
  </si>
  <si>
    <t>Wkładka ochronna TECH-10 3m</t>
  </si>
  <si>
    <t>17123_1</t>
  </si>
  <si>
    <t>Wkładka ochronna TECH-KA 1m</t>
  </si>
  <si>
    <t>do profili KOZMA, PDS-T, PDS-UST</t>
  </si>
  <si>
    <t>17123_2</t>
  </si>
  <si>
    <t>Wkładka ochronna TECH-KA 2m</t>
  </si>
  <si>
    <t>17123_3</t>
  </si>
  <si>
    <t>Wkładka ochronna TECH-KA 3m</t>
  </si>
  <si>
    <t>Primer 94 do klejenia LED do profili</t>
  </si>
  <si>
    <t>do klejeni LED w lakierowanych profilach</t>
  </si>
  <si>
    <t>Klin mocujący profil</t>
  </si>
  <si>
    <t>Klin mocujący do sysytemów MOD</t>
  </si>
  <si>
    <t>Wkręt 2.9X6.5 DIN7981F</t>
  </si>
  <si>
    <t>dla mocowania profili 3035-O w RAM-3035-KOZE</t>
  </si>
  <si>
    <t>Blokada H</t>
  </si>
  <si>
    <t>do blokowania zamocowań w profilach MICRO-H, PDS-H, MICROHG, PDS-HG montowanych pionowo</t>
  </si>
  <si>
    <t>Wkładka montażowa 20x33</t>
  </si>
  <si>
    <t>Podkładka pod mocowanie zasilacza do profilu 4050-W</t>
  </si>
  <si>
    <t>Wkładka montażowa 45 ral9005</t>
  </si>
  <si>
    <t>Podkładka pod mocowanie zasilacza do profili DES, GLADES, INTER, IKON, IDOL, IMET, BOX, NIBO</t>
  </si>
  <si>
    <t>Wkładka montażowa 60</t>
  </si>
  <si>
    <t>Osłona dobrze rozprasza światło, Przystosowana do uszczelniania oprawy</t>
  </si>
  <si>
    <t>Podkładka MW 11x5</t>
  </si>
  <si>
    <t>Podkładka pod MICRO włącznik, Włącznik bezdotykowy, Ściemniacz DIMM Długość : 33mm; Szerokość : 11mm; Wysykość: 5mm</t>
  </si>
  <si>
    <t>Przyrząd KR</t>
  </si>
  <si>
    <t>do sprężyny KR ref. 42737</t>
  </si>
  <si>
    <t>Płytki demontażowe PK-4</t>
  </si>
  <si>
    <t>Umożliwia montaż/demontaż profilu OPK-4 w profil TPK-4, w opakowaniu 10 szt.</t>
  </si>
  <si>
    <t>Przyrząd do montażu sznura antyposlizgow</t>
  </si>
  <si>
    <t>Ułatwia montaż sznura antypoślizgowego w profilu STEP</t>
  </si>
  <si>
    <t>Dławnica 6x1,2</t>
  </si>
  <si>
    <t>do przewodów w izolacji o przekroju okrągłym i średnicy maksymalnej 3 mm</t>
  </si>
  <si>
    <t>00802Lo</t>
  </si>
  <si>
    <t>Dławnica 6,4x1,6</t>
  </si>
  <si>
    <t>do przewodów w izolacji o przekroju okrągłym i średnicy maksymalnej 4 mm</t>
  </si>
  <si>
    <t>Dławnica 9.5x4x6.4x3x8</t>
  </si>
  <si>
    <t>Dławnica gumowa (przepust przelotka) do wyprowadzania przewodu ze ścianek profili z zamkiem małym lub dużym np. Profile architektoniczne, Profile SZER, Triada lub innych o grubości ścianki 3-4mm, średnica przewodu do 5-6mm.</t>
  </si>
  <si>
    <t>Dławnica 9x1,5</t>
  </si>
  <si>
    <t>stosowana do wyprowadzenia przewodów zarówno w oprawach szczelnych jak i nieuszczelnionych</t>
  </si>
  <si>
    <t>Dławnica 11x1,5</t>
  </si>
  <si>
    <t>Dławnica 11x3,0</t>
  </si>
  <si>
    <t>Dławnica 19x1,6</t>
  </si>
  <si>
    <t>Dławnica M16x1.5</t>
  </si>
  <si>
    <t>Dławnica M8x1</t>
  </si>
  <si>
    <t>wprowadzenie przewodów do oprawy z zachowaniem wysokiej szczelności</t>
  </si>
  <si>
    <t>Dławnica kątowa M16x1,5-L90</t>
  </si>
  <si>
    <t>do HR-MAX</t>
  </si>
  <si>
    <t>Przewód YTDY 6x 0,8mm2, biały</t>
  </si>
  <si>
    <t>Sześciożyłowy przewód w kolorze białym o dużej giętkości do użytkowania wewnątrz pomieszczeń, do stosowania w zasilaniu LED RGB+CCT</t>
  </si>
  <si>
    <t>Przewód OMY 5x 0,5mm2, czarny</t>
  </si>
  <si>
    <t>Pięciożyłowy przewód o dużej giętkości do użytkowania wewnątrz pomieszczeń, do stosowania w zasilaniu LED RGB+W</t>
  </si>
  <si>
    <t>Przewód OMY 5x 0,5mm2, biały</t>
  </si>
  <si>
    <t>Przewód 03VV-F 5x 0,75mm2, transparentny</t>
  </si>
  <si>
    <t>Pięciożyłowy transparentny przewód o dużej giętkości do użytkowania wewnątrz pomieszczeń, do stosowania w zasilaniu LED RGB+W</t>
  </si>
  <si>
    <t>Przewód TLYp 2x0,5mm2 transp.</t>
  </si>
  <si>
    <t>Dwużyłowy transparentny przewód o dużej giętkości do użytkowania wewnątrz pomieszczeń; do stosowania w zasilaniu LED białych</t>
  </si>
  <si>
    <t>Przewód w oplocie 2x 0,75mm2, biały</t>
  </si>
  <si>
    <t>Dwużyłowy przewód do stosowania w zasilaniu LED białych</t>
  </si>
  <si>
    <t>Przewód w oplocie 2x 0,75mm2, grafitowy</t>
  </si>
  <si>
    <t>Przewód w oplocie 2x 0,75mm2, szary</t>
  </si>
  <si>
    <t>Przewód FS-03VVH2-F 2 x 0,50mm2 , szary</t>
  </si>
  <si>
    <t>Przewód H03VV-F 2x 0,50mm2, czarny</t>
  </si>
  <si>
    <t>Przewód H03VV-F 2x 0,75mm2, czarny</t>
  </si>
  <si>
    <t>Przewód H03VV-F 3x 0,50mm2, czarny</t>
  </si>
  <si>
    <t>Przewód H03VV-F 4x 0,50mm2, czarny</t>
  </si>
  <si>
    <t>Przewód H03VV-F 2x 0,50mm2, biały</t>
  </si>
  <si>
    <t>Przewód H03VV-F 2x 0,75mm2, biały</t>
  </si>
  <si>
    <t>Przewód H03VV-F 3x 0,50mm2, biały</t>
  </si>
  <si>
    <t>Przewód H03VV-F 4x 0,50mm2, biały</t>
  </si>
  <si>
    <t>Przewód 03VV-F 2x 0,50mm2, transparentny</t>
  </si>
  <si>
    <t>Przewód 03VV-F 2x 0,75mm2, transparentny</t>
  </si>
  <si>
    <t>Przewód 03VV-F 3x 0,50mm2, transparentny</t>
  </si>
  <si>
    <t>Przewód 03VV-F 4x 0,50mm2, transparentny</t>
  </si>
  <si>
    <t>Kabel YvKSLY 2 x 0,5 mm2</t>
  </si>
  <si>
    <t>giętki kabel sterowniczy do zastosowań na zewnątrz i wewnątrz pomieszczeń</t>
  </si>
  <si>
    <t>Kabel YvKSLY 2 x 0,75 mm2</t>
  </si>
  <si>
    <t>Kabel YvKSLY 2 x 1,0 mm2</t>
  </si>
  <si>
    <t>Kabel YvKSLY 2 x 1,5 mm2</t>
  </si>
  <si>
    <t>Kabel YvKSLY 4 x 0,5 mm2</t>
  </si>
  <si>
    <t>Kabel YvKSLY 6x 0,5mm2, czarny</t>
  </si>
  <si>
    <t>Kabel YvKSLY 5 x 0,75 mm2</t>
  </si>
  <si>
    <t>Przewód 1x 0,75 mm2 biały 205SC</t>
  </si>
  <si>
    <t>Przewód PS-Yp 2x0.75mm k.czarny płaski</t>
  </si>
  <si>
    <t>giętki przewód sterowniczy do zastosowań na zewnątrz i wewnątrz pomieszczeń</t>
  </si>
  <si>
    <t>Przewód ROBUST 210 2x0,75mm2, czarny</t>
  </si>
  <si>
    <t>Przewód ROBUST 210 3x0,50mm2, czarny</t>
  </si>
  <si>
    <t>Zaślepka STEKO-90 ral7035</t>
  </si>
  <si>
    <t>do profilu STEKO-90</t>
  </si>
  <si>
    <t>Zaślepka STEP-90 ral7035</t>
  </si>
  <si>
    <t>do profilu STEP-90</t>
  </si>
  <si>
    <t>Zaślepka 45-ALU-OTW-MW ral9005</t>
  </si>
  <si>
    <t>Zaślepka GIZA metalizowana</t>
  </si>
  <si>
    <t>do profilu GIZA</t>
  </si>
  <si>
    <t>Zaślepka GIZA-DUO-LL ral7035</t>
  </si>
  <si>
    <t>do profilu GIZA-DUO-LL</t>
  </si>
  <si>
    <t>Zaślepka GIZA-DUO-LL ral9005</t>
  </si>
  <si>
    <t>Zaślepka GIZA-LL ral9005</t>
  </si>
  <si>
    <t>do profilu GIZA-LL</t>
  </si>
  <si>
    <t>Zaślepka GIZA-LL ral9010</t>
  </si>
  <si>
    <t>Zaślepka GLAZA-LL ral7035</t>
  </si>
  <si>
    <t>Zaślepka GLAZA-DUO ral7035</t>
  </si>
  <si>
    <t>do profilu GLAZA-DUO</t>
  </si>
  <si>
    <t>Zaślepka GLAZA-DUO metalizowana</t>
  </si>
  <si>
    <t>Zaślepka HR-ALU-OTW ral7035</t>
  </si>
  <si>
    <t>do profilu HR-ALU</t>
  </si>
  <si>
    <t>Zaślepka KOMPENSA-K ral9005</t>
  </si>
  <si>
    <t>do osłony G-L</t>
  </si>
  <si>
    <t>Zaślepka KOMPENSA-L ral7035</t>
  </si>
  <si>
    <t>Zaślepka KOMPENSA-L ral9005</t>
  </si>
  <si>
    <t>Zaślepka LIPOD ral9010</t>
  </si>
  <si>
    <t>Zaślepka LIPOD-50 ral9005</t>
  </si>
  <si>
    <t>Zaślepka MICRO-G ral7035</t>
  </si>
  <si>
    <t>Zaślepka OBIT metalizowana</t>
  </si>
  <si>
    <t>do profilu OBIT</t>
  </si>
  <si>
    <t>Zaślepka OLEK ral9010</t>
  </si>
  <si>
    <t>Zaślepka OLEK-LUK ral9010</t>
  </si>
  <si>
    <t>Zaślepka przewodnik PDS-4-ALU ral7035</t>
  </si>
  <si>
    <t>do profilu PDS 4-ALU</t>
  </si>
  <si>
    <t>Zaślepka PDS4-ALU-OTW-MW ral9005</t>
  </si>
  <si>
    <t>do profilu PDS-4-ALU-OTW</t>
  </si>
  <si>
    <t>Zaślepka PDS-G ral7035</t>
  </si>
  <si>
    <t>do profilu PDS-G</t>
  </si>
  <si>
    <t>Zaślepka PDS-O metalizowana</t>
  </si>
  <si>
    <t>Zaślepka PDS-O-LUK ral7035</t>
  </si>
  <si>
    <t>do profilu PDS-O-LUK</t>
  </si>
  <si>
    <t>Zaślepka PDS-ZM metalizowana</t>
  </si>
  <si>
    <t>do profilu PDS-ZM</t>
  </si>
  <si>
    <t>Zaślepka PDS-ZM-PLUS ral7035</t>
  </si>
  <si>
    <t>do profilu PDS-ZM-PLUS</t>
  </si>
  <si>
    <t>Zaślepka PDS-ZM-PLUS ral9010</t>
  </si>
  <si>
    <t>Zaślepka POR-OTW ral7035</t>
  </si>
  <si>
    <t>do profilu POR-OTW</t>
  </si>
  <si>
    <t>Zaślepka REGULOR-OTW ral7035</t>
  </si>
  <si>
    <t>do profilu REGULOR-OTW</t>
  </si>
  <si>
    <t>Zaślepka SILER ral9010</t>
  </si>
  <si>
    <t>do profilu SILER</t>
  </si>
  <si>
    <t>Zestaw zaślepek POKET ral7035</t>
  </si>
  <si>
    <t>Do profili POKET</t>
  </si>
  <si>
    <t>Zestaw zaślepek POKET ral9010</t>
  </si>
  <si>
    <t>Zestaw zaślepek DIPOKET ral7035</t>
  </si>
  <si>
    <t>Do profili DIPOKET</t>
  </si>
  <si>
    <t>Zestaw zaślepek DIPOKET ral9010</t>
  </si>
  <si>
    <t>C24469C10</t>
  </si>
  <si>
    <t>Zaślepka PLAKIN-DUO biały</t>
  </si>
  <si>
    <t>Do profili PLAKIN-DUO</t>
  </si>
  <si>
    <t>C24469C07</t>
  </si>
  <si>
    <t>Zaślepka PLAKIN-DUO czarny</t>
  </si>
  <si>
    <t>C24469C02</t>
  </si>
  <si>
    <t>Zaślepka PLAKIN-DUO szary</t>
  </si>
  <si>
    <t>C24470C02</t>
  </si>
  <si>
    <t>Zaślepka PLAKIN-DUO-IN szary</t>
  </si>
  <si>
    <t>C20000C02_1</t>
  </si>
  <si>
    <t>Listwa montażowa T40 ral7035 1m</t>
  </si>
  <si>
    <t>C20000C02_2</t>
  </si>
  <si>
    <t>Listwa Montażowa T40 ral7035 2m</t>
  </si>
  <si>
    <t>C20000C02_3</t>
  </si>
  <si>
    <t>Listwa Montażowa T40 ral7035 3m</t>
  </si>
  <si>
    <t>Artykuł</t>
  </si>
  <si>
    <t>Nr katalogowy</t>
  </si>
  <si>
    <t>VAT zakupu</t>
  </si>
  <si>
    <t>Waluta zakupu</t>
  </si>
  <si>
    <t>Cena zakupu netto</t>
  </si>
  <si>
    <t>Cena zakupu brutto</t>
  </si>
  <si>
    <t>IdCeny</t>
  </si>
  <si>
    <t>Cena</t>
  </si>
  <si>
    <t>Netto</t>
  </si>
  <si>
    <t>Brutto</t>
  </si>
  <si>
    <t>Tryb</t>
  </si>
  <si>
    <t>VAT sprzedaży</t>
  </si>
  <si>
    <t>Waluta sprzedaży</t>
  </si>
  <si>
    <t>Baza okragła do lampy Patyk-26 Fornir Kluś</t>
  </si>
  <si>
    <t>KLU-AKC-00014</t>
  </si>
  <si>
    <t>Detaliczna</t>
  </si>
  <si>
    <t>netto</t>
  </si>
  <si>
    <t>Hurtowa</t>
  </si>
  <si>
    <t>Blokada ZD do zamka Kluś</t>
  </si>
  <si>
    <t>Broszura profile i akcesoria PL-EN v6 Kluś</t>
  </si>
  <si>
    <t>Pro000093</t>
  </si>
  <si>
    <t>Dławnica 16x1.5 Kluś</t>
  </si>
  <si>
    <t>KLU-AKC-00019</t>
  </si>
  <si>
    <t>Dławnica 16x1.5 M16 Skintop ST-M Kluś</t>
  </si>
  <si>
    <t>Dławnica 24x1 6 Kluś</t>
  </si>
  <si>
    <t>Dławnica 6x1.2 Kluś</t>
  </si>
  <si>
    <t>KAT00105</t>
  </si>
  <si>
    <t>Dławnica 8.8x2.0 Kluś</t>
  </si>
  <si>
    <t>00802L</t>
  </si>
  <si>
    <t>Dławnica 8x1 Kluś</t>
  </si>
  <si>
    <t>Dławnica 8x1,6 Kluś</t>
  </si>
  <si>
    <t>Pro000028</t>
  </si>
  <si>
    <t>Dławnica 9.5x4x6.4x3x8 Gland Kluś</t>
  </si>
  <si>
    <t>KLU-AKC-00020</t>
  </si>
  <si>
    <t>Dławnica kątowa 16x1.5-l90 Kluś</t>
  </si>
  <si>
    <t>Głowica 45-ST Kluś</t>
  </si>
  <si>
    <t>Głowica 45-ZO Kluś</t>
  </si>
  <si>
    <t>Kabel YvKSLY 2x0.5mm2 Kluś</t>
  </si>
  <si>
    <t>KLU-AKC-00027</t>
  </si>
  <si>
    <t>Kabel YvKSLY 2x0.75mm2 Kluś</t>
  </si>
  <si>
    <t>Katalog Kluś POL-ANG v9</t>
  </si>
  <si>
    <t>Pro000098</t>
  </si>
  <si>
    <t>Klips HR-MAX Kluś</t>
  </si>
  <si>
    <t>Kołek C11 Kluś</t>
  </si>
  <si>
    <t>Kostka dwutorowa Kluś</t>
  </si>
  <si>
    <t>Kształtka Kozel L90 z osłoną mleczną HS-22</t>
  </si>
  <si>
    <t>Kształtka Kozel L90 z osłoną mleczną LIGER-22</t>
  </si>
  <si>
    <t>Kształtka Kozel L90PW z osłoną mleczną LIGER-22</t>
  </si>
  <si>
    <t>Kształtka Kozel L90PZ z osłoną mleczną LIGER-22</t>
  </si>
  <si>
    <t>Kształtka Kozel X90 z osłoną mleczną HS-22</t>
  </si>
  <si>
    <t>Kształtka Kozus L90 z osłoną mleczną LIGER-22</t>
  </si>
  <si>
    <t>Kształtka Larko L90 z osłoną mleczną LIGER-22</t>
  </si>
  <si>
    <t>Kształtka Lipod 135PZ z osłoną mleczną LIGER-22</t>
  </si>
  <si>
    <t>Kształtka Lipod L135 z osłoną mleczną HS-22</t>
  </si>
  <si>
    <t>Kształtka Lipod L135 z osłoną mleczną LIGER-22</t>
  </si>
  <si>
    <t>Kształtka Lipod L135PW z osłoną mleczną LIGER-22</t>
  </si>
  <si>
    <t>Kształtka Lipod L90 z osłoną mleczną HS-22</t>
  </si>
  <si>
    <t>Kształtka Lipod L90 z osłoną mleczną LIGER-22</t>
  </si>
  <si>
    <t>Kształtka Lipod L90PW z osłoną mleczną HS-22</t>
  </si>
  <si>
    <t>Kształtka Lipod L90PW z osłoną mleczną LIGER-22</t>
  </si>
  <si>
    <t>Kształtka Lipod L90PZ z osłoną mleczną HS-22</t>
  </si>
  <si>
    <t>Kształtka Lipod L90PZ z osłoną mleczną LIGER-22</t>
  </si>
  <si>
    <t>Kształtka Lipod T135L czarny z osłoną mleczną LIGER-22</t>
  </si>
  <si>
    <t>Kształtka Lipod T135L z osłoną mleczną HS-22</t>
  </si>
  <si>
    <t>Kształtka Lipod T135L z osłoną mleczną LIGER-22</t>
  </si>
  <si>
    <t>Kształtka Lipod T135R czarny z osłoną mleczną LIGER-22</t>
  </si>
  <si>
    <t>Kształtka Lipod T135R z osłoną mleczną LIGER-22</t>
  </si>
  <si>
    <t>Kształtka Lipod T90 czarny anodowany z osłoną mleczną LIGER-22</t>
  </si>
  <si>
    <t>Kształtka Lipod T90 z osłoną mleczną HS-22</t>
  </si>
  <si>
    <t>Pro000130</t>
  </si>
  <si>
    <t>Kształtka Lipod T90 z osłoną mleczną LIGER-22</t>
  </si>
  <si>
    <t>Kształtka Lipod X135 czarny z osłoną mleczną LIGER-22</t>
  </si>
  <si>
    <t>Kształtka Lipod X135 z osłoną mleczną LIGER-22</t>
  </si>
  <si>
    <t>Kształtka Lipod X90 z osłoną mleczną LIGER-22</t>
  </si>
  <si>
    <t>Kształtka Lokom L90 z osłoną mleczną HS-22</t>
  </si>
  <si>
    <t>Kształtka Lokom L90 z osłoną mleczną LIGER-22</t>
  </si>
  <si>
    <t>Kształtka Lokom L90PW z osłoną mleczną HS-22</t>
  </si>
  <si>
    <t>Kształtka Lokom L90PW z osłoną mleczną LIGER-22</t>
  </si>
  <si>
    <t>Kształtka Lokom L90PZ z osłoną mleczną HS-22</t>
  </si>
  <si>
    <t>Linka stalowa FI 0.95mm z rdzeniem CU Kluś</t>
  </si>
  <si>
    <t>Linka stalowa Fi 1.00mm Kluś</t>
  </si>
  <si>
    <t>Linka stalowa FI 1.00mm L=2m Kluś</t>
  </si>
  <si>
    <t>Lnka CU w izolacji fi 1.35mm Kluś</t>
  </si>
  <si>
    <t>KLU-AKC-00028</t>
  </si>
  <si>
    <t>Łącznik do profilu led Micro-PD Kluś</t>
  </si>
  <si>
    <t>Łącznik prądowy z uchem FI 5mm Kluś</t>
  </si>
  <si>
    <t>Łącznik ZD-90 Kluś</t>
  </si>
  <si>
    <t>KLU-00069</t>
  </si>
  <si>
    <t>Łącznik ZM-120 Kluś</t>
  </si>
  <si>
    <t>KLU-AKC-00021</t>
  </si>
  <si>
    <t>Łącznik ZM-120-G Kluś</t>
  </si>
  <si>
    <t>Łącznik ZM-135 Kluś</t>
  </si>
  <si>
    <t>Łącznik ZM-180 Kluś</t>
  </si>
  <si>
    <t>Łącznik ZM-60 Kluś</t>
  </si>
  <si>
    <t>KLU-AKC-00007</t>
  </si>
  <si>
    <t>Łącznik ZM-60-G Kluś</t>
  </si>
  <si>
    <t>KLU-00061</t>
  </si>
  <si>
    <t>Łącznik ZM-90 Kluś</t>
  </si>
  <si>
    <t>Łącznik ZM-90-G Kluś</t>
  </si>
  <si>
    <t>KLU-00060</t>
  </si>
  <si>
    <t>Łącznik ZM-MINI-180 Kluś</t>
  </si>
  <si>
    <t>Łącznik ZM-NA-135 Kluś</t>
  </si>
  <si>
    <t>Łącznik ZM-NA-180 Kluś</t>
  </si>
  <si>
    <t>Łącznik ZM-NA-60 Kluś</t>
  </si>
  <si>
    <t>Łącznik ZM-NA-90 Kluś</t>
  </si>
  <si>
    <t>Łącznik ZM-NA-PION-120 Kluś</t>
  </si>
  <si>
    <t>Łącznik ZM-NA-PION-135 Kluś</t>
  </si>
  <si>
    <t>Łącznik ZM-NA-PION-45 Kluś</t>
  </si>
  <si>
    <t>Łącznik ZM-NA-PION-90 Kluś</t>
  </si>
  <si>
    <t>Łącznik ZM-PION-120 Kluś</t>
  </si>
  <si>
    <t>KLU-AKC-00022</t>
  </si>
  <si>
    <t>Łącznik ZM-PION-135 Kluś</t>
  </si>
  <si>
    <t>Łącznik ZM-PION-90 Kluś</t>
  </si>
  <si>
    <t>Łącznik ZM-X90-G Kluś</t>
  </si>
  <si>
    <t>Maskownica 28mm FI 6mm Kluś</t>
  </si>
  <si>
    <t>Maskownica 49mm FI 6mm Kluś</t>
  </si>
  <si>
    <t>Maskownica MP-22 1m biała Kluś</t>
  </si>
  <si>
    <t>KLU-AKC-00009</t>
  </si>
  <si>
    <t>Maskownica MP-22 1m czarna Kluś</t>
  </si>
  <si>
    <t>KLU-AKC-00008</t>
  </si>
  <si>
    <t>Maskownica MP-22 1m metalizowana Kluś</t>
  </si>
  <si>
    <t>KLU-AKC-00010</t>
  </si>
  <si>
    <t>Mocowanie dolne kinkietu Kluś</t>
  </si>
  <si>
    <t>Mocowanie dolne kinkietu zasilające Kluś</t>
  </si>
  <si>
    <t>Mocowanie kątowe do drewna Kluś</t>
  </si>
  <si>
    <t>Mocowanie kątowe KG 15mm Kluś</t>
  </si>
  <si>
    <t>Mocowanie kątowe KG Kluś</t>
  </si>
  <si>
    <t>Mocowanie kątoww do muru 15mm Kluś</t>
  </si>
  <si>
    <t>Mocowanie MULTIBO Set Kluś</t>
  </si>
  <si>
    <t>Mocowanie proste do drewna Kluś</t>
  </si>
  <si>
    <t>Mocowanie proste do muru 15mm Kluś</t>
  </si>
  <si>
    <t>Mocowanie proste do muru Kluś</t>
  </si>
  <si>
    <t>Mocowanie proste KG Kluś</t>
  </si>
  <si>
    <t>Mocowanie proste KG na klucz + MASKA Kluś</t>
  </si>
  <si>
    <t>Mocownik do profilu AM-24 Kluś</t>
  </si>
  <si>
    <t>Mocownik do profilu HR-OPTI Kluś</t>
  </si>
  <si>
    <t>Mocownik do profilu PDS-H Kluś</t>
  </si>
  <si>
    <t>Mocownik do profilu PK-4 Kluś</t>
  </si>
  <si>
    <t>Mufa hermetyczna Skintop Kluś</t>
  </si>
  <si>
    <t>Nakrętka do dławnicy M8x1 Kluś</t>
  </si>
  <si>
    <t>O-ring Skindicht Pg9 M16 13x1.5 Kluś</t>
  </si>
  <si>
    <t>KLU-AKC-00026</t>
  </si>
  <si>
    <t>Osłona do profili KOPRO-K mleczna 1m</t>
  </si>
  <si>
    <t>Osłona do profili KOPRO-K mleczna 2m</t>
  </si>
  <si>
    <t>Osłona do profili KOPRO-K mleczna 3m</t>
  </si>
  <si>
    <t>Osłona do profili KOPRO-L mleczna 1m</t>
  </si>
  <si>
    <t>Osłona do profili KOPRO-L mleczna 2m</t>
  </si>
  <si>
    <t>Osłona do profili KOPRO-L mleczna 3m</t>
  </si>
  <si>
    <t>Osłona do profilu 3035 1m mleczna</t>
  </si>
  <si>
    <t>Osłona do profilu 3035 2m mleczna</t>
  </si>
  <si>
    <t>Osłona do profilu 3035 3m mleczna</t>
  </si>
  <si>
    <t>Osłona do profilu DHS mleczna 1m</t>
  </si>
  <si>
    <t>Osłona do profilu DHS mleczna 2m</t>
  </si>
  <si>
    <t>Osłona do profilu DHS mleczna 3m</t>
  </si>
  <si>
    <t>Osłona do profilu DHS przeźroczysta 1m</t>
  </si>
  <si>
    <t>Osłona do profilu DHS przeźroczysta 2m</t>
  </si>
  <si>
    <t>Osłona do profilu DHS przeźroczysta 3m</t>
  </si>
  <si>
    <t>Osłona do profilu FOLED czarna 1m</t>
  </si>
  <si>
    <t>Osłona do profilu FOLED czarna 2m</t>
  </si>
  <si>
    <t>Osłona do profilu FOLED czarna 3m</t>
  </si>
  <si>
    <t>Osłona do profilu FOLED mleczna 1m</t>
  </si>
  <si>
    <t>KLU-00051</t>
  </si>
  <si>
    <t>Osłona do profilu FOLED mleczna 2m</t>
  </si>
  <si>
    <t>KLU-00052</t>
  </si>
  <si>
    <t>Osłona do profilu FOLED mleczna 3m</t>
  </si>
  <si>
    <t>KLU-00053</t>
  </si>
  <si>
    <t>Osłona do profilu G-K mleczna 1m</t>
  </si>
  <si>
    <t>Osłona do profilu G-K mleczna 2m</t>
  </si>
  <si>
    <t>Osłona do profilu G-K mleczna 3m</t>
  </si>
  <si>
    <t>Osłona do profilu G-K szoniona 1m</t>
  </si>
  <si>
    <t>Osłona do profilu G-K szoniona 2m</t>
  </si>
  <si>
    <t>Osłona do profilu G-K szoniona 3m</t>
  </si>
  <si>
    <t>Osłona do profilu G-L mleczna 1m</t>
  </si>
  <si>
    <t>Osłona do profilu G-L mleczna 2m</t>
  </si>
  <si>
    <t>Pro000108</t>
  </si>
  <si>
    <t>Osłona do profilu G-L mleczna 2m wyc</t>
  </si>
  <si>
    <t>Osłona do profilu G-L mleczna 3m</t>
  </si>
  <si>
    <t>Osłona do profilu G-L przeźroczysta 1m</t>
  </si>
  <si>
    <t>Osłona do profilu G-L przeźroczysta 2m</t>
  </si>
  <si>
    <t>Osłona do profilu G-L przeźroczysta 3m</t>
  </si>
  <si>
    <t>Osłona do profilu G-L szroniona 1m</t>
  </si>
  <si>
    <t>Osłona do profilu G-L szroniona 2m</t>
  </si>
  <si>
    <t>Osłona do profilu G-L szroniona 3m</t>
  </si>
  <si>
    <t>Osłona do profilu HR mleczna 1m</t>
  </si>
  <si>
    <t>Osłona do profilu HR mleczna 2m</t>
  </si>
  <si>
    <t>Osłona do profilu HR mleczna 3m</t>
  </si>
  <si>
    <t>Osłona do profilu HR-21 mleczna 2m</t>
  </si>
  <si>
    <t>Osłona do profilu HR-21 mleczna 3m</t>
  </si>
  <si>
    <t>Osłona do profilu HR-LINE mleczna 1m</t>
  </si>
  <si>
    <t>Osłona do profilu HR-LINE mleczna 2m</t>
  </si>
  <si>
    <t>Osłona do profilu HR-LINE mleczna 3m</t>
  </si>
  <si>
    <t>Osłona do profilu HR-LINE-2 mleczna 1m</t>
  </si>
  <si>
    <t>Osłona do profilu HR-LINE-2 mleczna 2m</t>
  </si>
  <si>
    <t>Osłona do profilu HR-LINE-2 mleczna 3m</t>
  </si>
  <si>
    <t>Osłona do profilu HS mleczna 1m</t>
  </si>
  <si>
    <t>Osłona do profilu HS mleczna 2m</t>
  </si>
  <si>
    <t>Osłona do profilu HS mleczna 3m</t>
  </si>
  <si>
    <t>Osłona do profilu HS mleczna 935mm</t>
  </si>
  <si>
    <t>Pro000038</t>
  </si>
  <si>
    <t>Osłona do profilu HS przeźroczysta 1m</t>
  </si>
  <si>
    <t>Osłona do profilu HS przeźroczysta 2m</t>
  </si>
  <si>
    <t>Osłona do profilu HS przeźroczysta 3m</t>
  </si>
  <si>
    <t>Osłona do profilu HS-12 mleczna 1m</t>
  </si>
  <si>
    <t>Osłona do profilu HS-12 mleczna 2m</t>
  </si>
  <si>
    <t>Osłona do profilu HS-12 mleczna 3m</t>
  </si>
  <si>
    <t>Osłona do profilu HS-12 przeźroczysta 1m</t>
  </si>
  <si>
    <t>Osłona do profilu HS-12 przeźroczysta 2m</t>
  </si>
  <si>
    <t>Osłona do profilu HS-12 przeźroczysta 3m</t>
  </si>
  <si>
    <t>Osłona do profilu HS-22 mleczna 1m</t>
  </si>
  <si>
    <t>Osłona do profilu HS-22 mleczna 2m</t>
  </si>
  <si>
    <t>Osłona do profilu HS-22 mleczna 3m</t>
  </si>
  <si>
    <t>Osłona do profilu HS-22 przeźroczysta 1m</t>
  </si>
  <si>
    <t>Osłona do profilu HS-22 przeźroczysta 2m</t>
  </si>
  <si>
    <t>Osłona do profilu HS-22 przeźroczysta 3m</t>
  </si>
  <si>
    <t>Osłona do profilu HSP-47 mleczna 1m</t>
  </si>
  <si>
    <t>Osłona do profilu HSP-47 mleczna 2m</t>
  </si>
  <si>
    <t>Osłona do profilu HSP-47 mleczna 3m</t>
  </si>
  <si>
    <t>Osłona do profilu HSP-47 przeźroczysta 1m</t>
  </si>
  <si>
    <t>Osłona do profilu HSP-47 przeźroczysta 2m</t>
  </si>
  <si>
    <t>Osłona do profilu HSP-47 przeźroczysta 3m</t>
  </si>
  <si>
    <t>Osłona do profilu JAZ mleczna 1m</t>
  </si>
  <si>
    <t>17162V11</t>
  </si>
  <si>
    <t>Osłona do profilu JAZ mleczna 2m</t>
  </si>
  <si>
    <t>17162V12</t>
  </si>
  <si>
    <t>Osłona do profilu JAZ mleczna 3m</t>
  </si>
  <si>
    <t>17162V13</t>
  </si>
  <si>
    <t>Osłona do profilu JAZ-DUO mleczna 1m</t>
  </si>
  <si>
    <t>KLU-00037</t>
  </si>
  <si>
    <t>Osłona do profilu JAZ-DUO mleczna 2m</t>
  </si>
  <si>
    <t>Osłona do profilu JAZ-DUO mleczna 3m</t>
  </si>
  <si>
    <t>KLU-00038</t>
  </si>
  <si>
    <t>Osłona do profilu JUN-40 przeźroczysta 1,5m</t>
  </si>
  <si>
    <t>Pro000111</t>
  </si>
  <si>
    <t>Osłona do profilu JUN-50 przeźroczysta 1,5m</t>
  </si>
  <si>
    <t>KLU-00043</t>
  </si>
  <si>
    <t>Osłona do profilu JUN-50 przeźroczysta 1m</t>
  </si>
  <si>
    <t>KLU-OSL-00003</t>
  </si>
  <si>
    <t>Osłona do profilu KA mleczna 1m</t>
  </si>
  <si>
    <t>Osłona do profilu KA mleczna 2m</t>
  </si>
  <si>
    <t>Osłona do profilu KA mleczna 3m</t>
  </si>
  <si>
    <t>Osłona do profilu KA przeźroczysta 1m</t>
  </si>
  <si>
    <t>KLU-00039</t>
  </si>
  <si>
    <t>Osłona do profilu KA przeźroczysta 2m</t>
  </si>
  <si>
    <t>KLU-OSL-00001</t>
  </si>
  <si>
    <t>Osłona do profilu KA przeźroczysta 3m</t>
  </si>
  <si>
    <t>KLU-00040</t>
  </si>
  <si>
    <t>Osłona do profilu KA-12 mleczna 1m</t>
  </si>
  <si>
    <t>KLU-00041</t>
  </si>
  <si>
    <t>Osłona do profilu KA-12 mleczna 2m</t>
  </si>
  <si>
    <t>Osłona do profilu KA-12 mleczna 3m</t>
  </si>
  <si>
    <t>Osłona do profilu KA-12 przeźroczysta 1m</t>
  </si>
  <si>
    <t>Osłona do profilu KA-12 przeźroczysta 2m</t>
  </si>
  <si>
    <t>Osłona do profilu KA-12 przeźroczysta 3m</t>
  </si>
  <si>
    <t>KLU-00042</t>
  </si>
  <si>
    <t>Osłona do profilu KA-COM mleczna 1m</t>
  </si>
  <si>
    <t>Pro000044</t>
  </si>
  <si>
    <t>Osłona do profilu KA-COM mleczna 1m wyc</t>
  </si>
  <si>
    <t>Osłona do profilu KA-COM mleczna 2m</t>
  </si>
  <si>
    <t>Pro000045</t>
  </si>
  <si>
    <t>Osłona do profilu KA-COM mleczna 2m wyc</t>
  </si>
  <si>
    <t>Osłona do profilu KA-COM mleczna 3m</t>
  </si>
  <si>
    <t>Pro000061</t>
  </si>
  <si>
    <t>Osłona do profilu KA-COM mleczna 3m wyc</t>
  </si>
  <si>
    <t>Osłona do profilu KA-COM przeźroczysta 1m</t>
  </si>
  <si>
    <t>Osłona do profilu KA-COM przeźroczysta 2m</t>
  </si>
  <si>
    <t>Osłona do profilu KA-COM przeźroczysta 3m</t>
  </si>
  <si>
    <t>Osłona do profilu KA-PRO mleczna 1m</t>
  </si>
  <si>
    <t>Osłona do profilu KA-PRO mleczna 2m wyc</t>
  </si>
  <si>
    <t>Osłona do profilu KA-PRO mleczna 3m wyc</t>
  </si>
  <si>
    <t>KLU-OSL-00002</t>
  </si>
  <si>
    <t>Osłona do profilu KA-PRO przeźroczysta 1m</t>
  </si>
  <si>
    <t>Osłona do profilu KA-PRO przeźroczysta 2m</t>
  </si>
  <si>
    <t>Osłona do profilu KA-PRO przeźroczysta 3m</t>
  </si>
  <si>
    <t>Osłona do profilu KIDES-DUO szroniona 1m</t>
  </si>
  <si>
    <t>Osłona do profilu KIDES-DUO szroniona 2m</t>
  </si>
  <si>
    <t>Osłona do profilu KIDES-DUO szroniona 3m</t>
  </si>
  <si>
    <t>KLU-00050</t>
  </si>
  <si>
    <t>Osłona do profilu KOPRO-P mleczna 1m</t>
  </si>
  <si>
    <t>Osłona do profilu KOPRO-P mleczna 2m</t>
  </si>
  <si>
    <t>Osłona do profilu KOPRO-P mleczna 3m</t>
  </si>
  <si>
    <t>Osłona do profilu LIGER czarna 1m</t>
  </si>
  <si>
    <t>Osłona do profilu LIGER czarna 2m</t>
  </si>
  <si>
    <t>Osłona do profilu LIGER czarna 3m</t>
  </si>
  <si>
    <t>Osłona do profilu LIGER mleczna 10m</t>
  </si>
  <si>
    <t>Osłona do profilu LIGER mleczna 1m</t>
  </si>
  <si>
    <t>Osłona do profilu LIGER mleczna 2m</t>
  </si>
  <si>
    <t>Osłona do profilu LIGER mleczna 3m</t>
  </si>
  <si>
    <t>Osłona do profilu LIGER mleczna 4,5m</t>
  </si>
  <si>
    <t>Pro000027</t>
  </si>
  <si>
    <t>Osłona do profilu LIGER mleczna 6m</t>
  </si>
  <si>
    <t>Osłona do profilu LIGER mleczna 953mm</t>
  </si>
  <si>
    <t>Pro000037</t>
  </si>
  <si>
    <t>Osłona do profilu LIGER SZER-L mleczna 1m</t>
  </si>
  <si>
    <t>Osłona do profilu LIGER SZER-L mleczna 2m</t>
  </si>
  <si>
    <t>Osłona do profilu LIGER SZER-L mleczna 3m</t>
  </si>
  <si>
    <t>Osłona do profilu LIGER-22 czarna 1m</t>
  </si>
  <si>
    <t>Osłona do profilu LIGER-22 czarna 1m PC</t>
  </si>
  <si>
    <t>Osłona do profilu LIGER-22 czarna 2m</t>
  </si>
  <si>
    <t>Osłona do profilu LIGER-22 czarna 2m PC</t>
  </si>
  <si>
    <t>Osłona do profilu LIGER-22 czarna 3m</t>
  </si>
  <si>
    <t>Osłona do profilu LIGER-22 czarna 3m PC</t>
  </si>
  <si>
    <t>Osłona do profilu LIGER-22 mleczna 10m</t>
  </si>
  <si>
    <t>Osłona do profilu LIGER-22 mleczna 1m</t>
  </si>
  <si>
    <t>Osłona do profilu LIGER-22 mleczna 2m</t>
  </si>
  <si>
    <t>Osłona do profilu LIGER-22 mleczna 3m</t>
  </si>
  <si>
    <t>Osłona do profilu LIGER-22 mleczna 4m</t>
  </si>
  <si>
    <t>Osłona do profilu LIGER-22 mleczna 6m</t>
  </si>
  <si>
    <t>Osłona do profilu LIGER-50 czarna 3m</t>
  </si>
  <si>
    <t>Osłona do profilu LIGER-50 mleczna 10m</t>
  </si>
  <si>
    <t>Osłona do profilu LIGER-50 mleczna 1m</t>
  </si>
  <si>
    <t>Osłona do profilu LIGER-50 mleczna 2m</t>
  </si>
  <si>
    <t>Osłona do profilu LIGER-50 mleczna 3m</t>
  </si>
  <si>
    <t>Osłona do profilu LUK-10 mleczna 1m</t>
  </si>
  <si>
    <t>Osłona do profilu LUK-10 mleczna 2m</t>
  </si>
  <si>
    <t>Osłona do profilu LUK-10 mleczna 3m</t>
  </si>
  <si>
    <t>Osłona do profilu M-K mleczna 2m wyc</t>
  </si>
  <si>
    <t>Osłona do profilu M-K mleczna 3m wyc</t>
  </si>
  <si>
    <t>Osłona do profilu MULTI mleczna 1m</t>
  </si>
  <si>
    <t>Osłona do profilu MULTI mleczna 2m</t>
  </si>
  <si>
    <t>Osłona do profilu MUN-22 mrożona 2m</t>
  </si>
  <si>
    <t>Osłona do profilu MUN-22 mrożona 3m</t>
  </si>
  <si>
    <t>Osłona do profilu MUN-22 szroniona 1m</t>
  </si>
  <si>
    <t>Osłona do profilu PDS-LUK mleczna 1m</t>
  </si>
  <si>
    <t>KLU-00035</t>
  </si>
  <si>
    <t>Osłona do profilu PDS-LUK mleczna 2m</t>
  </si>
  <si>
    <t>Osłona do profilu PDS-LUK mleczna 3m</t>
  </si>
  <si>
    <t>KLU-00036</t>
  </si>
  <si>
    <t>Osłona do profilu PIKO LINO mleczna 1m</t>
  </si>
  <si>
    <t>Osłona do profilu PIKO LINO mleczna 2m</t>
  </si>
  <si>
    <t>Osłona do profilu PIKO LINO mleczna 3m</t>
  </si>
  <si>
    <t>Osłona do profilu POL-40 mleczna 1m</t>
  </si>
  <si>
    <t>KLU-OSL-00005</t>
  </si>
  <si>
    <t>Osłona do profilu POL-40 mleczna 2m</t>
  </si>
  <si>
    <t>KLU-OSL-00006</t>
  </si>
  <si>
    <t>Osłona do profilu POL-40 mleczna 3m</t>
  </si>
  <si>
    <t>KLU-OSL-00007</t>
  </si>
  <si>
    <t>Osłona do profilu POL-50 mleczna 1m</t>
  </si>
  <si>
    <t>KLU-00044</t>
  </si>
  <si>
    <t>Osłona do profilu POL-50 mleczna 2m</t>
  </si>
  <si>
    <t>KLU-00045</t>
  </si>
  <si>
    <t>Osłona do profilu POL-50 mleczna 3m</t>
  </si>
  <si>
    <t>KLU-00046</t>
  </si>
  <si>
    <t>Osłona do profilu POL100 mleczna 1m</t>
  </si>
  <si>
    <t>Osłona do profilu POL100 mleczna 2m</t>
  </si>
  <si>
    <t>KLU-OSL-00008</t>
  </si>
  <si>
    <t>Osłona do profilu REFLEX 16-60 1m</t>
  </si>
  <si>
    <t>KLU-00047</t>
  </si>
  <si>
    <t>Osłona do profilu REFLEX 16-60 2m</t>
  </si>
  <si>
    <t>KLU-00048</t>
  </si>
  <si>
    <t>Osłona do profilu REFLEX 16-60 3m</t>
  </si>
  <si>
    <t>KLU-00049</t>
  </si>
  <si>
    <t>Osłona do profilu S skupiająca przeźroczysta 1m</t>
  </si>
  <si>
    <t>Osłona do profilu S skupiająca przeźroczysta 2m</t>
  </si>
  <si>
    <t>Osłona do profilu S skupiająca przeźroczysta 3m</t>
  </si>
  <si>
    <t>Osłona do profilu S skupiająca satyna 0,89m</t>
  </si>
  <si>
    <t>Osłona do profilu S skupiająca satyna 1,1m</t>
  </si>
  <si>
    <t>Osłona do profilu S skupiająca satyna 1m</t>
  </si>
  <si>
    <t>Osłona do profilu S skupiająca satyna 2m</t>
  </si>
  <si>
    <t>Osłona do profilu S skupiająca satyna 3m</t>
  </si>
  <si>
    <t>Osłona do profilu SILER mleczna 1m</t>
  </si>
  <si>
    <t>Osłona do profilu SILER mleczna 2m</t>
  </si>
  <si>
    <t>Osłona do profilu SILER mleczna 3m</t>
  </si>
  <si>
    <t>Osłona do profilu SZER mleczna 1m</t>
  </si>
  <si>
    <t>Osłona do profilu SZER mleczna 2m</t>
  </si>
  <si>
    <t>Osłona do profilu SZER mleczna 3m</t>
  </si>
  <si>
    <t>Osłona do profilu SZER przeźroczysta 1m</t>
  </si>
  <si>
    <t>Osłona do profilu SZER przeźroczysta 2m</t>
  </si>
  <si>
    <t>Osłona do profilu SZER przeźroczysta 3m</t>
  </si>
  <si>
    <t>Osłona do profilu T 1m wyc</t>
  </si>
  <si>
    <t>Pro000067</t>
  </si>
  <si>
    <t>Osłona do profilu T 2m wyc</t>
  </si>
  <si>
    <t>Osłona do profilu T mleczna 1m</t>
  </si>
  <si>
    <t>Pro000102</t>
  </si>
  <si>
    <t>Osłona do profilu T mleczna 2m</t>
  </si>
  <si>
    <t>Pro000100</t>
  </si>
  <si>
    <t>Pianka do profilu HR-LINE 124cm H=100mm</t>
  </si>
  <si>
    <t>1466H100</t>
  </si>
  <si>
    <t>Pianka do profilu HR-LINE 124cm h=26mm</t>
  </si>
  <si>
    <t>1466H26</t>
  </si>
  <si>
    <t>Podkładka do profilu izolująca</t>
  </si>
  <si>
    <t>Podkładka do profilu led 1m pod taśmę led</t>
  </si>
  <si>
    <t>Podkładka do profilu led 2m pod taśmę led</t>
  </si>
  <si>
    <t>000362M</t>
  </si>
  <si>
    <t>Podkładka do profilu led Inter dystansowa</t>
  </si>
  <si>
    <t>Podkładka do profilu led Micro pod włącznik 33mm</t>
  </si>
  <si>
    <t>Pręt mosiężny chromowany 1m gwintowany Kluś</t>
  </si>
  <si>
    <t>Pręt mosiężny chromowany 1m Kluś</t>
  </si>
  <si>
    <t>Pręt mosiężny chromowany 2m Kluś</t>
  </si>
  <si>
    <t>Pręt mosiężny nierdzewny 1m polerowany Kluś</t>
  </si>
  <si>
    <t>Pręt nierdzewny w koszulce 1m biały Kluś</t>
  </si>
  <si>
    <t>Pręt stalowy nierdzewny FI 3mm 1m Kluś</t>
  </si>
  <si>
    <t>Pręt stalowy nierdzewny FI 3mm 2m Kluś</t>
  </si>
  <si>
    <t>Pręt stalowy nierdzewny FI 3mm 53cm Kluś</t>
  </si>
  <si>
    <t>PROFIL LED - OBEJMA ZASILAJĄCA 5mm</t>
  </si>
  <si>
    <t>PROFIL LED - PODSTAWKA POD LISTWĘ LED ( BOMPON )</t>
  </si>
  <si>
    <t>PROFIL LED - PRZEWÓD 2X0 75 SZARY</t>
  </si>
  <si>
    <t>KLU-AKC-00011</t>
  </si>
  <si>
    <t>PROFIL LED - TAŚMA DWUSTRONNA SILIKON-10 1M</t>
  </si>
  <si>
    <t>KLU-AKC-00012</t>
  </si>
  <si>
    <t>PROFIL LED - UCHO ZD DO ZWISÓW</t>
  </si>
  <si>
    <t>PROFIL LED - WKŁADKA MONTAŻOWA 45</t>
  </si>
  <si>
    <t>PROFIL LED - WKRĘT BLOKUJĄCY 2.9X6.5 DIN 7981F</t>
  </si>
  <si>
    <t>KLU-AKC-00025</t>
  </si>
  <si>
    <t>PROFIL LED - ZACZEP WZDŁUŻNY</t>
  </si>
  <si>
    <t>PROFIL LED - ZAMOCOWANIE C1</t>
  </si>
  <si>
    <t>Profil led 3035 1m anodowany</t>
  </si>
  <si>
    <t>3035-1M-A</t>
  </si>
  <si>
    <t>Profil led 3035 2m anodowany</t>
  </si>
  <si>
    <t>3035-2M-A</t>
  </si>
  <si>
    <t>Profil led 3035 3m anodowany</t>
  </si>
  <si>
    <t>3035-3M-A</t>
  </si>
  <si>
    <t>Profil led 3035-KR-KOZE 1m</t>
  </si>
  <si>
    <t>KLU-PRO-00035</t>
  </si>
  <si>
    <t>Profil led 3035-KR-KOZE 2m</t>
  </si>
  <si>
    <t>Profil led 3035-KR-KOZE 3m</t>
  </si>
  <si>
    <t>KLU-PRO-00036</t>
  </si>
  <si>
    <t>Profil led 3035-MOS 0.6M</t>
  </si>
  <si>
    <t>Profil led 3035-O 1m anodowany</t>
  </si>
  <si>
    <t>3035-O-1M-A</t>
  </si>
  <si>
    <t>Profil led 3035-O 2m anodowany</t>
  </si>
  <si>
    <t>3035-O-2M-A</t>
  </si>
  <si>
    <t>Profil led 3035-O 3m anodowany</t>
  </si>
  <si>
    <t>3035-O-3M-A</t>
  </si>
  <si>
    <t>Profil led 4050 1m anodowany</t>
  </si>
  <si>
    <t>KLU-PRO-00031</t>
  </si>
  <si>
    <t>Profil led 4050 2m anodowany</t>
  </si>
  <si>
    <t>KLU-PRO-00030</t>
  </si>
  <si>
    <t>Profil led 4050 3m anodowany</t>
  </si>
  <si>
    <t>KLU-PRO-00032</t>
  </si>
  <si>
    <t>Profil led 4050-W 1m anodowany</t>
  </si>
  <si>
    <t>Profil led 4050-W 2m anodowany</t>
  </si>
  <si>
    <t>Profil led 4050-W 3m anodowany</t>
  </si>
  <si>
    <t>Profil led 45-16 1m anodowany</t>
  </si>
  <si>
    <t>45-16-1M-A</t>
  </si>
  <si>
    <t>Profil led 45-16 1m anodowany z osłoną mleczną KA</t>
  </si>
  <si>
    <t>45-16-ML-1M-A</t>
  </si>
  <si>
    <t>Profil led 45-16 1m anodowany z osłoną mleczną KA-COM</t>
  </si>
  <si>
    <t>45-16-MLC-1M-A</t>
  </si>
  <si>
    <t>Profil led 45-16 1m anodowany z osłoną mleczną LIGER</t>
  </si>
  <si>
    <t>45-16-ML-1M-A-L</t>
  </si>
  <si>
    <t>Profil led 45-16 1m anodowany z osłoną przeźroczystą KA</t>
  </si>
  <si>
    <t>45-16-CL-1M-A</t>
  </si>
  <si>
    <t>Profil led 45-16 1m anodowany z osłoną przeźroczystą KA-COM</t>
  </si>
  <si>
    <t>45-16-CLC-1M-A</t>
  </si>
  <si>
    <t>Profil led 45-16 2m anodowany</t>
  </si>
  <si>
    <t>45-16-2M-A</t>
  </si>
  <si>
    <t>Profil led 45-16 2m anodowany z osłoną mleczną KA</t>
  </si>
  <si>
    <t>45-16-ML-2M-A</t>
  </si>
  <si>
    <t>Profil led 45-16 2m anodowany z osłoną mleczną KA-COM</t>
  </si>
  <si>
    <t>45-16-MLC-2M-A</t>
  </si>
  <si>
    <t>Profil led 45-16 2m anodowany z osłoną mleczną LIGER</t>
  </si>
  <si>
    <t>45-16-ML-2M-A-L</t>
  </si>
  <si>
    <t>Profil led 45-16 2m anodowany z osłoną przeźroczystą KA</t>
  </si>
  <si>
    <t>45-16-CL-2M-A</t>
  </si>
  <si>
    <t>Profil led 45-16 2m anodowany z osłoną przeźroczystą KA-COM</t>
  </si>
  <si>
    <t>45-16-CLC-2M-A</t>
  </si>
  <si>
    <t>Profil led 45-16 3m anodowany</t>
  </si>
  <si>
    <t>45-16-3M-A</t>
  </si>
  <si>
    <t>Profil led 45-16 3m anodowany z osłoną mleczną KA</t>
  </si>
  <si>
    <t>45-16-ML-3M-A</t>
  </si>
  <si>
    <t>Profil led 45-16 3m anodowany z osłoną mleczną KA-COM</t>
  </si>
  <si>
    <t>45-16-MLC-3M-A</t>
  </si>
  <si>
    <t>Profil led 45-16 3m anodowany z osłoną mleczną LIGER</t>
  </si>
  <si>
    <t>45-16-ML-3M-A-L</t>
  </si>
  <si>
    <t>Profil led 45-16 3m anodowany z osłoną przeźroczystą KA</t>
  </si>
  <si>
    <t>45-16-CL-3M-A</t>
  </si>
  <si>
    <t>Profil led 45-16 3m anodowany z osłoną przeźroczystą KA-COM</t>
  </si>
  <si>
    <t>45-16-CLC-3M-A</t>
  </si>
  <si>
    <t>Profil led 45-ALU 1m</t>
  </si>
  <si>
    <t>45-ALU-1M</t>
  </si>
  <si>
    <t>Profil led 45-ALU 1m anodowany</t>
  </si>
  <si>
    <t>45-ALU-1M-A</t>
  </si>
  <si>
    <t>Profil led 45-ALU 1m anodowany z osłoną mleczną KA</t>
  </si>
  <si>
    <t>45-ALU-ML-1M-A</t>
  </si>
  <si>
    <t>Profil led 45-ALU 1m anodowany z osłoną mleczną KA-COM</t>
  </si>
  <si>
    <t>45-ALU-MLC-1M-A</t>
  </si>
  <si>
    <t>Profil led 45-ALU 1m anodowany z osłoną przeźroczystą KA</t>
  </si>
  <si>
    <t>45-ALU-CL-1M-A</t>
  </si>
  <si>
    <t>Profil led 45-ALU 1m anodowany z osłoną przeźroczystą KA-COM</t>
  </si>
  <si>
    <t>45-ALU-CLC-1M-A</t>
  </si>
  <si>
    <t>Profil led 45-ALU 1m biały lakierowany</t>
  </si>
  <si>
    <t>45-ALU-1M-B</t>
  </si>
  <si>
    <t>Profil led 45-ALU 1m biały lakierowany z osłoną mleczną KA</t>
  </si>
  <si>
    <t>45-ALU-ML-1M-B</t>
  </si>
  <si>
    <t>Profil led 45-ALU 1m czarny anodowany</t>
  </si>
  <si>
    <t>45-ALU-1M-A-CZ</t>
  </si>
  <si>
    <t>Profil led 45-ALU 1m czarny anodowany z osłoną mleczną KA</t>
  </si>
  <si>
    <t>45-ALU-ML-1M-A-C</t>
  </si>
  <si>
    <t>Profil led 45-ALU 1m czarny lakierowany z osłoną mleczną KA wyc</t>
  </si>
  <si>
    <t>45-ALU-ML-1M-CZ</t>
  </si>
  <si>
    <t>Profil led 45-ALU 1m z osłoną mleczną KA</t>
  </si>
  <si>
    <t>45-ALU-ML-1M</t>
  </si>
  <si>
    <t>Profil led 45-ALU 1m z osłoną mleczną KA-COM</t>
  </si>
  <si>
    <t>45-ALU-MLC-1M</t>
  </si>
  <si>
    <t>Profil led 45-ALU 1m z osłoną przeźroczystą KA</t>
  </si>
  <si>
    <t>45-ALU-CL-1M</t>
  </si>
  <si>
    <t>Profil led 45-ALU 1m z osłoną przeźroczystą KA-COM</t>
  </si>
  <si>
    <t>45-ALU-CLC-1M</t>
  </si>
  <si>
    <t>Profil led 45-ALU 2m</t>
  </si>
  <si>
    <t>45-ALU-2M</t>
  </si>
  <si>
    <t>Profil led 45-ALU 2m anodowany</t>
  </si>
  <si>
    <t>45-ALU-2M-A</t>
  </si>
  <si>
    <t>Profil led 45-ALU 2m anodowany z osłoną mleczną KA</t>
  </si>
  <si>
    <t>45-ALU-ML-2M-A</t>
  </si>
  <si>
    <t>Profil led 45-ALU 2m anodowany z osłoną mleczną KA-COM</t>
  </si>
  <si>
    <t>45-ALU-MLC-2M-A</t>
  </si>
  <si>
    <t>Profil led 45-ALU 2m anodowany z osłoną przeźroczystą KA</t>
  </si>
  <si>
    <t>45-ALU-CL-2M-A</t>
  </si>
  <si>
    <t>Profil led 45-ALU 2m anodowany z osłoną przeźroczystą KA-COM</t>
  </si>
  <si>
    <t>45-ALU-CLC-2M-A</t>
  </si>
  <si>
    <t>Profil led 45-ALU 2m biały lakierowany</t>
  </si>
  <si>
    <t>45-ALU-2M-B</t>
  </si>
  <si>
    <t>Profil led 45-ALU 2m biały lakierowany z osłoną mleczną KA</t>
  </si>
  <si>
    <t>45-ALU-ML-2M-B</t>
  </si>
  <si>
    <t>Profil led 45-ALU 2m biały lakierowany z osłoną mleczną KA-COM</t>
  </si>
  <si>
    <t>45-ALU-MLC-2M-B</t>
  </si>
  <si>
    <t>Profil led 45-ALU 2m czarny anodowany</t>
  </si>
  <si>
    <t>45-ALU-2M-A-CZ</t>
  </si>
  <si>
    <t>Profil led 45-ALU 2m czarny anodowany z osłoną mleczną KA</t>
  </si>
  <si>
    <t>45-ALU-ML-2M-A-C</t>
  </si>
  <si>
    <t>Profil led 45-ALU 2m czarny lakierowany wyc</t>
  </si>
  <si>
    <t>45-ALU-2M-CZ</t>
  </si>
  <si>
    <t>Profil led 45-ALU 2m czarny lakierowany z osłoną mleczną KA wyc</t>
  </si>
  <si>
    <t>45-ALU-ML-2M-CZ</t>
  </si>
  <si>
    <t>Profil led 45-ALU 2m z osłoną mleczną KA</t>
  </si>
  <si>
    <t>45-ALU-ML-2M</t>
  </si>
  <si>
    <t>Profil led 45-ALU 2m z osłoną mleczną KA-COM</t>
  </si>
  <si>
    <t>45-ALU-MLC-2M</t>
  </si>
  <si>
    <t>Profil led 45-ALU 2m z osłoną przeźroczystą KA</t>
  </si>
  <si>
    <t>45-ALU-CL-2M</t>
  </si>
  <si>
    <t>Profil led 45-ALU 2m z osłoną przeźroczystą KA-COM</t>
  </si>
  <si>
    <t>45-ALU-CLC-2M</t>
  </si>
  <si>
    <t>Profil led 45-ALU 3m</t>
  </si>
  <si>
    <t>45-ALU-3M</t>
  </si>
  <si>
    <t>Profil led 45-ALU 3m anodowany</t>
  </si>
  <si>
    <t>45-ALU-3M-A</t>
  </si>
  <si>
    <t>Profil led 45-ALU 3m anodowany z osłoną mleczną KA</t>
  </si>
  <si>
    <t>45-ALU-ML-3M-A</t>
  </si>
  <si>
    <t>Profil led 45-ALU 3m anodowany z osłoną mleczną KA-COM</t>
  </si>
  <si>
    <t>PRO-00002</t>
  </si>
  <si>
    <t>Profil led 45-ALU 3m anodowany z osłoną przeźroczystą KA</t>
  </si>
  <si>
    <t>45-ALU-CL-3M-A</t>
  </si>
  <si>
    <t>Profil led 45-ALU 3m anodowany z osłoną przeźroczystą KA-COM</t>
  </si>
  <si>
    <t>PRO-00003</t>
  </si>
  <si>
    <t>Profil led 45-ALU 3m biały lakierowany</t>
  </si>
  <si>
    <t>45-ALU-3M-B</t>
  </si>
  <si>
    <t>Profil led 45-ALU 3m czarny anodowany</t>
  </si>
  <si>
    <t>Profil led 45-ALU 3m z osłoną mleczną KA</t>
  </si>
  <si>
    <t>45-ALU-ML-3M</t>
  </si>
  <si>
    <t>Profil led 45-ALU 3m z osłoną mleczną KA-COM</t>
  </si>
  <si>
    <t>PRO-00004</t>
  </si>
  <si>
    <t>Profil led 45-ALU 3m z osłoną przeźroczystą KA</t>
  </si>
  <si>
    <t>45-ALU-CL-3M</t>
  </si>
  <si>
    <t>Profil led 45-ALU 3m z osłoną przeźroczystą KA-COM</t>
  </si>
  <si>
    <t>PRO-00005</t>
  </si>
  <si>
    <t>Profil led ATRA 1m anodowany osłona do K IDES DUO</t>
  </si>
  <si>
    <t>ATRA-1M-A</t>
  </si>
  <si>
    <t>Profil led ATRA 2m anodowany osłona do K IDES DUO</t>
  </si>
  <si>
    <t>ATRA-2M-A</t>
  </si>
  <si>
    <t>Profil led ATRA 3m anodowany osłona do K IDES DUO</t>
  </si>
  <si>
    <t>KLU-00011</t>
  </si>
  <si>
    <t>Profil led BOX 1m anodowany</t>
  </si>
  <si>
    <t>BOX-ALU-1M-A</t>
  </si>
  <si>
    <t>Profil led BOX 2m anodowany</t>
  </si>
  <si>
    <t>BOX-ALU-2M-A</t>
  </si>
  <si>
    <t>Profil led BOX 3m anodowany</t>
  </si>
  <si>
    <t>BOX-ALU-3M-A</t>
  </si>
  <si>
    <t>Profil led BOXSET 1m anodowany</t>
  </si>
  <si>
    <t>Profil led DES 1m anodowany</t>
  </si>
  <si>
    <t>DES-ALU-1M</t>
  </si>
  <si>
    <t>Profil led DES 1m anodowany czarny</t>
  </si>
  <si>
    <t>KLU-PRO-00037</t>
  </si>
  <si>
    <t>Profil led DES 1m anodowany z osłoną mleczną 2xKA + HSP</t>
  </si>
  <si>
    <t>DES-ALU-ML-1M</t>
  </si>
  <si>
    <t>Profil led DES 2m anodowany</t>
  </si>
  <si>
    <t>DES-ALU-2M</t>
  </si>
  <si>
    <t>Profil led DES 2m anodowany czarny</t>
  </si>
  <si>
    <t>Profil led DES 2m anodowany z osłoną mleczną 2xKA + HSP</t>
  </si>
  <si>
    <t>DES-ALU-ML-2M</t>
  </si>
  <si>
    <t>Profil led DES 3m anodowany</t>
  </si>
  <si>
    <t>DES-ALU-3M</t>
  </si>
  <si>
    <t>Profil led DES 3m anodowany czarny</t>
  </si>
  <si>
    <t>Profil led DES 3m anodowany z osłoną mleczną 2xKA + HSP</t>
  </si>
  <si>
    <t>DES-ALU-ML-3M</t>
  </si>
  <si>
    <t>Profil led EX 1m anodowany</t>
  </si>
  <si>
    <t>EX-ALU-1</t>
  </si>
  <si>
    <t>Profil led EX 2m anodowany</t>
  </si>
  <si>
    <t>EX-ALU-2</t>
  </si>
  <si>
    <t>Profil led EX 3m anodowany</t>
  </si>
  <si>
    <t>EX-ALU-3</t>
  </si>
  <si>
    <t>Profil led EX 40cm anodowany</t>
  </si>
  <si>
    <t>EX-ALU-40</t>
  </si>
  <si>
    <t>Profil led FOLED 1m</t>
  </si>
  <si>
    <t>KLU-00034</t>
  </si>
  <si>
    <t>Profil led FOLED 2m</t>
  </si>
  <si>
    <t>FOLED-2M-A</t>
  </si>
  <si>
    <t>Profil led FOLED 3m</t>
  </si>
  <si>
    <t>FOLED-3M-A</t>
  </si>
  <si>
    <t>Profil led FOLED-BOK 1m</t>
  </si>
  <si>
    <t>FOLED-BOK-1M-A</t>
  </si>
  <si>
    <t>Profil led FOLED-BOK 2m</t>
  </si>
  <si>
    <t>FOLED-BOK-2M-A</t>
  </si>
  <si>
    <t>Profil led FOLED-BOK 3m</t>
  </si>
  <si>
    <t>FOLED-BOK-3M-A</t>
  </si>
  <si>
    <t>Profil led FOLED-SUF 1m</t>
  </si>
  <si>
    <t>FOLED-SUF-1M-A</t>
  </si>
  <si>
    <t>Profil led FOLED-SUF 2m</t>
  </si>
  <si>
    <t>FOLED-SUF-2M-A</t>
  </si>
  <si>
    <t>Profil led FOLED-SUF 3m</t>
  </si>
  <si>
    <t>FOLED-SUF-3M-A</t>
  </si>
  <si>
    <t>Profil led GIZA 1m anodowany</t>
  </si>
  <si>
    <t>GIZA-ALU-1M</t>
  </si>
  <si>
    <t>Profil led GIZA 1m anodowany z osłoną mleczną HS-22</t>
  </si>
  <si>
    <t>GIZA-ALU-ML-1M</t>
  </si>
  <si>
    <t>Profil led GIZA 1m anodowany z osłoną przeźroczystą HS-22</t>
  </si>
  <si>
    <t>GIZA-ALU-CL-1M</t>
  </si>
  <si>
    <t>Profil led GIZA 2m anodowany</t>
  </si>
  <si>
    <t>GIZA-ALU-2M</t>
  </si>
  <si>
    <t>Profil led GIZA 2m anodowany z osłoną mleczną HS-22</t>
  </si>
  <si>
    <t>GIZA-ALU-ML-2M</t>
  </si>
  <si>
    <t>Profil led GIZA 2m anodowany z osłoną przeźroczystą HS-22</t>
  </si>
  <si>
    <t>GIZA-ALU-CL-2M</t>
  </si>
  <si>
    <t>Profil led GIZA 3m anodowany</t>
  </si>
  <si>
    <t>GIZA-ALU-3M</t>
  </si>
  <si>
    <t>Profil led GIZA 3m anodowany z osłoną mleczną HS-22</t>
  </si>
  <si>
    <t>GIZA-ALU-ML-3M</t>
  </si>
  <si>
    <t>Profil led GIZA 3m anodowany z osłoną przeźroczystą HS-22</t>
  </si>
  <si>
    <t>GIZA-ALU-CL-3M</t>
  </si>
  <si>
    <t>Profil led GIZA 4m anodowany</t>
  </si>
  <si>
    <t>GIZA-ALU-4M</t>
  </si>
  <si>
    <t>Profil led GIZA-LL 1m anodowany</t>
  </si>
  <si>
    <t>C0758ANODA1</t>
  </si>
  <si>
    <t>Profil led GIZA-LL 2m anodowany</t>
  </si>
  <si>
    <t>C0758ANODA2</t>
  </si>
  <si>
    <t>Profil led GIZA-LL 2m anodowany czarny</t>
  </si>
  <si>
    <t>Profil led GIZA-LL 2m lakier ral9010</t>
  </si>
  <si>
    <t>Pro000073</t>
  </si>
  <si>
    <t>Profil led GIZA-LL 3m anodowany</t>
  </si>
  <si>
    <t>C0758ANODA3</t>
  </si>
  <si>
    <t>Profil led GIZA-LL 3m anodowany czarny</t>
  </si>
  <si>
    <t>Profil led GIZA-LL 3m lakier ral9010</t>
  </si>
  <si>
    <t>Pro000134</t>
  </si>
  <si>
    <t>Profil led GIZA-LL-T 1m</t>
  </si>
  <si>
    <t>KLU-PRO-00028</t>
  </si>
  <si>
    <t>Profil led GIZA-LL-T 2m</t>
  </si>
  <si>
    <t>KLU-PRO-00027</t>
  </si>
  <si>
    <t>Profil led GIZA-LL-T 3m</t>
  </si>
  <si>
    <t>KLU-PRO-00029</t>
  </si>
  <si>
    <t>Profil led GLAD-45 1m anodowany</t>
  </si>
  <si>
    <t>45-GLAD-1M-A</t>
  </si>
  <si>
    <t>Profil led GLAD-45 1m anodowany z osłoną mleczną KA-COM</t>
  </si>
  <si>
    <t>45-GLAD-ML-1M-A</t>
  </si>
  <si>
    <t>Profil led GLAD-45 2m anodowany</t>
  </si>
  <si>
    <t>45-GLAD-2M-A</t>
  </si>
  <si>
    <t>Profil led GLAD-45 2m anodowany z osłoną mleczną KA-COM</t>
  </si>
  <si>
    <t>45-GLAD-ML-2M-A</t>
  </si>
  <si>
    <t>Profil led GLAD-45 3m anodowany</t>
  </si>
  <si>
    <t>45-GLAD-3M-A</t>
  </si>
  <si>
    <t>Profil led GLAD-45 3m anodowany z osłoną mleczną KA-COM</t>
  </si>
  <si>
    <t>45-GLAD-ML-3M-A</t>
  </si>
  <si>
    <t>Profil led GLADES 1m anodowany</t>
  </si>
  <si>
    <t>GLADES-1M-A</t>
  </si>
  <si>
    <t>Profil led GLADES 2m anodowany</t>
  </si>
  <si>
    <t>GLADES-2M-A</t>
  </si>
  <si>
    <t>Profil led GLADES 3m anodowany</t>
  </si>
  <si>
    <t>GLADES-3M-A</t>
  </si>
  <si>
    <t>Profil led GLAZA-LL 2m anodowany</t>
  </si>
  <si>
    <t>Pro000049</t>
  </si>
  <si>
    <t>Profil led GLAZA-LL 2m anodowany czarny</t>
  </si>
  <si>
    <t>Pro000052</t>
  </si>
  <si>
    <t>Profil led HR 1m</t>
  </si>
  <si>
    <t>HR-ALU-1M</t>
  </si>
  <si>
    <t>Profil led HR 1m anodowany</t>
  </si>
  <si>
    <t>HR-ALU-1M-A</t>
  </si>
  <si>
    <t>Profil led HR 1m anodowany z osłoną mleczną</t>
  </si>
  <si>
    <t>HR-ALU-ML-1M-A</t>
  </si>
  <si>
    <t>Profil led HR 1m z osłoną mleczną</t>
  </si>
  <si>
    <t>HR-ALU-ML-1M</t>
  </si>
  <si>
    <t>Profil led HR 2m</t>
  </si>
  <si>
    <t>HR-ALU-2M</t>
  </si>
  <si>
    <t>Profil led HR 2m anodowany</t>
  </si>
  <si>
    <t>HR-ALU-2M-A</t>
  </si>
  <si>
    <t>Profil led HR 2m anodowany z osłoną mleczną</t>
  </si>
  <si>
    <t>HR-ALU-ML-2M-A</t>
  </si>
  <si>
    <t>Profil led HR 2m z osłoną mleczną</t>
  </si>
  <si>
    <t>HR-ALU-ML-2M</t>
  </si>
  <si>
    <t>Profil led HR 3m</t>
  </si>
  <si>
    <t>HR-ALU-3M</t>
  </si>
  <si>
    <t>Profil led HR 3m anodowany</t>
  </si>
  <si>
    <t>HR-ALU-3M-A</t>
  </si>
  <si>
    <t>Profil led HR 3m anodowany z osłoną mleczną</t>
  </si>
  <si>
    <t>HR-ALU-ML-3M-A</t>
  </si>
  <si>
    <t>Profil led HR 3m z osłoną mleczną</t>
  </si>
  <si>
    <t>HR-ALU-ML-3M</t>
  </si>
  <si>
    <t>Profil led HR LINE 1m anodowany wyc.</t>
  </si>
  <si>
    <t>Profil led HR LINE 1m anodowany z osłoną mleczną wyc.</t>
  </si>
  <si>
    <t>PROFIL LED 02028</t>
  </si>
  <si>
    <t>Profil led HR LINE 1m wyc.</t>
  </si>
  <si>
    <t>HRLINE-ALU-1M</t>
  </si>
  <si>
    <t>Profil led HR LINE 1m z osłoną mleczną wyc.</t>
  </si>
  <si>
    <t>HRLINE-ALU-ML-1M</t>
  </si>
  <si>
    <t>Profil LED HR LINE 2m anoda wyc.</t>
  </si>
  <si>
    <t>Profil led HR LINE 2m anodowany z osłoną mleczną wyc.</t>
  </si>
  <si>
    <t>PROFIL LED 02032</t>
  </si>
  <si>
    <t>Profil led HR LINE 2m mleczna wyc.</t>
  </si>
  <si>
    <t>HRLINE-ALU-ML-2M</t>
  </si>
  <si>
    <t>Profil LED HR LINE 2m wyc.</t>
  </si>
  <si>
    <t>HRLINE-ALU-2M</t>
  </si>
  <si>
    <t>Profil led HR LINE 3m anoda mleczna wyc.</t>
  </si>
  <si>
    <t>PROFIL LED 02036</t>
  </si>
  <si>
    <t>Profil led HR LINE 3m anoda wyc.</t>
  </si>
  <si>
    <t>Profil led HR LINE 3m mleczna wyc.</t>
  </si>
  <si>
    <t>HRLINE-ALU-ML-3M</t>
  </si>
  <si>
    <t>Profil LED HR LINE 3m wyc.</t>
  </si>
  <si>
    <t>HRLINE-ALU-3M</t>
  </si>
  <si>
    <t>Profil led HR LINE-2 1m anodowany z osłoną mleczną wyc</t>
  </si>
  <si>
    <t>HRLINE2-ALU-1M-A</t>
  </si>
  <si>
    <t>Profil led HR LINE-2 2m anodowany z osłoną mleczną wyc</t>
  </si>
  <si>
    <t>HRLINE2-ALU-2M-A</t>
  </si>
  <si>
    <t>Profil led HR LINE-2 3m anodowany z osłoną mleczną wyc</t>
  </si>
  <si>
    <t>HRLINE2-ALU-3M-A</t>
  </si>
  <si>
    <t>Profil led HR-MAX 2m anodowany</t>
  </si>
  <si>
    <t>KLU-PRO-00038</t>
  </si>
  <si>
    <t>Profil led HR-MAX 3m anodowany</t>
  </si>
  <si>
    <t>Profil led HR-MAX-T 2m</t>
  </si>
  <si>
    <t>KLU-PRO-00039</t>
  </si>
  <si>
    <t>Profil led HR-MAX-T 3m</t>
  </si>
  <si>
    <t>Pro000046</t>
  </si>
  <si>
    <t>Profil led HR-MAX-TW 2m</t>
  </si>
  <si>
    <t>Profil led HR-MAX-TW 3m</t>
  </si>
  <si>
    <t>Profil led HR-OPTI 2m anodowany</t>
  </si>
  <si>
    <t>Profil led IDOL 1m anodowany</t>
  </si>
  <si>
    <t>IDOL-ALU-1M</t>
  </si>
  <si>
    <t>Profil led IDOL 1m anodowany z osłoną mleczną</t>
  </si>
  <si>
    <t>IDOL-ALU-ML-1M</t>
  </si>
  <si>
    <t>Profil led IDOL 2m anodowany</t>
  </si>
  <si>
    <t>IDOL-ALU-2M</t>
  </si>
  <si>
    <t>Profil led IDOL 2m anodowany z osłoną mleczną</t>
  </si>
  <si>
    <t>IDOL-ALU-ML-2M</t>
  </si>
  <si>
    <t>Profil led IDOL 3m anodowany</t>
  </si>
  <si>
    <t>IDOL-ALU-3M</t>
  </si>
  <si>
    <t>Profil led IDOL 3m anodowany z osłoną mleczną</t>
  </si>
  <si>
    <t>IDOL-ALU-ML-3M</t>
  </si>
  <si>
    <t>Profil led IKON 1m anodowany</t>
  </si>
  <si>
    <t>IKON-ALU-1M</t>
  </si>
  <si>
    <t>Profil led IKON 1m anodowany z osłoną mleczną</t>
  </si>
  <si>
    <t>IKON-ALU-ML-1M</t>
  </si>
  <si>
    <t>Profil led IKON 2m anodowany</t>
  </si>
  <si>
    <t>IKON-ALU-2M</t>
  </si>
  <si>
    <t>Profil led IKON 2m anodowany z osłoną mleczną</t>
  </si>
  <si>
    <t>IKON-ALU-ML-2M</t>
  </si>
  <si>
    <t>Profil led IKON 3m anodowany</t>
  </si>
  <si>
    <t>IKON-ALU-3M</t>
  </si>
  <si>
    <t>Profil led IKON 3m anodowany z osłoną mleczną</t>
  </si>
  <si>
    <t>IKON-ALU-ML-3M</t>
  </si>
  <si>
    <t>Profil led IMET 1m anodowany</t>
  </si>
  <si>
    <t>IMET-ALU-1M</t>
  </si>
  <si>
    <t>Profil led IMET 1m anodowany z osłoną mleczną</t>
  </si>
  <si>
    <t>IMET-ALU-ML-1M</t>
  </si>
  <si>
    <t>Profil led IMET 2m anodowany</t>
  </si>
  <si>
    <t>IMET-ALU-2M</t>
  </si>
  <si>
    <t>Profil led IMET 2m anodowany z osłoną mleczną</t>
  </si>
  <si>
    <t>IMET-ALU-ML-2M</t>
  </si>
  <si>
    <t>Profil led IMET 3m anodowany</t>
  </si>
  <si>
    <t>IMET-ALU-3M</t>
  </si>
  <si>
    <t>Profil led IMET 3m anodowany z osłoną mleczną</t>
  </si>
  <si>
    <t>IMET-ALU-ML-3M</t>
  </si>
  <si>
    <t>Profil led INTER 1m anodowany</t>
  </si>
  <si>
    <t>KLU-00031</t>
  </si>
  <si>
    <t>Profil led INTER 1m anodowany z osłoną mleczną</t>
  </si>
  <si>
    <t>INTER-ALU-ML-1M</t>
  </si>
  <si>
    <t>Profil led INTER 2m anodowany</t>
  </si>
  <si>
    <t>KLU-00032</t>
  </si>
  <si>
    <t>Profil led INTER 2m anodowany z osłoną mleczną</t>
  </si>
  <si>
    <t>INTER-ALU-ML-2M</t>
  </si>
  <si>
    <t>Profil led INTER 3m anodowany</t>
  </si>
  <si>
    <t>KLU-00033</t>
  </si>
  <si>
    <t>Profil led INTER 3m anodowany z osłoną mleczną</t>
  </si>
  <si>
    <t>INTER-ALU-ML-3M</t>
  </si>
  <si>
    <t>Profil led JAZ 1m anodowany</t>
  </si>
  <si>
    <t>JAZ-1M-A</t>
  </si>
  <si>
    <t>Profil led JAZ 1m anodowany z osłoną mleczną</t>
  </si>
  <si>
    <t>JAZ-ML-1M-A</t>
  </si>
  <si>
    <t>Profil led JAZ 2m anodowany</t>
  </si>
  <si>
    <t>JAZ-2M-A</t>
  </si>
  <si>
    <t>Profil led JAZ 2m anodowany z osłoną mleczną</t>
  </si>
  <si>
    <t>JAZ-ML-2M-A</t>
  </si>
  <si>
    <t>Profil led JAZ 3m anodowany</t>
  </si>
  <si>
    <t>JAZ-3M-A</t>
  </si>
  <si>
    <t>Profil led JAZ 3m anodowany z osłoną mleczną</t>
  </si>
  <si>
    <t>JAZ-ML-3M-A</t>
  </si>
  <si>
    <t>Profil led JAZ-DUO 1m anodowany</t>
  </si>
  <si>
    <t>KLU-PRO-00019</t>
  </si>
  <si>
    <t>Profil led JAZ-DUO 2m anodowany</t>
  </si>
  <si>
    <t>JAZ-DUO-2M-A</t>
  </si>
  <si>
    <t>Profil led JAZ-DUO 2m biały</t>
  </si>
  <si>
    <t>Pro000064</t>
  </si>
  <si>
    <t>Profil led JAZ-DUO 3m anodowany</t>
  </si>
  <si>
    <t>KLU-PRO-00020</t>
  </si>
  <si>
    <t>Profil led JAZ-DUO 3m biały</t>
  </si>
  <si>
    <t>Profil led KIDES 1m anodowany</t>
  </si>
  <si>
    <t>KIDES-1M-A</t>
  </si>
  <si>
    <t>Profil led KIDES 2m anodowany</t>
  </si>
  <si>
    <t>KIDES-2M-A</t>
  </si>
  <si>
    <t>Profil led KIDES-DUO 1m anodowany</t>
  </si>
  <si>
    <t>KIDES-DUO-1M-A</t>
  </si>
  <si>
    <t>Profil led KIDES-DUO 2m anodowany</t>
  </si>
  <si>
    <t>KIDES-DUO-2M-A</t>
  </si>
  <si>
    <t>Profil led KIDES-DUO 3m anodowany</t>
  </si>
  <si>
    <t>KLU-00010</t>
  </si>
  <si>
    <t>Profil led KOPRO 1m anodowany</t>
  </si>
  <si>
    <t>KOPRO-1M-A</t>
  </si>
  <si>
    <t>Profil led KOPRO 2m anodowany</t>
  </si>
  <si>
    <t>KOPRO-2M-A</t>
  </si>
  <si>
    <t>Profil led KOPRO 3m anodowany</t>
  </si>
  <si>
    <t>KOPRO-3M-A</t>
  </si>
  <si>
    <t>Profil led KOPRO-30 1m anodowany</t>
  </si>
  <si>
    <t>KOPRO30-1M-A</t>
  </si>
  <si>
    <t>Profil led KOPRO-30 2m anodowany</t>
  </si>
  <si>
    <t>KOPRO30-2M-A</t>
  </si>
  <si>
    <t>Profil led KOPRO-30 3m anodowany</t>
  </si>
  <si>
    <t>KOPRO30-3M-A</t>
  </si>
  <si>
    <t>Profil led KOPRO-K 1m anodowany z osłoną mleczną</t>
  </si>
  <si>
    <t>KOPRO-K-ML-1M-A</t>
  </si>
  <si>
    <t>Profil led KOPRO-K 2m anodowany z osłoną mleczną</t>
  </si>
  <si>
    <t>KOPRO-K-ML-2M-A</t>
  </si>
  <si>
    <t>Profil led KOPRO-L 1m anodowany z osłoną mleczną</t>
  </si>
  <si>
    <t>KOPRO-L-ML-1M-A</t>
  </si>
  <si>
    <t>Profil led KOPRO-L 2m anodowany z osłoną mleczną</t>
  </si>
  <si>
    <t>KOPRO-L-ML-2M-A</t>
  </si>
  <si>
    <t>Profil led KOPRO-P 1m anodowany z osłoną mleczną</t>
  </si>
  <si>
    <t>KOPRO-P-ML-1M-A</t>
  </si>
  <si>
    <t>Profil led KOPRO-P 2m anodowany z osłoną mleczną</t>
  </si>
  <si>
    <t>KOPRO-P-ML-2M-A</t>
  </si>
  <si>
    <t>Profil led KOZEL 1m</t>
  </si>
  <si>
    <t>KOZEL-ALU-1M</t>
  </si>
  <si>
    <t>Profil led KOZEL 1m z osłoną mleczną HS-22</t>
  </si>
  <si>
    <t>KOZEL-ALU-ML-1M</t>
  </si>
  <si>
    <t>Profil led KOZEL 2m</t>
  </si>
  <si>
    <t>KOZEL-ALU-2M</t>
  </si>
  <si>
    <t>Profil led KOZEL 2m z osłoną mleczną HS-22</t>
  </si>
  <si>
    <t>KOZEL-ALU-ML-2M</t>
  </si>
  <si>
    <t>Profil led KOZEL 3m</t>
  </si>
  <si>
    <t>KOZEL-ALU-3M</t>
  </si>
  <si>
    <t>Profil led KOZEL 3m z osłoną mleczną HS-22</t>
  </si>
  <si>
    <t>KOZEL-ALU-ML-3M</t>
  </si>
  <si>
    <t>Profil led KOZEL-10 1m</t>
  </si>
  <si>
    <t>KOZEL10-ALU-1M</t>
  </si>
  <si>
    <t>Profil led KOZEL-10 2m</t>
  </si>
  <si>
    <t>KOZEL10-ALU-2M</t>
  </si>
  <si>
    <t>Profil led KOZEL-10 3m</t>
  </si>
  <si>
    <t>KOZEL10-ALU-3M</t>
  </si>
  <si>
    <t>Profil led KOZEL-50 1m</t>
  </si>
  <si>
    <t>KOZEL50-ALU-1M</t>
  </si>
  <si>
    <t>Profil led KOZEL-50 2m</t>
  </si>
  <si>
    <t>KOZEL50-ALU-2M</t>
  </si>
  <si>
    <t>Profil led KOZEL-50 3m</t>
  </si>
  <si>
    <t>KOZEL50-ALU-3M</t>
  </si>
  <si>
    <t>Profil led KOZMA 1m</t>
  </si>
  <si>
    <t>KOZMA-ALU-1M</t>
  </si>
  <si>
    <t>Profil led KOZMA 2m</t>
  </si>
  <si>
    <t>KOZMA-ALU-2M</t>
  </si>
  <si>
    <t>Profil led KOZMA 3m</t>
  </si>
  <si>
    <t>KOZMA-ALU-3M</t>
  </si>
  <si>
    <t>Profil led KOZUS 1m</t>
  </si>
  <si>
    <t>KOZUS-ALU-1M</t>
  </si>
  <si>
    <t>Profil led KOZUS 1m z osłoną mleczną HS-22</t>
  </si>
  <si>
    <t>KOZUS-ALU-ML-1M</t>
  </si>
  <si>
    <t>Profil led KOZUS 2m</t>
  </si>
  <si>
    <t>KOZUS-ALU-2M</t>
  </si>
  <si>
    <t>Profil led KOZUS 2m z osłoną mleczną HS-22</t>
  </si>
  <si>
    <t>KOZUS-ALU-ML-2M</t>
  </si>
  <si>
    <t>Profil led KOZUS 3m</t>
  </si>
  <si>
    <t>KOZUS-ALU-3M</t>
  </si>
  <si>
    <t>Profil led KOZUS 3m z osłoną mleczną HS-22</t>
  </si>
  <si>
    <t>KOZUS-ALU-ML-3M</t>
  </si>
  <si>
    <t>Profil led KOZUS-50 1m</t>
  </si>
  <si>
    <t>KLU-00012</t>
  </si>
  <si>
    <t>Profil led KOZUS-50 2m</t>
  </si>
  <si>
    <t>KOZUS50-ALU-2M</t>
  </si>
  <si>
    <t>Profil led KOZUS-50 3m</t>
  </si>
  <si>
    <t>KOZUS50-ALU-3M</t>
  </si>
  <si>
    <t>Profil led KOZUS-CR 1m</t>
  </si>
  <si>
    <t>KOZUS-CR-ALU-1M</t>
  </si>
  <si>
    <t>Profil led KOZUS-CR 2m</t>
  </si>
  <si>
    <t>KOZUS-CR-ALU-2M</t>
  </si>
  <si>
    <t>Profil led KOZUS-CR 3m</t>
  </si>
  <si>
    <t>KOZUS-CR-ALU-3M</t>
  </si>
  <si>
    <t>Profil led KRAV-05IN 1m anodowany</t>
  </si>
  <si>
    <t>KRAV05IN-ALU-1M</t>
  </si>
  <si>
    <t>Profil led KRAV-05IN 2m anodowany</t>
  </si>
  <si>
    <t>KLU-00020</t>
  </si>
  <si>
    <t>Profil led KRAV-05IN 3m anodowany</t>
  </si>
  <si>
    <t>KLU-00021</t>
  </si>
  <si>
    <t>Profil led KRAV-56 1m anodowany</t>
  </si>
  <si>
    <t>KRAV56-ALU-1M</t>
  </si>
  <si>
    <t>Profil led KRAV-56 2m anodowany</t>
  </si>
  <si>
    <t>KRAV56-ALU-2M</t>
  </si>
  <si>
    <t>Profil led KRAV-56 3m anodowany</t>
  </si>
  <si>
    <t>KRAV56-ALU-3M</t>
  </si>
  <si>
    <t>Profil led KRAV-810 1m anodowany</t>
  </si>
  <si>
    <t>KRAV-810-ALU-1M</t>
  </si>
  <si>
    <t>Profil led KRAV-810 2m anodowany</t>
  </si>
  <si>
    <t>KRAV-810-ALU-2M</t>
  </si>
  <si>
    <t>Profil led KRAV-810 3m anodowany</t>
  </si>
  <si>
    <t>KRAV-810-ALU-3M</t>
  </si>
  <si>
    <t>Profil led KUBIK 1m anodowany</t>
  </si>
  <si>
    <t>KUBIK-1M-A</t>
  </si>
  <si>
    <t>Profil led KUBIK 1m anodowany z osłoną mleczną KA</t>
  </si>
  <si>
    <t>KUBIK-ML-1M-A</t>
  </si>
  <si>
    <t>Profil led KUBIK 1m anodowany z osłoną mleczną KA-COM</t>
  </si>
  <si>
    <t>KUBIK-MLC-1M-A</t>
  </si>
  <si>
    <t>Profil led KUBIK 2m anodowany</t>
  </si>
  <si>
    <t>KUBIK-2M-A</t>
  </si>
  <si>
    <t>Profil led KUBIK 2m anodowany z osłoną mleczną KA</t>
  </si>
  <si>
    <t>KUBIK-ML-2M-A</t>
  </si>
  <si>
    <t>Profil led KUBIK 2m anodowany z osłoną mleczną KA-COM</t>
  </si>
  <si>
    <t>KUBIK-MLC-2M-A</t>
  </si>
  <si>
    <t>Profil led KUBIK 3m anodowany</t>
  </si>
  <si>
    <t>KUBIK-3M-A</t>
  </si>
  <si>
    <t>Profil led KUBIK 3m anodowany z osłoną mleczną KA</t>
  </si>
  <si>
    <t>KUBIK-ML-3M-A</t>
  </si>
  <si>
    <t>Profil led KUBIK 3m anodowany z osłoną mleczną KA-COM</t>
  </si>
  <si>
    <t>KUBIK-MLC-3M-A</t>
  </si>
  <si>
    <t>Profil led LAPOD 2.02m</t>
  </si>
  <si>
    <t>Profil led LAPOD 3.03M</t>
  </si>
  <si>
    <t>Profil led LARKO 1m anodowany</t>
  </si>
  <si>
    <t>LARKO-ALU-1M</t>
  </si>
  <si>
    <t>Profil led LARKO 1m anodowany z osłoną mleczną HS-22</t>
  </si>
  <si>
    <t>LARKO-ALU-ML-1M</t>
  </si>
  <si>
    <t>Profil led LARKO 1m anodowany z osłoną przeźroczystą HS-22</t>
  </si>
  <si>
    <t>LARKO-ALU-CL-1M</t>
  </si>
  <si>
    <t>Profil led LARKO 2m anodowany</t>
  </si>
  <si>
    <t>LARKO-ALU-2M</t>
  </si>
  <si>
    <t>Profil led LARKO 2m anodowany z osłoną mleczną HS-22</t>
  </si>
  <si>
    <t>LARKO-ALU-ML-2M</t>
  </si>
  <si>
    <t>Profil led LARKO 2m anodowany z osłoną przeźroczystą HS-22</t>
  </si>
  <si>
    <t>LARKO-ALU-CL-2M</t>
  </si>
  <si>
    <t>Profil led LARKO 2m biały</t>
  </si>
  <si>
    <t>Pro000144</t>
  </si>
  <si>
    <t>Profil led LARKO 3m anodowany</t>
  </si>
  <si>
    <t>LARKO-ALU-3M</t>
  </si>
  <si>
    <t>Profil led LARKO 3m anodowany z osłoną mleczną HS-22</t>
  </si>
  <si>
    <t>LARKO-ALU-ML-3M</t>
  </si>
  <si>
    <t>Profil led LARKO 3m biały</t>
  </si>
  <si>
    <t>Pro000101</t>
  </si>
  <si>
    <t>Profil led LARKO-50 1m anodowany</t>
  </si>
  <si>
    <t>LARKO50-ALU-1M</t>
  </si>
  <si>
    <t>Profil led LARKO-50 2m anodowany</t>
  </si>
  <si>
    <t>LARKO50-ALU-2M</t>
  </si>
  <si>
    <t>Profil led LARKO-50 3m anodowany</t>
  </si>
  <si>
    <t>LARKO50-ALU-3M</t>
  </si>
  <si>
    <t>Profil led LESTO 1m anodowany wyc</t>
  </si>
  <si>
    <t>LESTO-ALU-1M</t>
  </si>
  <si>
    <t>Profil led LESTO 2m anodowany wyc</t>
  </si>
  <si>
    <t>LESTO-ALU-2M</t>
  </si>
  <si>
    <t>Profil led LESTO 3m anodowany wyc</t>
  </si>
  <si>
    <t>LESTO-ALU-3M</t>
  </si>
  <si>
    <t>Profil led LINO 1m anodowany</t>
  </si>
  <si>
    <t>LINO-ALU-1M</t>
  </si>
  <si>
    <t>Profil led LINO 2m anodowany</t>
  </si>
  <si>
    <t>LINO-ALU-2M</t>
  </si>
  <si>
    <t>Profil led LINO 3m anodowany</t>
  </si>
  <si>
    <t>LINO-ALU-3M</t>
  </si>
  <si>
    <t>Profil led LIPOD 1m anodowany</t>
  </si>
  <si>
    <t>LIPOD-ALU-1M</t>
  </si>
  <si>
    <t>Profil led LIPOD 1m anodowany czarny</t>
  </si>
  <si>
    <t>LIPOD-ALU-1M-A-C</t>
  </si>
  <si>
    <t>Profil led LIPOD 1m anodowany czarny z osłoną mleczną HS-22</t>
  </si>
  <si>
    <t>KLU-00073</t>
  </si>
  <si>
    <t>Profil led LIPOD 1m anodowany z osłoną mleczną HS-22</t>
  </si>
  <si>
    <t>LIPOD-ALU-ML-1M</t>
  </si>
  <si>
    <t>Profil led LIPOD 1m anodowany z osłoną prześroczystą HS-22</t>
  </si>
  <si>
    <t>LIPOD-ALU-CL-1M</t>
  </si>
  <si>
    <t>Profil led LIPOD 1m biały</t>
  </si>
  <si>
    <t>LIPOD-ALU-1M-B</t>
  </si>
  <si>
    <t>Profil led LIPOD 2m anodowany</t>
  </si>
  <si>
    <t>LIPOD-ALU-2M</t>
  </si>
  <si>
    <t>Profil led LIPOD 2m anodowany czarny</t>
  </si>
  <si>
    <t>LIPOD-ALU-2M-A-C</t>
  </si>
  <si>
    <t>Profil led LIPOD 2m anodowany z osłoną mleczną HS-22</t>
  </si>
  <si>
    <t>LIPOD-ALU-ML-2M</t>
  </si>
  <si>
    <t>Profil led LIPOD 2m anodowany z osłoną przeźroczystą HS-22</t>
  </si>
  <si>
    <t>LIPOD-ALU-CL-2M</t>
  </si>
  <si>
    <t>Profil led LIPOD 2m biały</t>
  </si>
  <si>
    <t>LIPOD-ALU-2M-B</t>
  </si>
  <si>
    <t>Profil led LIPOD 2m czarny</t>
  </si>
  <si>
    <t>LIPOD-ALU-2M-CZ</t>
  </si>
  <si>
    <t>Profil led LIPOD 3m anodowany</t>
  </si>
  <si>
    <t>LIPOD-ALU-3M</t>
  </si>
  <si>
    <t>Profil led LIPOD 3m anodowany czarny</t>
  </si>
  <si>
    <t>LIPOD-ALU-3M-A-C</t>
  </si>
  <si>
    <t>Profil led LIPOD 3m anodowany z osłoną mleczną HS-22</t>
  </si>
  <si>
    <t>LIPOD-ALU-ML-3M</t>
  </si>
  <si>
    <t>Profil led LIPOD 3m anodowany z osłoną mleczną LIGER-22</t>
  </si>
  <si>
    <t>LIPOD-ALU-LIGER-</t>
  </si>
  <si>
    <t>Profil led LIPOD 3m biały</t>
  </si>
  <si>
    <t>LIPOD-ALU-3M-B</t>
  </si>
  <si>
    <t>Profil led LIPOD 3m czarny</t>
  </si>
  <si>
    <t>Profil led LIPOD-50 1m anodowany</t>
  </si>
  <si>
    <t>Profil led LIPOD-50 2m anodowany</t>
  </si>
  <si>
    <t>Profil led LIPOD-50 2m anodowany czarny</t>
  </si>
  <si>
    <t>Profil led LIPOD-50 3m anodowany</t>
  </si>
  <si>
    <t>Profil led LIPOD-50 3m anodowany czarny</t>
  </si>
  <si>
    <t>Profil led LIT-L 1m</t>
  </si>
  <si>
    <t>LIT-L-1M</t>
  </si>
  <si>
    <t>Profil led LIT-L 2m</t>
  </si>
  <si>
    <t>LIT-L-2M</t>
  </si>
  <si>
    <t>Profil led LIT-L 3m</t>
  </si>
  <si>
    <t>LIT-L-3M</t>
  </si>
  <si>
    <t>Profil led LOC-30 1m anodowany</t>
  </si>
  <si>
    <t>LOC-30-ALU-1M</t>
  </si>
  <si>
    <t>Profil led LOC-30 1m anodowany z osłoną mleczną HS-22</t>
  </si>
  <si>
    <t>LOC-30-ALU-ML-1M</t>
  </si>
  <si>
    <t>Profil led LOC-30 1m anodowany z osłoną przeźroczystą HS-22</t>
  </si>
  <si>
    <t>LOC-30-ALU-CL-1M</t>
  </si>
  <si>
    <t>Profil led LOC-30 2m anodowany</t>
  </si>
  <si>
    <t>LOC-30-ALU-2M</t>
  </si>
  <si>
    <t>Profil led LOC-30 2m anodowany z osłoną mleczną HS-22</t>
  </si>
  <si>
    <t>LOC-30-ALU-ML-2M</t>
  </si>
  <si>
    <t>Profil led LOC-30 2m anodowany z osłoną przeźroczystą HS-22</t>
  </si>
  <si>
    <t>LOC-30-ALU-CL-2M</t>
  </si>
  <si>
    <t>Profil led LOC-30 3m anodowany</t>
  </si>
  <si>
    <t>LOC-30-ALU-3M</t>
  </si>
  <si>
    <t>Profil led LOC-30 3m anodowany z osłoną mleczną HS-22</t>
  </si>
  <si>
    <t>LOC-30-ALU-ML-3M</t>
  </si>
  <si>
    <t>Profil led LOC-30 3m anodowany z osłoną przeźroczystą HS-22</t>
  </si>
  <si>
    <t>LOC-30-ALU-CL-3M</t>
  </si>
  <si>
    <t>Profil led LOKOM 1m anodowany</t>
  </si>
  <si>
    <t>LOKOM-ALU-1M</t>
  </si>
  <si>
    <t>Profil led LOKOM 1m anodowany czarny</t>
  </si>
  <si>
    <t>Profil led LOKOM 1m anodowany z osłoną MUN-22</t>
  </si>
  <si>
    <t>LOKOM-ALU-MUN-1M</t>
  </si>
  <si>
    <t>Profil led LOKOM 1m anodowany z osłoną przeźroczystą HS-22</t>
  </si>
  <si>
    <t>LOKOM-ALU-CL-1M</t>
  </si>
  <si>
    <t>Profil led LOKOM 1m biały</t>
  </si>
  <si>
    <t>Profil led LOKOM 1m z osłoną mleczną HS-22</t>
  </si>
  <si>
    <t>LOKOM-ALU-ML-1M</t>
  </si>
  <si>
    <t>Profil led LOKOM 2m anodowany</t>
  </si>
  <si>
    <t>LOKOM-ALU-2M</t>
  </si>
  <si>
    <t>Profil led LOKOM 2m anodowany czarny</t>
  </si>
  <si>
    <t>Profil led LOKOM 2m anodowany z osłoną mleczną HS-22</t>
  </si>
  <si>
    <t>LOKOM-ALU-ML-2M</t>
  </si>
  <si>
    <t>Profil led LOKOM 2m anodowany z osłoną MUN-22</t>
  </si>
  <si>
    <t>LOKOM-ALU-MUN-2M</t>
  </si>
  <si>
    <t>Profil led LOKOM 2m anodowany z osłoną przeźroczystą HS-22</t>
  </si>
  <si>
    <t>LOKOM-ALU-CL-2M</t>
  </si>
  <si>
    <t>Profil led LOKOM 2m biały</t>
  </si>
  <si>
    <t>Profil led LOKOM 3m anodowany</t>
  </si>
  <si>
    <t>LOKOM-ALU-3M</t>
  </si>
  <si>
    <t>Profil led LOKOM 3m anodowany czarny</t>
  </si>
  <si>
    <t>Profil led LOKOM 3m anodowany z osłoną mleczną HS-22</t>
  </si>
  <si>
    <t>LOKOM-ALU-ML-3M</t>
  </si>
  <si>
    <t>Profil led LOKOM 3m biały</t>
  </si>
  <si>
    <t>Profil led MDF PDS 1m z osłoną przeźroczystą wyc</t>
  </si>
  <si>
    <t>PDS-MDF-CL</t>
  </si>
  <si>
    <t>Profil led MDF STOS 1m z osłoną przeźroczystą wyc</t>
  </si>
  <si>
    <t>STOS-MDF-CL</t>
  </si>
  <si>
    <t>Profil led MICRO 1m</t>
  </si>
  <si>
    <t>MICRO-ALU-1M</t>
  </si>
  <si>
    <t>Profil led MICRO 1m anodowany</t>
  </si>
  <si>
    <t>MICRO-ALU-1M-A</t>
  </si>
  <si>
    <t>Profil led MICRO 1m anodowany z osłoną mleczną HS</t>
  </si>
  <si>
    <t>PROFIL LED 02202</t>
  </si>
  <si>
    <t>Profil led MICRO 1m anodowany z osłoną mleczną KA</t>
  </si>
  <si>
    <t>MICRO-ALU-ML-1M-</t>
  </si>
  <si>
    <t>Profil led MICRO 1m anodowany z osłoną mleczną KA-COM</t>
  </si>
  <si>
    <t>MICRO-MLC-1M-A</t>
  </si>
  <si>
    <t>Profil led MICRO 1m anodowany z osłoną przeźroczystą HS</t>
  </si>
  <si>
    <t>PROFIL LED 02211</t>
  </si>
  <si>
    <t>Profil led MICRO 1m anodowany z osłoną przeźroczystą KA</t>
  </si>
  <si>
    <t>MICRO-ALU-CL-1M-</t>
  </si>
  <si>
    <t>Profil led MICRO 1m anodowany z osłoną przeźroczystą KA-COM</t>
  </si>
  <si>
    <t>MICRO-CLC-1M-A</t>
  </si>
  <si>
    <t>Profil led MICRO 1m biały lakierowany</t>
  </si>
  <si>
    <t>MICRO-ALU-1M-B</t>
  </si>
  <si>
    <t>Profil led MICRO 1m biały lakierowany z osłoną mleczną KA</t>
  </si>
  <si>
    <t>PROFIL LED 02203</t>
  </si>
  <si>
    <t>Profil led MICRO 1m biały lakierowany z osłoną mleczną KA-COM</t>
  </si>
  <si>
    <t>MICRO-ALU-MLC-1M</t>
  </si>
  <si>
    <t>Profil led MICRO 1m biały lakierowany z osłoną przeźroczystą KA</t>
  </si>
  <si>
    <t>PROFIL LED 02212</t>
  </si>
  <si>
    <t>Profil led MICRO 1m czarny anodowany</t>
  </si>
  <si>
    <t>MICRO-ALU-1M-A-C</t>
  </si>
  <si>
    <t>Profil led MICRO 1m czarny anodowany z osłoną mleczną KA</t>
  </si>
  <si>
    <t>PROFIL LED 02200</t>
  </si>
  <si>
    <t>Profil led MICRO 1m czarny anodowany z osłoną mleczną KA-COM</t>
  </si>
  <si>
    <t>MICRO-MLC-1M-A-C</t>
  </si>
  <si>
    <t>Profil led MICRO 1m czarny lakierowany z osłoną mleczną KA-COM wyc</t>
  </si>
  <si>
    <t>PROFIL LED 02207</t>
  </si>
  <si>
    <t>Profil led MICRO 1m z osłoną mleczną HS</t>
  </si>
  <si>
    <t>PROFIL LED 02208</t>
  </si>
  <si>
    <t>Profil led MICRO 1m z osłoną mleczną KA</t>
  </si>
  <si>
    <t>MICRO-ALU-ML-1M</t>
  </si>
  <si>
    <t>Profil led MICRO 1m z osłoną mleczną KA-COM</t>
  </si>
  <si>
    <t>MICRO-MLC-1M</t>
  </si>
  <si>
    <t>Profil led MICRO 1m z osłoną przeźroczysta HS</t>
  </si>
  <si>
    <t>PROFIL LED 02214</t>
  </si>
  <si>
    <t>Profil led MICRO 1m z osłoną przeźroczystą KA</t>
  </si>
  <si>
    <t>MICRO-ALU-CL-1M</t>
  </si>
  <si>
    <t>Profil led MICRO 1m z osłoną przeźroczystą KA-COM</t>
  </si>
  <si>
    <t>MICRO-CLC-1M</t>
  </si>
  <si>
    <t>Profil led MICRO 2m</t>
  </si>
  <si>
    <t>MICRO-ALU-2M</t>
  </si>
  <si>
    <t>Profil led MICRO 2m anodowany</t>
  </si>
  <si>
    <t>MICRO-ALU-2M-A</t>
  </si>
  <si>
    <t>Profil led MICRO 2m anodowany z osłoną mleczną HS</t>
  </si>
  <si>
    <t>PROFIL LED 02226</t>
  </si>
  <si>
    <t>Profil led MICRO 2m anodowany z osłoną mleczną KA</t>
  </si>
  <si>
    <t>MICRO-ALU-ML-2M-</t>
  </si>
  <si>
    <t>Profil led MICRO 2m anodowany z osłoną mleczną KA-COM</t>
  </si>
  <si>
    <t>MICRO-MLC-2M-A</t>
  </si>
  <si>
    <t>Profil led MICRO 2m anodowany z osłoną przeźroczysta HS</t>
  </si>
  <si>
    <t>PROFIL LED 02235</t>
  </si>
  <si>
    <t>Profil led MICRO 2m anodowany z osłoną przeźroczystą KA</t>
  </si>
  <si>
    <t>MICRO-ALU-CL-2M-</t>
  </si>
  <si>
    <t>Profil led MICRO 2m anodowany z osłoną przeźroczystą KA-COM</t>
  </si>
  <si>
    <t>MICRO-CLC-2M-A</t>
  </si>
  <si>
    <t>Profil led MICRO 2m biały lakierowany</t>
  </si>
  <si>
    <t>MICRO-ALU-2M-B</t>
  </si>
  <si>
    <t>Profil led MICRO 2m biały lakierowany z osłoną mleczną KA</t>
  </si>
  <si>
    <t>PROFIL LED 02227</t>
  </si>
  <si>
    <t>Profil led MICRO 2m biały lakierowany z osłoną mleczną KA-COM</t>
  </si>
  <si>
    <t>MICRO-ALU-MLC-2M</t>
  </si>
  <si>
    <t>Profil led MICRO 2m biały lakierowany z osłoną przeźroczystą KA</t>
  </si>
  <si>
    <t>PROFIL LED 02236</t>
  </si>
  <si>
    <t>Profil led MICRO 2m biały lakierowany z osłoną przeźroczystą KA-COM</t>
  </si>
  <si>
    <t>MICRO-ALU-CLC-2M</t>
  </si>
  <si>
    <t>Profil led MICRO 2m czarny anodowany</t>
  </si>
  <si>
    <t>MICRO-ALU-2M-A-C</t>
  </si>
  <si>
    <t>Profil led MICRO 2m czarny anodowany z osłoną mleczną KA</t>
  </si>
  <si>
    <t>PROFIL LED 02224</t>
  </si>
  <si>
    <t>Profil led MICRO 2m czarny anodowany z osłoną mleczną KA-COM</t>
  </si>
  <si>
    <t>MICRO-MLC-2M-A-C</t>
  </si>
  <si>
    <t>Profil led MICRO 2m czarny anodowany z osłoną przeźroczystą KA-COM</t>
  </si>
  <si>
    <t>MICRO-CLC-2M-A-C</t>
  </si>
  <si>
    <t>Profil led MICRO 2m czarny lakierowany wyc</t>
  </si>
  <si>
    <t>MICRO-ALU-2M-CZ</t>
  </si>
  <si>
    <t>Profil led MICRO 2m czarny lakierowany z osłoną mleczną KA wyc</t>
  </si>
  <si>
    <t>PROFIL LED 02230</t>
  </si>
  <si>
    <t>Profil led MICRO 2m czarny lakierowany z osłoną mleczną KA-COM wyc</t>
  </si>
  <si>
    <t>PROFIL LED 02231</t>
  </si>
  <si>
    <t>Profil led MICRO 2m czarny lakierowany z osłoną przeźroczystą KA-COM wyc</t>
  </si>
  <si>
    <t>PROFIL LED 02239</t>
  </si>
  <si>
    <t>Profil led MICRO 2m z osłoną mleczną HS</t>
  </si>
  <si>
    <t>PROFIL LED 02232</t>
  </si>
  <si>
    <t>Profil led MICRO 2m z osłoną mleczną KA</t>
  </si>
  <si>
    <t>MICRO-ALU-ML-2M</t>
  </si>
  <si>
    <t>Profil led MICRO 2m z osłoną mleczną KA-COM</t>
  </si>
  <si>
    <t>MICRO-MLC-2M</t>
  </si>
  <si>
    <t>Profil led MICRO 2m z osłoną przeźroczystą HS</t>
  </si>
  <si>
    <t>PROFIL LED 02240</t>
  </si>
  <si>
    <t>Profil led MICRO 2m z osłoną przeźroczystą KA</t>
  </si>
  <si>
    <t>MICRO-ALU-CL-2M</t>
  </si>
  <si>
    <t>Profil led MICRO 2m z osłoną przeźroczystą KA-COM</t>
  </si>
  <si>
    <t>MICRO-CLC-2M</t>
  </si>
  <si>
    <t>Profil led MICRO 3m</t>
  </si>
  <si>
    <t>MICRO-ALU-3M</t>
  </si>
  <si>
    <t>Profil led MICRO 3m anodowany</t>
  </si>
  <si>
    <t>MICRO-ALU-3M-A</t>
  </si>
  <si>
    <t>Profil led MICRO 3m anodowany z osłoną mleczną KA</t>
  </si>
  <si>
    <t>MICRO-ALU-ML-3M-</t>
  </si>
  <si>
    <t>Profil led MICRO 3m anodowany z osłoną mleczną KA-COM</t>
  </si>
  <si>
    <t>MICRO-MLC-3M-A</t>
  </si>
  <si>
    <t>Profil led MICRO 3m anodowany z osłoną przeźroczystą KA</t>
  </si>
  <si>
    <t>MICRO-ALU-CL-3M-</t>
  </si>
  <si>
    <t>Profil led MICRO 3m anodowany z osłoną przeźroczystą KA-COM</t>
  </si>
  <si>
    <t>KLU-KPL-00001</t>
  </si>
  <si>
    <t>Profil led MICRO 3m biały lakierowany</t>
  </si>
  <si>
    <t>MICRO-ALU-3M-B</t>
  </si>
  <si>
    <t>Profil led MICRO 3m czarny anodowany</t>
  </si>
  <si>
    <t>Profil led MICRO 3m czarny lakierowany wyc</t>
  </si>
  <si>
    <t>MICRO-ALU-3M-CZ</t>
  </si>
  <si>
    <t>Profil led MICRO 3m z osłoną mleczną KA</t>
  </si>
  <si>
    <t>MICRO-ALU-ML-3M</t>
  </si>
  <si>
    <t>Profil led MICRO 3m z osłoną mleczną KA-COM</t>
  </si>
  <si>
    <t>MICRO-MLC-3M</t>
  </si>
  <si>
    <t>Profil led MICRO 3m z osłoną przeźroczystą KA</t>
  </si>
  <si>
    <t>MICRO-ALU-CL-3M</t>
  </si>
  <si>
    <t>Profil led MICRO 3m z osłoną przeźroczystą KA-COM</t>
  </si>
  <si>
    <t>MICRO-CLC-3M</t>
  </si>
  <si>
    <t>Profil led MICRO 65cm z osłoną przeźroczystą KA</t>
  </si>
  <si>
    <t>ALU-MICRO-C-65</t>
  </si>
  <si>
    <t>Profil led MICRO 86cm z osłoną przeźroczystą KA</t>
  </si>
  <si>
    <t>ALU-MICRO-C-86</t>
  </si>
  <si>
    <t>Profil led MICRO anodowany 240mm z przesłoną mleczną KA-COM</t>
  </si>
  <si>
    <t>ALU-MICRO-MLC-24</t>
  </si>
  <si>
    <t>Profil led MICRO anodowany 270mm</t>
  </si>
  <si>
    <t>ALU-MICRO-270-A</t>
  </si>
  <si>
    <t>Profil led MICRO anodowany 290mm z osłoną mleczną HS</t>
  </si>
  <si>
    <t>ALU-MICRO-MLH-29</t>
  </si>
  <si>
    <t>Profil led MICRO anodowany 450mm z osłoną mleczną HS</t>
  </si>
  <si>
    <t>Pro000131</t>
  </si>
  <si>
    <t>Profil led MICRO anodowany 810mm z osłoną mleczną HS</t>
  </si>
  <si>
    <t>ALU-MICRO-MLH-81</t>
  </si>
  <si>
    <t>Profil led MICRO anodowany 840mm</t>
  </si>
  <si>
    <t>ALU-MICRO-840-A</t>
  </si>
  <si>
    <t>Profil led MICRO anodowany 840mm z osłoną mleczną COM</t>
  </si>
  <si>
    <t>ALU-MICRO-MLC-84</t>
  </si>
  <si>
    <t>Profil led MICRO anodowany 920mm z osłoną mleczną COM</t>
  </si>
  <si>
    <t>ALU-MICRO-MLC-92</t>
  </si>
  <si>
    <t>Profil led MICRO-H 2m anodowany</t>
  </si>
  <si>
    <t>MICRO-H-ALU-2M</t>
  </si>
  <si>
    <t>Profil led MICRO-H 3m anodowany</t>
  </si>
  <si>
    <t>MICRO-H-ALU-3M</t>
  </si>
  <si>
    <t>Profil led MICRO-HG 1m anodowany</t>
  </si>
  <si>
    <t>KLU-PRO-00008</t>
  </si>
  <si>
    <t>Profil led MICRO-HG 1m czarny anodowany</t>
  </si>
  <si>
    <t>KLU-PRO-00011</t>
  </si>
  <si>
    <t>Profil led MICRO-HG 2m anodowany</t>
  </si>
  <si>
    <t>KLU-PRO-00009</t>
  </si>
  <si>
    <t>Profil led MICRO-HG 2m czarny anodowany</t>
  </si>
  <si>
    <t>KLU-PRO-00012</t>
  </si>
  <si>
    <t>Profil led MICRO-HG 3m anodowany</t>
  </si>
  <si>
    <t>KLU-PRO-00010</t>
  </si>
  <si>
    <t>Profil led MICRO-HG 3m czarny anodowany</t>
  </si>
  <si>
    <t>KLU-PRO-00013</t>
  </si>
  <si>
    <t>Profil led MICRO-K 1m anodowany wyc</t>
  </si>
  <si>
    <t>MICRO-K-ALU-1M</t>
  </si>
  <si>
    <t>Profil led MICRO-K 1m anodowany z osłoną mleczną KA wyc</t>
  </si>
  <si>
    <t>MICRO-K-ALU-ML-1</t>
  </si>
  <si>
    <t>Profil led MICRO-K 1m anodowany z osłoną mleczną KA-COM wyc</t>
  </si>
  <si>
    <t>MICRO-K-ALU-MLC-</t>
  </si>
  <si>
    <t>Profil led MICRO-K 1m anodowany z osłoną przeźroczystą KA wyc</t>
  </si>
  <si>
    <t>MICRO-K-ALU-CL-1</t>
  </si>
  <si>
    <t>Profil led MICRO-K 1m anodowany z osłoną przeźroczystą KA-COM wyc</t>
  </si>
  <si>
    <t>MICRO-K-ALU-CLC-</t>
  </si>
  <si>
    <t>Profil led MICRO-K 1m czarny anodowany wyc</t>
  </si>
  <si>
    <t>Profil led MICRO-K 1m czarny anodowany z osłoną mleczną KA wyc</t>
  </si>
  <si>
    <t>Profil led MICRO-K 2m anodowany wyc</t>
  </si>
  <si>
    <t>MICRO-K-ALU-2M</t>
  </si>
  <si>
    <t>Profil led MICRO-K 2m anodowany z osłoną mleczną KA wyc</t>
  </si>
  <si>
    <t>MICRO-K-ALU-ML-2</t>
  </si>
  <si>
    <t>Profil led MICRO-K 2m anodowany z osłoną mleczną KA-COM wyc</t>
  </si>
  <si>
    <t>PROFIL LED 02286</t>
  </si>
  <si>
    <t>Profil led MICRO-K 2m anodowany z osłoną przeźroczystą KA wyc</t>
  </si>
  <si>
    <t>MICRO-K-ALU-CL-2</t>
  </si>
  <si>
    <t>Profil led MICRO-K 2m anodowany z osłoną przeźroczystą KA-COM wyc</t>
  </si>
  <si>
    <t>PROFIL LED 02291</t>
  </si>
  <si>
    <t>Profil led MICRO-K 2m biały lakierowany wyc</t>
  </si>
  <si>
    <t>KLU-PRO-00002</t>
  </si>
  <si>
    <t>Profil led MICRO-K 2m czarny anodowany wyc</t>
  </si>
  <si>
    <t>MICRO-K-ALU-2M-C</t>
  </si>
  <si>
    <t>Profil led MICRO-K 2m czarny anodowany z osłoną mleczną KA wyc</t>
  </si>
  <si>
    <t>PROFIL LED 02287</t>
  </si>
  <si>
    <t>Profil led MICRO-K 2m czarny anodowany z osłoną mleczną KA-COM wyc</t>
  </si>
  <si>
    <t>KLU-00081</t>
  </si>
  <si>
    <t>Profil led MICRO-K 2m złoty anodowany wyc</t>
  </si>
  <si>
    <t>Pro000006</t>
  </si>
  <si>
    <t>Profil led MICRO-K 3m anodowany wyc</t>
  </si>
  <si>
    <t>MICRO-K-ALU-3M</t>
  </si>
  <si>
    <t>Profil led MICRO-K 3m anodowany z osłoną mleczną KA wyc</t>
  </si>
  <si>
    <t>MICRO-K-ALU-ML-3</t>
  </si>
  <si>
    <t>Profil led MICRO-K 3m anodowany z osłoną mleczną KA-COM wyc</t>
  </si>
  <si>
    <t>PROFIL LED 02294</t>
  </si>
  <si>
    <t>Profil led MICRO-K 3m anodowany z osłoną przeźroczystą KA wyc</t>
  </si>
  <si>
    <t>MICRO-K-ALU-CL-3</t>
  </si>
  <si>
    <t>Profil led MICRO-K 3m biały lakierowany wyc</t>
  </si>
  <si>
    <t>Profil led MICRO-NK 1m anodowany</t>
  </si>
  <si>
    <t>KLU-PRO-00014</t>
  </si>
  <si>
    <t>Profil led MICRO-NK 1m czarny anodowany</t>
  </si>
  <si>
    <t>KLU-PRO-00017</t>
  </si>
  <si>
    <t>Profil led MICRO-NK 2m anodowany</t>
  </si>
  <si>
    <t>KLU-PRO-00015</t>
  </si>
  <si>
    <t>Profil led MICRO-NK 2m anodowany z osłoną mleczną KA-COM</t>
  </si>
  <si>
    <t>Pro000132</t>
  </si>
  <si>
    <t>Profil led MICRO-NK 2m biały lakierowany</t>
  </si>
  <si>
    <t>Pro000015</t>
  </si>
  <si>
    <t>Profil led MICRO-NK 2m czarny anodowany</t>
  </si>
  <si>
    <t>KLU-PRO-00018</t>
  </si>
  <si>
    <t>Profil led MICRO-NK 3m anodowany</t>
  </si>
  <si>
    <t>KLU-PRO-00016</t>
  </si>
  <si>
    <t>Profil led MICRO-NK 3m czarny anodowany</t>
  </si>
  <si>
    <t>KLU-PRO-00006</t>
  </si>
  <si>
    <t>Profil led MICRO-PLUS 1m anodowany</t>
  </si>
  <si>
    <t>Profil led MICRO-PLUS 1m czarny anodowany</t>
  </si>
  <si>
    <t>Profil led MICRO-PLUS 2m anodowany</t>
  </si>
  <si>
    <t>Profil led MICRO-PLUS 2m czarny anodowany</t>
  </si>
  <si>
    <t>Profil led MICRO-PLUS 3m anodowany</t>
  </si>
  <si>
    <t>Pro000020</t>
  </si>
  <si>
    <t>Profil led MICRO-PLUS 3m czarny anodowany</t>
  </si>
  <si>
    <t>Profil led MOD-100 1m anodowany</t>
  </si>
  <si>
    <t>Profil led MOD-50 1m anodowany</t>
  </si>
  <si>
    <t>KLU-00028</t>
  </si>
  <si>
    <t>Profil led MOD-50 2m anodowany</t>
  </si>
  <si>
    <t>KLU-00029</t>
  </si>
  <si>
    <t>Profil led MOD-50 2m anodowany czarny</t>
  </si>
  <si>
    <t>Pro000122</t>
  </si>
  <si>
    <t>Profil led MOD-50 3m anodowany</t>
  </si>
  <si>
    <t>KLU-00030</t>
  </si>
  <si>
    <t>Profil led MULTI-A anodowany z osłoną przeźroczystą 1m</t>
  </si>
  <si>
    <t>MULTI-A-ALU-CL-1</t>
  </si>
  <si>
    <t>Profil led NIBO 1m anodowany</t>
  </si>
  <si>
    <t>NIBO-ALU-1M-A</t>
  </si>
  <si>
    <t>Profil led NIBO 2m anodowany</t>
  </si>
  <si>
    <t>NIBO-ALU-2M-A</t>
  </si>
  <si>
    <t>Profil led NIBO 3m anodowany</t>
  </si>
  <si>
    <t>NIBO-ALU-3M-A</t>
  </si>
  <si>
    <t>Profil led NISA-KON 1m anodowany</t>
  </si>
  <si>
    <t>NISA-KON-1M</t>
  </si>
  <si>
    <t>Profil led NISA-KON 2m anodowany</t>
  </si>
  <si>
    <t>NISA-KON-2M</t>
  </si>
  <si>
    <t>Profil led NISA-KRA 1m anodowany</t>
  </si>
  <si>
    <t>NISA-KRA-1M</t>
  </si>
  <si>
    <t>Profil led NISA-KRA 2m anodowany</t>
  </si>
  <si>
    <t>NISA-KRA-2M</t>
  </si>
  <si>
    <t>Profil led NISA-KRA 3m anodowany</t>
  </si>
  <si>
    <t>NISA-KRA-3M</t>
  </si>
  <si>
    <t>Profil led NISA-NI 1m anodowany</t>
  </si>
  <si>
    <t>NISA-NI-1M</t>
  </si>
  <si>
    <t>Profil led NISA-NI 2m anodowany</t>
  </si>
  <si>
    <t>NISA-NI-2M</t>
  </si>
  <si>
    <t>Profil led NISA-NI 3m anodowany</t>
  </si>
  <si>
    <t>NISA-NI-3M</t>
  </si>
  <si>
    <t>Profil led NISA-PLA 1m anodowany</t>
  </si>
  <si>
    <t>NISA-PLA-1M</t>
  </si>
  <si>
    <t>Profil led NISA-PLA 2m anodowany</t>
  </si>
  <si>
    <t>NISA-PLA-2M</t>
  </si>
  <si>
    <t>Profil led OBIT 1m anodowany</t>
  </si>
  <si>
    <t>OBIT-ALU-1M-A</t>
  </si>
  <si>
    <t>Profil led OBIT 2m anodowany</t>
  </si>
  <si>
    <t>OBIT-ALU-2M-A</t>
  </si>
  <si>
    <t>Profil led OBIT 3m anodowany</t>
  </si>
  <si>
    <t>OBIT-ALU-3M-A</t>
  </si>
  <si>
    <t>Profil led OLEK 1m anodowany</t>
  </si>
  <si>
    <t>OLEK-1M-A</t>
  </si>
  <si>
    <t>Profil led OLEK 1m anodowany czarny</t>
  </si>
  <si>
    <t>Profil led OLEK 2m anodowany</t>
  </si>
  <si>
    <t>OLEK-2M-A</t>
  </si>
  <si>
    <t>Profil led OLEK 2m anodowany czarny</t>
  </si>
  <si>
    <t>Profil led OLEK 3m anodowany</t>
  </si>
  <si>
    <t>OLEK-3M-A</t>
  </si>
  <si>
    <t>Profil led OLEK 3m anodowany czarny</t>
  </si>
  <si>
    <t>Profil led OMODO-100 2m anodowany</t>
  </si>
  <si>
    <t>KLU-PRO-00034</t>
  </si>
  <si>
    <t>Profil led OMODO-50 1m anodowany</t>
  </si>
  <si>
    <t>KLU-PRO-00040</t>
  </si>
  <si>
    <t>Profil led OMODO-50 2m anodowany</t>
  </si>
  <si>
    <t>KLU-PRO-00041</t>
  </si>
  <si>
    <t>Profil led OMODO-50 3m anodowany</t>
  </si>
  <si>
    <t>Profil led OPAC-30 1m anodowany</t>
  </si>
  <si>
    <t>OPAC30-ALU-1M</t>
  </si>
  <si>
    <t>Profil led OPAC-30 1m anodowany z osłoną mleczną HS-22</t>
  </si>
  <si>
    <t>OPAC30-ALU-ML-1M</t>
  </si>
  <si>
    <t>Profil led OPAC-30 2m anodowany</t>
  </si>
  <si>
    <t>OPAC30-ALU-2M</t>
  </si>
  <si>
    <t>Profil led OPAC-30 2m anodowany z osłoną mleczną HS-22</t>
  </si>
  <si>
    <t>OPAC30-ALU-ML-2M</t>
  </si>
  <si>
    <t>Profil led OPAC-30 3m anodowany</t>
  </si>
  <si>
    <t>OPAC30-ALU-3M</t>
  </si>
  <si>
    <t>Profil led OPAC-30 3m anodowany z osłoną mleczną HS-22</t>
  </si>
  <si>
    <t>OPAC30-ALU-ML-3M</t>
  </si>
  <si>
    <t>Profil led OPAC-30 anodowany 1203mm</t>
  </si>
  <si>
    <t>Profil led OPAC-30 anodowany 570mm</t>
  </si>
  <si>
    <t>OPAC30-ALU-570</t>
  </si>
  <si>
    <t>Profil led OPAC-30 anodowany 600mm</t>
  </si>
  <si>
    <t>OPAC30-ALU-600</t>
  </si>
  <si>
    <t>Profil led OPAC-30 anodowany 607mm</t>
  </si>
  <si>
    <t>Profil led OPK-4 1m anodowany</t>
  </si>
  <si>
    <t>OPK4-ALU-1M</t>
  </si>
  <si>
    <t>Profil led OPK-4 2m anodowany</t>
  </si>
  <si>
    <t>OPK4-ALU-2M</t>
  </si>
  <si>
    <t>Profil led OPK-4 3m anodowany</t>
  </si>
  <si>
    <t>OPK4-ALU-3M</t>
  </si>
  <si>
    <t>Profil led PAC 1m anodowany</t>
  </si>
  <si>
    <t>PAC-ALU-1M</t>
  </si>
  <si>
    <t>Profil led PAC 1m anodowany z osłoną mleczną HS-12</t>
  </si>
  <si>
    <t>PAC-ALU-ML-1M</t>
  </si>
  <si>
    <t>Profil led PAC 1m anodowany z osłoną przeźroczystą HS-12</t>
  </si>
  <si>
    <t>PAC-ALU-CL-1M</t>
  </si>
  <si>
    <t>Profil led PAC 2m anodowany</t>
  </si>
  <si>
    <t>PAC-ALU-2M</t>
  </si>
  <si>
    <t>Profil led PAC 2m anodowany z osłoną mleczną HS-12</t>
  </si>
  <si>
    <t>PAC-ALU-ML-2M</t>
  </si>
  <si>
    <t>Profil led PAC 2m anodowany z osłoną przeźroczystą HS-12</t>
  </si>
  <si>
    <t>PAC-ALU-CL-2M</t>
  </si>
  <si>
    <t>Profil led PAC 3m anodowany</t>
  </si>
  <si>
    <t>PAC-ALU-3M</t>
  </si>
  <si>
    <t>Profil led PAC 3m anodowany z osłoną mleczną HS-12</t>
  </si>
  <si>
    <t>PAC-ALU-ML-3M</t>
  </si>
  <si>
    <t>Profil led PAC 3m anodowany z osłoną przeźroczystą HS-12</t>
  </si>
  <si>
    <t>PAC-ALU-CL-3M</t>
  </si>
  <si>
    <t>Profil led PDS ZM 1m anodowany z osłoną mleczną KA</t>
  </si>
  <si>
    <t>PDS-ZM-ALU-ML-1M</t>
  </si>
  <si>
    <t>Profil led PDS ZM 2m anodowany</t>
  </si>
  <si>
    <t>PDS-ZM-2M-A</t>
  </si>
  <si>
    <t>Profil led PDS ZM 2m anodowany z osłoną mleczną KA</t>
  </si>
  <si>
    <t>PDS-ZM-ALU-ML-2M</t>
  </si>
  <si>
    <t>Profil led PDS ZM 2m anodowany z osłoną mleczną KA-COM</t>
  </si>
  <si>
    <t>PDS-ZM-ALU-MLC-2</t>
  </si>
  <si>
    <t>Profil led PDS ZM 3m anodowany</t>
  </si>
  <si>
    <t>PDS-ZM-3M-A</t>
  </si>
  <si>
    <t>Profil led PDS-H 1m anodowany</t>
  </si>
  <si>
    <t>PDS-H-1M-A</t>
  </si>
  <si>
    <t>Profil led PDS-H 2m anodowany</t>
  </si>
  <si>
    <t>PDS-H-2M-A</t>
  </si>
  <si>
    <t>Profil led PDS-H 3m anodowany</t>
  </si>
  <si>
    <t>PDS-H-3M-A</t>
  </si>
  <si>
    <t>Profil led PDS-NK 1m anodowany</t>
  </si>
  <si>
    <t>Profil led PDS-NK 1m biały</t>
  </si>
  <si>
    <t>Pro000087</t>
  </si>
  <si>
    <t>Profil led PDS-NK 1m czarny anodowany</t>
  </si>
  <si>
    <t>Profil led PDS-NK 2m anodowany</t>
  </si>
  <si>
    <t>Profil led PDS-NK 2m biały</t>
  </si>
  <si>
    <t>Pro000088</t>
  </si>
  <si>
    <t>Profil led PDS-NK 2m czarny anodowany</t>
  </si>
  <si>
    <t>Profil led PDS-NK 3m anodowany</t>
  </si>
  <si>
    <t>Profil led PDS-NK 3m biały</t>
  </si>
  <si>
    <t>Pro000089</t>
  </si>
  <si>
    <t>Profil led PDS-NK 3m czarny anodowany</t>
  </si>
  <si>
    <t>Profil led PDS-O 1m anodowany</t>
  </si>
  <si>
    <t>PDSO-ALU-1M</t>
  </si>
  <si>
    <t>Profil led PDS-O 1m anodowany z osłoną mleczną HS</t>
  </si>
  <si>
    <t>PDSO-ALU-ML-1M-H</t>
  </si>
  <si>
    <t>Profil led PDS-O 1m anodowany z osłoną mleczną KA</t>
  </si>
  <si>
    <t>PDSO-ALU-ML-1M</t>
  </si>
  <si>
    <t>Profil led PDS-O 1m anodowany z osłoną mleczną KA-COM</t>
  </si>
  <si>
    <t>PDSO-ALU-MLC-1M</t>
  </si>
  <si>
    <t>Profil led PDS-O 1m anodowany z osłoną przeźroczystą KA</t>
  </si>
  <si>
    <t>PDSO-ALU-CL-1M</t>
  </si>
  <si>
    <t>Profil led PDS-O 2m anodowany</t>
  </si>
  <si>
    <t>PDSO-ALU-2M</t>
  </si>
  <si>
    <t>Profil led PDS-O 2m anodowany z osłoną mleczną KA</t>
  </si>
  <si>
    <t>PDSO-ALU-ML-2M</t>
  </si>
  <si>
    <t>Profil led PDS-O 2m anodowany z osłoną przeźroczystą KA</t>
  </si>
  <si>
    <t>PDSO-ALU-CL-2M</t>
  </si>
  <si>
    <t>Profil led PDS-O 3m anodowany</t>
  </si>
  <si>
    <t>PDSO-ALU-3M</t>
  </si>
  <si>
    <t>Profil led PDS-O 3m anodowany z osłoną mleczną KA</t>
  </si>
  <si>
    <t>PDSO-ALU-ML-3M</t>
  </si>
  <si>
    <t>Profil led PDS-O 3m anodowany z osłoną przeźroczystą KA</t>
  </si>
  <si>
    <t>PDSO-ALU-CL-3M</t>
  </si>
  <si>
    <t>Profil led PDS-T 1m</t>
  </si>
  <si>
    <t>Profil led PDS-T 2m</t>
  </si>
  <si>
    <t>Profil led PDS-T 3m</t>
  </si>
  <si>
    <t>Profil led PDS-ZM 1m anodowany</t>
  </si>
  <si>
    <t>PDS-ZM-1M-A</t>
  </si>
  <si>
    <t>Profil led PDS-ZM-PLUS 1m anodowany</t>
  </si>
  <si>
    <t>Profil led PDS-ZM-PLUS 2m anodowany</t>
  </si>
  <si>
    <t>Profil led PDS-ZM-PLUS 3m anodowany</t>
  </si>
  <si>
    <t>Profil led PDS-ZMG 1m anodowany</t>
  </si>
  <si>
    <t>Profil led PDS-ZMG 1m czarny anodowany</t>
  </si>
  <si>
    <t>PDS-ZMG-1M-A-CZ</t>
  </si>
  <si>
    <t>Profil led PDS-ZMG 2m anodowany</t>
  </si>
  <si>
    <t>PDS-ZMG-2M-A</t>
  </si>
  <si>
    <t>Profil led PDS-ZMG 2m czarny anodowany</t>
  </si>
  <si>
    <t>PDS-ZMG-2M-A-CZ</t>
  </si>
  <si>
    <t>Profil led PDS-ZMG 3m anodowany</t>
  </si>
  <si>
    <t>PDS-ZMG-3M-A</t>
  </si>
  <si>
    <t>Profil led PDS-ZMG 3m czarny anodowany</t>
  </si>
  <si>
    <t>PDS-ZMG-3M-A-CZ</t>
  </si>
  <si>
    <t>Profil led PDS4 1m</t>
  </si>
  <si>
    <t>PDS4-ALU-1M</t>
  </si>
  <si>
    <t>Profil led PDS4 1m anodowany</t>
  </si>
  <si>
    <t>PDS4-ALU-1M-A</t>
  </si>
  <si>
    <t>Profil led Pds4 1m anodowany z osłoną mleczną HS</t>
  </si>
  <si>
    <t>PROFIL LED 02529</t>
  </si>
  <si>
    <t>Profil led Pds4 1m anodowany z osłoną mleczną KA</t>
  </si>
  <si>
    <t>PDS4-ALU-ML-1M-A</t>
  </si>
  <si>
    <t>Profil led Pds4 1m anodowany z osłoną mleczną KA-COM</t>
  </si>
  <si>
    <t>PDS4-ALU-MLC-1M-</t>
  </si>
  <si>
    <t>Profil led Pds4 1m anodowany z osłoną przeźroczystą KA</t>
  </si>
  <si>
    <t>PDS4-ALU-CL-1M-A</t>
  </si>
  <si>
    <t>Profil led Pds4 1m anodowany z osłoną przeźroczystą KA-COM</t>
  </si>
  <si>
    <t>PDS4-ALU-CLC-1M-</t>
  </si>
  <si>
    <t>Profil led Pds4 1m biały lakierowany</t>
  </si>
  <si>
    <t>PDS4-ALU-1M-B</t>
  </si>
  <si>
    <t>Profil led Pds4 1m biały lakierowany z osłoną mleczną KA</t>
  </si>
  <si>
    <t>PDS4-ALU-ML-1M-B</t>
  </si>
  <si>
    <t>Profil led Pds4 1m czarny anodowany</t>
  </si>
  <si>
    <t>PDS4-ALU-1M-A-CZ</t>
  </si>
  <si>
    <t>Profil led Pds4 1m czarny anodowany z osłoną mleczną KA</t>
  </si>
  <si>
    <t>PROFIL LED 02528</t>
  </si>
  <si>
    <t>Profil led Pds4 1m czarny lakierowany</t>
  </si>
  <si>
    <t>PDS4-ALU-1M-CZ</t>
  </si>
  <si>
    <t>Profil led Pds4 1m czarny lakierowany z osłoną mleczną KA</t>
  </si>
  <si>
    <t>PDS4-ALU-ML-1M-C</t>
  </si>
  <si>
    <t>Profil led Pds4 1m z osłoną mleczną KA</t>
  </si>
  <si>
    <t>PDS4-ALU-ML-1M</t>
  </si>
  <si>
    <t>Profil led PDS4 1m z osłoną mleczną KA-COM</t>
  </si>
  <si>
    <t>PDS4-ALU-MLC-1M</t>
  </si>
  <si>
    <t>Profil led Pds4 1m z osłoną mleczną LIGER</t>
  </si>
  <si>
    <t>PDS4-ALU-ML-1M-L</t>
  </si>
  <si>
    <t>Profil led Pds4 1m z osłoną przeźroczystą KA</t>
  </si>
  <si>
    <t>PDS4-ALU-CL-1M</t>
  </si>
  <si>
    <t>Profil led Pds4 1m z osłoną przeźroczystą KA-COM</t>
  </si>
  <si>
    <t>PDS4-ALU-CLC-1M</t>
  </si>
  <si>
    <t>PDS4-ALU-2M</t>
  </si>
  <si>
    <t>Profil led PDS4 2m anodowany</t>
  </si>
  <si>
    <t>PDS4-ALU-2M-A</t>
  </si>
  <si>
    <t>Profil led Pds4 2m anodowany z osłoną mleczną HS</t>
  </si>
  <si>
    <t>PROFIL LED 02548</t>
  </si>
  <si>
    <t>Profil led Pds4 2m anodowany z osłoną mleczną KA</t>
  </si>
  <si>
    <t>PDS4-ALU-ML-2M-A</t>
  </si>
  <si>
    <t>Profil led PDS4 2m anodowany z osłoną mleczną KA-COM</t>
  </si>
  <si>
    <t>PDS4-ALU-MLC-2M-</t>
  </si>
  <si>
    <t>Profil led Pds4 2m anodowany z osłoną przeźroczystą HS</t>
  </si>
  <si>
    <t>PROFIL LED 02556</t>
  </si>
  <si>
    <t>Profil led Pds4 2m anodowany z osłoną przeźroczystą KA</t>
  </si>
  <si>
    <t>PDS4-ALU-CL-2M-A</t>
  </si>
  <si>
    <t>Profil led PDS4 2m anodowany z osłoną przeźroczystą KA-COM</t>
  </si>
  <si>
    <t>PDS4-ALU-CLC-2M-</t>
  </si>
  <si>
    <t>Profil led PDS4 2m biały</t>
  </si>
  <si>
    <t>PDS4-ALU-2M-B</t>
  </si>
  <si>
    <t>Profil led Pds4 2m biały lakierowany z osłoną mleczną KA</t>
  </si>
  <si>
    <t>PDS4-ALU-ML-2M-B</t>
  </si>
  <si>
    <t>Profil led Pds4 2m biały lakierowany z osłoną przeźroczystą KA</t>
  </si>
  <si>
    <t>PDS4-ALU-CL-2M-B</t>
  </si>
  <si>
    <t>Profil led PDS4 2m czarny</t>
  </si>
  <si>
    <t>PDS4-ALU-2M-CZ</t>
  </si>
  <si>
    <t>Profil led Pds4 2m czarny anodowany</t>
  </si>
  <si>
    <t>PDS4-ALU-2M-A-CZ</t>
  </si>
  <si>
    <t>Profil led Pds4 2m czarny anodowany z osłoną mleczną KA</t>
  </si>
  <si>
    <t>PROFIL LED 02546</t>
  </si>
  <si>
    <t>Profil led Pds4 2m czarny lakierowany z osłoną mleczną KA</t>
  </si>
  <si>
    <t>PDS4-ALU-ML-2M-C</t>
  </si>
  <si>
    <t>Profil led Pds4 2m z osłoną mleczną HS</t>
  </si>
  <si>
    <t>PDS4-ALU-ML-2M-H</t>
  </si>
  <si>
    <t>Profil led Pds4 2m z osłoną mleczną KA</t>
  </si>
  <si>
    <t>PDS4-ALU-ML-2M</t>
  </si>
  <si>
    <t>Profil led Pds4 2m z osłoną mleczną KA-COM</t>
  </si>
  <si>
    <t>PDS4-ALU-MLC-2M</t>
  </si>
  <si>
    <t>Profil led Pds4 2m z osłoną przeźroczystą KA</t>
  </si>
  <si>
    <t>PDS4-ALU-CL-2M</t>
  </si>
  <si>
    <t>Profil led Pds4 2m z osłoną przeźroczystą KA-COM</t>
  </si>
  <si>
    <t>PDS4-ALU-CLC-2M</t>
  </si>
  <si>
    <t>Profil led PDS4 3m</t>
  </si>
  <si>
    <t>PDS4-ALU-3M</t>
  </si>
  <si>
    <t>Profil led PDS4 3m anodowany</t>
  </si>
  <si>
    <t>PDS4-ALU-3M-A</t>
  </si>
  <si>
    <t>Profil led Pds4 3m anodowany z osłoną mleczną HS</t>
  </si>
  <si>
    <t>PROFIL LED 02568</t>
  </si>
  <si>
    <t>Profil led Pds4 3m anodowany z osłoną mleczną KA</t>
  </si>
  <si>
    <t>PDS4-ALU-ML-3M-A</t>
  </si>
  <si>
    <t>Profil led Pds4 3m anodowany z osłoną mleczną KA-COM</t>
  </si>
  <si>
    <t>PDS4-ALU-MLC-3M-</t>
  </si>
  <si>
    <t>Profil led Pds4 3m anodowany z osłoną przeźroczystą HS</t>
  </si>
  <si>
    <t>PDS4-ALU-CL-3M-A</t>
  </si>
  <si>
    <t>Profil led Pds4 3m anodowany z osłoną przeźroczystą KA-COM</t>
  </si>
  <si>
    <t>PDS4-ALU-CLC-3M-</t>
  </si>
  <si>
    <t>Profil led Pds4 3m biały lakierowany</t>
  </si>
  <si>
    <t>PDS4-ALU-3M-B</t>
  </si>
  <si>
    <t>Profil led Pds4 3m czarny anodowany</t>
  </si>
  <si>
    <t>PDS4-ALU-3M-A-CZ</t>
  </si>
  <si>
    <t>Profil led Pds4 3m czarny lakierowany</t>
  </si>
  <si>
    <t>PDS4-ALU-3M-CZ</t>
  </si>
  <si>
    <t>Profil led Pds4 3m z osłoną mleczną KA</t>
  </si>
  <si>
    <t>PDS4-ALU-ML-3M</t>
  </si>
  <si>
    <t>Profil led Pds4 3m z osłoną mleczną KA-COM</t>
  </si>
  <si>
    <t>PDS4-ALU-MLC-3M</t>
  </si>
  <si>
    <t>Profil led Pds4 3m z osłoną przeźroczystą KA</t>
  </si>
  <si>
    <t>PDS4-ALU-CL-3M</t>
  </si>
  <si>
    <t>Profil led Pds4 3m z osłoną przeźroczystą KA-COM</t>
  </si>
  <si>
    <t>PDS4-ALU-CLC-3M</t>
  </si>
  <si>
    <t>Profil led PDS4-K 1m anodowany</t>
  </si>
  <si>
    <t>PDS4K-ALU-1M</t>
  </si>
  <si>
    <t>Profil led Pds4-K 1m anodowany z osłoną mleczną KA</t>
  </si>
  <si>
    <t>PDS4K-ALU-ML-1M</t>
  </si>
  <si>
    <t>Profil led Pds4-K 1m anodowany z osłoną mleczną KA-COM</t>
  </si>
  <si>
    <t>PDS4K-ALU-MLC-1M</t>
  </si>
  <si>
    <t>Profil led Pds4-K 1m anodowany z osłoną mleczną LIGER</t>
  </si>
  <si>
    <t>PDS4K-ALU-ML-1M-</t>
  </si>
  <si>
    <t>Profil led Pds4-K 1m anodowany z osłoną przeźroczystą KA</t>
  </si>
  <si>
    <t>PDS4K-ALU-CL-1M</t>
  </si>
  <si>
    <t>Profil led Pds4-K 1m anodowany z osłoną przeźroczystą KA-COM</t>
  </si>
  <si>
    <t>PDS4K-ALU-CLC-1M</t>
  </si>
  <si>
    <t>Profil led Pds4-K 1m biały lakierowany</t>
  </si>
  <si>
    <t>Profil led Pds4-K 1m czarny anodowany</t>
  </si>
  <si>
    <t>PDS4K-ALU-1M-A-C</t>
  </si>
  <si>
    <t>Profil led PDS4-K 2m anodowany</t>
  </si>
  <si>
    <t>PDS4K-ALU-2M</t>
  </si>
  <si>
    <t>Profil led Pds4-K 2m anodowany z osłoną mleczną KA</t>
  </si>
  <si>
    <t>PDS4K-ALU-ML-2M</t>
  </si>
  <si>
    <t>Profil led Pds4-K 2m anodowany z osłoną mleczną KA-COM</t>
  </si>
  <si>
    <t>PDS4K-ALU-MLC-2M</t>
  </si>
  <si>
    <t>Profil led Pds4-K 2m anodowany z osłoną mleczną LIGER</t>
  </si>
  <si>
    <t>PDS4K-ALU-ML-2M-</t>
  </si>
  <si>
    <t>Profil led Pds4-K 2m anodowany z osłoną przeźroczystą KA</t>
  </si>
  <si>
    <t>PDS4K-ALU-CL-2M</t>
  </si>
  <si>
    <t>Profil led Pds4-K 2m anodowany z osłoną przeźroczystą KA-COM</t>
  </si>
  <si>
    <t>PDS4K-ALU-CLC-2M</t>
  </si>
  <si>
    <t>Profil led Pds4-K 2m biały lakierowany</t>
  </si>
  <si>
    <t>Profil led Pds4-K 2m czarny anodowany</t>
  </si>
  <si>
    <t>PDS4K-ALU-2M-A-C</t>
  </si>
  <si>
    <t>Profil led Pds4-K 2m czarny lakierowany</t>
  </si>
  <si>
    <t>PDS4K-ALU-2M-CZ</t>
  </si>
  <si>
    <t>Profil led Pds4-K 3m anodowany</t>
  </si>
  <si>
    <t>PDS4K-ALU-3M</t>
  </si>
  <si>
    <t>Profil led Pds4-K 3m anodowany z osłoną mleczną KA</t>
  </si>
  <si>
    <t>PDS4K-ALU-ML-3M</t>
  </si>
  <si>
    <t>Profil led Pds4-K 3m anodowany z osłoną mleczną KA-COM</t>
  </si>
  <si>
    <t>PDS4K-ALU-MLC-3M</t>
  </si>
  <si>
    <t>Profil led Pds4-K 3m anodowany z osłoną mleczną LIGER</t>
  </si>
  <si>
    <t>PDS4K-ALU-ML-3M-</t>
  </si>
  <si>
    <t>Profil led Pds4-K 3m anodowany z osłoną przeźroczystą KA</t>
  </si>
  <si>
    <t>PDS4K-ALU-CL-3M</t>
  </si>
  <si>
    <t>Profil led Pds4-K 3m biały lakierowany</t>
  </si>
  <si>
    <t>PDS4K-ALU-3M-BI</t>
  </si>
  <si>
    <t>Profil led Pds4-K 3m czarny anodowany</t>
  </si>
  <si>
    <t>PDS4K-ALU-3M-A-C</t>
  </si>
  <si>
    <t>Profil led Pds4-K 3m czarny lakierowany</t>
  </si>
  <si>
    <t>PDS4K-ALU-3M-CZ</t>
  </si>
  <si>
    <t>Profil led PDS4-PLUS 1m anodowany</t>
  </si>
  <si>
    <t>PDS4P-ALU-1M-A</t>
  </si>
  <si>
    <t>Profil led PDS4-PLUS 1m biały</t>
  </si>
  <si>
    <t>Pro000123</t>
  </si>
  <si>
    <t>Profil led PDS4-PLUS 1m czarny anodowany</t>
  </si>
  <si>
    <t>Profil led PDS4-PLUS 2m anodowany</t>
  </si>
  <si>
    <t>PDS4P-ALU-2M-A</t>
  </si>
  <si>
    <t>Profil led PDS4-PLUS 2m biały</t>
  </si>
  <si>
    <t>Pro000070</t>
  </si>
  <si>
    <t>Profil led PDS4-PLUS 2m czarny anodowany</t>
  </si>
  <si>
    <t>PDS4P-ALU-2M-A-C</t>
  </si>
  <si>
    <t>Profil led PDS4-PLUS 3m anodowany</t>
  </si>
  <si>
    <t>PDS4P-ALU-3M-A</t>
  </si>
  <si>
    <t>Profil led PDS4-PLUS 3m biały</t>
  </si>
  <si>
    <t>Pro000072</t>
  </si>
  <si>
    <t>Profil led PDS4-PLUS 3m czarny anodowany</t>
  </si>
  <si>
    <t>KLU-PRO-00025</t>
  </si>
  <si>
    <t>Profil led PIKO 1m anodowany</t>
  </si>
  <si>
    <t>PIKO-ALU-1M</t>
  </si>
  <si>
    <t>Profil led PIKO 1m anodowany z osłoną mleczną</t>
  </si>
  <si>
    <t>PIKO-ALU-ML-1M-A</t>
  </si>
  <si>
    <t>Profil led PIKO 2m anodowany</t>
  </si>
  <si>
    <t>PIKO-ALU-2M</t>
  </si>
  <si>
    <t>Profil led PIKO 3m anodowany</t>
  </si>
  <si>
    <t>KLU-PRO-00001</t>
  </si>
  <si>
    <t>Profil led PIKO-O 1m anodowany</t>
  </si>
  <si>
    <t>KLU-PRO-00007</t>
  </si>
  <si>
    <t>Profil led PIKO-O 1m czarny anodowany</t>
  </si>
  <si>
    <t>PIKO-O-ALU-1M-CZ</t>
  </si>
  <si>
    <t>Profil led PIKO-O 2m anodowany</t>
  </si>
  <si>
    <t>PIKO-O-ALU-2M-A</t>
  </si>
  <si>
    <t>Profil led PIKO-O 2m czarny anodowany</t>
  </si>
  <si>
    <t>PIKO-O-ALU-2M-CZ</t>
  </si>
  <si>
    <t>Profil led PIKO-O 3m anodowany</t>
  </si>
  <si>
    <t>PIKO-O-ALU-3M-A</t>
  </si>
  <si>
    <t>Profil led PIKO-O 3m czarny anodowany</t>
  </si>
  <si>
    <t>PIKO-O-ALU-3M-CZ</t>
  </si>
  <si>
    <t>Profil led PIKO-ZM 1m anodowany</t>
  </si>
  <si>
    <t>KLU-PRO-00005</t>
  </si>
  <si>
    <t>Profil led PIKO-ZM 2m anodowany</t>
  </si>
  <si>
    <t>PIKO-ZM-ALU-2M-A</t>
  </si>
  <si>
    <t>Profil led PIKO-ZM 3m anodowany</t>
  </si>
  <si>
    <t>PIKO-ZM-ALU-3M-A</t>
  </si>
  <si>
    <t>Profil led POLI 1m anodowany</t>
  </si>
  <si>
    <t>POLI-ALU-1M-A</t>
  </si>
  <si>
    <t>Profil led POLI 1m anodowany z przesłoną przeźroczystą KA-COM</t>
  </si>
  <si>
    <t>POLI-ALU-CLC-1M-</t>
  </si>
  <si>
    <t>Profil led POLI 2m anodowany</t>
  </si>
  <si>
    <t>POLI-ALU-2M-A</t>
  </si>
  <si>
    <t>Profil led POLI 3m anodowany</t>
  </si>
  <si>
    <t>POLI-ALU-3M-A</t>
  </si>
  <si>
    <t>Profil led POR 105cm anodowany</t>
  </si>
  <si>
    <t>Pro000135</t>
  </si>
  <si>
    <t>Profil led POR 105cm anodowany z osłoną mleczną</t>
  </si>
  <si>
    <t>POR-ALU-ML-1 05M</t>
  </si>
  <si>
    <t>Profil led POR 210cm anodowany</t>
  </si>
  <si>
    <t>Profil led POR 210cm anodowany z osłoną mleczną</t>
  </si>
  <si>
    <t>POR-ALU-ML-2 10M</t>
  </si>
  <si>
    <t>PROFIL LED PRZYRZĄD KR</t>
  </si>
  <si>
    <t>Profil led PULA 1m anodowany</t>
  </si>
  <si>
    <t>PULA-ALU-1M-A</t>
  </si>
  <si>
    <t>Profil led PULA 2m anodowany</t>
  </si>
  <si>
    <t>PULA-ALU-2M-A</t>
  </si>
  <si>
    <t>Profil led PULA 3m anodowany</t>
  </si>
  <si>
    <t>KLU-00022</t>
  </si>
  <si>
    <t>Profil led RAM-3035-KOZE 1m</t>
  </si>
  <si>
    <t>Profil led RAM-3035-KOZE 3m</t>
  </si>
  <si>
    <t>Profil led RAM-KOZE-100 2m</t>
  </si>
  <si>
    <t>KLU-PRO-00033</t>
  </si>
  <si>
    <t>Profil led REGULOR ZWK 1m anodowany</t>
  </si>
  <si>
    <t>REG-ALU-1M</t>
  </si>
  <si>
    <t>Profil led REGULOR ZWK 1m anodowany z osłoną S przeźroczystą</t>
  </si>
  <si>
    <t>REG-ZWK-ALU-1M</t>
  </si>
  <si>
    <t>Profil led REGULOR ZWK 2m anodowany</t>
  </si>
  <si>
    <t>REG-ALU-2M</t>
  </si>
  <si>
    <t>Profil led REGULOR ZWK 2m anodowany bez wkładu</t>
  </si>
  <si>
    <t>REGULOR-2M-A</t>
  </si>
  <si>
    <t>Profil led REGULOR ZWK 2m anodowany czar ny bez wkładu</t>
  </si>
  <si>
    <t>Profil led REGULOR ZWK 2m anodowany z osłoną S przeźroczystą</t>
  </si>
  <si>
    <t>REG-ZWK-ALU-2M</t>
  </si>
  <si>
    <t>Profil led REGULOR ZWK 3m anodowany</t>
  </si>
  <si>
    <t>REG-ALU-3M</t>
  </si>
  <si>
    <t>Profil led REGULOR ZWK 3m anodowany z osłoną S przeźroczystą</t>
  </si>
  <si>
    <t>REG-ZWK-ALU-3M</t>
  </si>
  <si>
    <t>Profil led SEKODU 1m anodowany</t>
  </si>
  <si>
    <t>SEKODU-ALU-1M</t>
  </si>
  <si>
    <t>Profil led SEKODU 1m anodowany z osłoną mleczną SZER</t>
  </si>
  <si>
    <t>SEKODU-ALU-ML-1M</t>
  </si>
  <si>
    <t>Profil led SEKODU 1m anodowany z osłoną mleczną SZER-L</t>
  </si>
  <si>
    <t>PROFIL LED 02646</t>
  </si>
  <si>
    <t>Profil led SEKODU 2m anodowany</t>
  </si>
  <si>
    <t>SEKODU-ALU-2M</t>
  </si>
  <si>
    <t>Profil led SEKODU 2m anodowany z osłoną mleczną SZER</t>
  </si>
  <si>
    <t>SEKODU-ALU-ML-2M</t>
  </si>
  <si>
    <t>Profil led SEKODU 2m anodowany z osłoną mleczną SZER-L</t>
  </si>
  <si>
    <t>PROFIL LED 02649</t>
  </si>
  <si>
    <t>Profil led SEKODU 3m anodowany</t>
  </si>
  <si>
    <t>SEKODU-ALU-3M</t>
  </si>
  <si>
    <t>Profil led SEKODU 3m anodowany z osłoną mleczną SZER</t>
  </si>
  <si>
    <t>SEKODU-ALU-ML-3M</t>
  </si>
  <si>
    <t>Profil led SEKODU 3m anodowany z osłoną mleczną SZER-L</t>
  </si>
  <si>
    <t>PROFIL LED 02652</t>
  </si>
  <si>
    <t>Profil led SEKOMA 1m anodowany</t>
  </si>
  <si>
    <t>SEKOMA-ALU-1M</t>
  </si>
  <si>
    <t>Profil led SEKOMA 1m anodowany z osłoną mleczną SZER</t>
  </si>
  <si>
    <t>SEKOMA-ALU-ML-1M</t>
  </si>
  <si>
    <t>Profil led SEKOMA 2m anodowany</t>
  </si>
  <si>
    <t>SEKOMA-ALU-2M</t>
  </si>
  <si>
    <t>Profil led SEKOMA 2m anodowany z osłoną mleczną SZER</t>
  </si>
  <si>
    <t>SEKOMA-ALU-ML-2M</t>
  </si>
  <si>
    <t>Profil led SEKOMA 2m anodowany z osłoną mleczną SZER-L</t>
  </si>
  <si>
    <t>PROFIL LED 02657</t>
  </si>
  <si>
    <t>Profil led SEKOMA 3m anodowany</t>
  </si>
  <si>
    <t>SEKOMA-ALU-3M</t>
  </si>
  <si>
    <t>Profil led SEKOMA 3m anodowany z osłoną mleczną SZER-L</t>
  </si>
  <si>
    <t>SEKOMA-ALU-ML-3M</t>
  </si>
  <si>
    <t>Profil led SEPOD 1m anodowany</t>
  </si>
  <si>
    <t>SEPOD-ALU-1M</t>
  </si>
  <si>
    <t>Profil led SEPOD 1m anodowany z osłoną mleczną SZER</t>
  </si>
  <si>
    <t>SEPOD-ALU-ML-1M</t>
  </si>
  <si>
    <t>Profil led SEPOD 1m anodowany z osłoną mleczną SZER-L</t>
  </si>
  <si>
    <t>SEPOD-ALU-ML-1M-</t>
  </si>
  <si>
    <t>Profil led SEPOD 2m anodowany</t>
  </si>
  <si>
    <t>SEPOD-ALU-2M</t>
  </si>
  <si>
    <t>Profil led SEPOD 2m anodowany z osłoną mleczną SZER</t>
  </si>
  <si>
    <t>SEPOD-ALU-ML-2M</t>
  </si>
  <si>
    <t>Profil led SEPOD 2m anodowany z osłoną mleczną SZER-L</t>
  </si>
  <si>
    <t>SEPOD-ALU-ML-2M-</t>
  </si>
  <si>
    <t>Profil led SEPOD 3m anodowany</t>
  </si>
  <si>
    <t>SEPOD-ALU-3M</t>
  </si>
  <si>
    <t>Profil led SEPOD 3m anodowany z osłoną mleczną SZER</t>
  </si>
  <si>
    <t>SEPOD-ALU-ML-3M</t>
  </si>
  <si>
    <t>Profil led SEPOD 3m anodowany z osłoną mleczną SZER-L</t>
  </si>
  <si>
    <t>SEPOD-ALU-ML-3M-</t>
  </si>
  <si>
    <t>Profil led SILER 1m anodowany</t>
  </si>
  <si>
    <t>SILER-1M-A</t>
  </si>
  <si>
    <t>Profil led SILER 1m czarny anodowany</t>
  </si>
  <si>
    <t>Profil led SILER 2m anodowany</t>
  </si>
  <si>
    <t>SILER-2M-A</t>
  </si>
  <si>
    <t>Profil led SILER 2m biały</t>
  </si>
  <si>
    <t>Pro000120</t>
  </si>
  <si>
    <t>Profil led SILER 2m czarny anodowany</t>
  </si>
  <si>
    <t>Profil led SILER 3m anodowany</t>
  </si>
  <si>
    <t>SILER-3M-A</t>
  </si>
  <si>
    <t>Profil led SILER 3m czarny anodowany</t>
  </si>
  <si>
    <t>Profil led STEKO 1m anodowany</t>
  </si>
  <si>
    <t>STEKO-ALU-1M</t>
  </si>
  <si>
    <t>Profil led STEKO 2m anodowany</t>
  </si>
  <si>
    <t>STEKO-ALU-2M</t>
  </si>
  <si>
    <t>Profil led STEKO 3m anodowany</t>
  </si>
  <si>
    <t>KLU-00019</t>
  </si>
  <si>
    <t>Profil led STEP 1m anodowany</t>
  </si>
  <si>
    <t>STEP-ALU-1M</t>
  </si>
  <si>
    <t>Profil led STEP 1m czarny anodowany</t>
  </si>
  <si>
    <t>STEP-ALU-1M-CZ</t>
  </si>
  <si>
    <t>Profil led STEP 2m anodowany</t>
  </si>
  <si>
    <t>STEP-ALU-2M</t>
  </si>
  <si>
    <t>Profil led STEP 2m czarny anodowany</t>
  </si>
  <si>
    <t>STEP-ALU-2M-CZ</t>
  </si>
  <si>
    <t>Profil led STEP 3m anodowany</t>
  </si>
  <si>
    <t>STEP-ALU-3M</t>
  </si>
  <si>
    <t>Profil led STEP 3m czarny anodowany</t>
  </si>
  <si>
    <t>KLU-00013</t>
  </si>
  <si>
    <t>Profil led STEPUS 1m anodowany</t>
  </si>
  <si>
    <t>KLU-00014</t>
  </si>
  <si>
    <t>Profil led STEPUS 1m czarny anodowany</t>
  </si>
  <si>
    <t>KLU-00016</t>
  </si>
  <si>
    <t>Profil led STEPUS 2m anodowany</t>
  </si>
  <si>
    <t>STEPUS-ALU-2M</t>
  </si>
  <si>
    <t>Profil led STEPUS 2m czarny anodowany</t>
  </si>
  <si>
    <t>KLU-00017</t>
  </si>
  <si>
    <t>Profil led STEPUS 3m anodowany</t>
  </si>
  <si>
    <t>KLU-00015</t>
  </si>
  <si>
    <t>Profil led STEPUS 3m czarny anodowany</t>
  </si>
  <si>
    <t>KLU-00018</t>
  </si>
  <si>
    <t>Profil led STOS 1m anodowany</t>
  </si>
  <si>
    <t>STOS-ALU-1M</t>
  </si>
  <si>
    <t>Profil led STOS 1m anodowany z osłoną mleczną</t>
  </si>
  <si>
    <t>STOS-ALU-ML-1M</t>
  </si>
  <si>
    <t>Profil led STOS 1m anodowany z osłoną przeźroczystą</t>
  </si>
  <si>
    <t>STOS-ALU-CL-1M</t>
  </si>
  <si>
    <t>Profil led STOS 2m anodowany</t>
  </si>
  <si>
    <t>STOS-ALU-2M</t>
  </si>
  <si>
    <t>Profil led STOS 2m anodowany z osłoną mleczną</t>
  </si>
  <si>
    <t>STOS-ALU-ML-2M</t>
  </si>
  <si>
    <t>Profil led STOS 2m anodowany z osłoną przeźroczystą</t>
  </si>
  <si>
    <t>STOS-ALU-CL-2M</t>
  </si>
  <si>
    <t>Profil led STOS 3m anodowany</t>
  </si>
  <si>
    <t>STOS-ALU-3M</t>
  </si>
  <si>
    <t>Profil led STOS 3m anodowany z osłoną mleczną</t>
  </si>
  <si>
    <t>STOS-ALU-ML-3M</t>
  </si>
  <si>
    <t>Profil led TAKO 1m anodowany z osloną mleczną</t>
  </si>
  <si>
    <t>TAKO-ML-1M</t>
  </si>
  <si>
    <t>Profil led TAMI 1m anodowany z osłoną mleczną</t>
  </si>
  <si>
    <t>TAMI-ML-1M-A</t>
  </si>
  <si>
    <t>Profil led TAMI 1m z osłoną mleczną</t>
  </si>
  <si>
    <t>TAMI-ML-1M</t>
  </si>
  <si>
    <t>Profil led TAPO 1m anodowany</t>
  </si>
  <si>
    <t>KLU-PRO-00023</t>
  </si>
  <si>
    <t>Profil led TAPO 2m anodowany</t>
  </si>
  <si>
    <t>KLU-PRO-00024</t>
  </si>
  <si>
    <t>Profil led TE-4 1m wyc.</t>
  </si>
  <si>
    <t>TE4-1M</t>
  </si>
  <si>
    <t>Profil led TEKNIK-ZM 1m</t>
  </si>
  <si>
    <t>TEKNIK-ZM-ALU-1M</t>
  </si>
  <si>
    <t>Profil led TEKNIK-ZM 2m</t>
  </si>
  <si>
    <t>TEKNIK-ZM-ALU-2M</t>
  </si>
  <si>
    <t>Profil led TEKNIK-ZM 3m</t>
  </si>
  <si>
    <t>TEKNIK-ZM-ALU-3M</t>
  </si>
  <si>
    <t>Profil led TEKNIK-ZM-TK 1m</t>
  </si>
  <si>
    <t>Profil led TEKNIK-ZM-TK 2m</t>
  </si>
  <si>
    <t>Profil led TEKNIK-ZM-TK 3m</t>
  </si>
  <si>
    <t>Profil led TEKUS V1 1m</t>
  </si>
  <si>
    <t>KLU-00023</t>
  </si>
  <si>
    <t>Profil led TEKUS V1 2m</t>
  </si>
  <si>
    <t>TEKUSV1-ALU-2M</t>
  </si>
  <si>
    <t>Profil led TEKUS V1 3m</t>
  </si>
  <si>
    <t>KLU-00024</t>
  </si>
  <si>
    <t>Profil led TEKUS-ZM 1m</t>
  </si>
  <si>
    <t>TEKUS-ZM-1M</t>
  </si>
  <si>
    <t>Profil led TEKUS-ZM 2m</t>
  </si>
  <si>
    <t>KLU-00025</t>
  </si>
  <si>
    <t>Profil led TEKUS-ZM 3m</t>
  </si>
  <si>
    <t>KLU-00027</t>
  </si>
  <si>
    <t>Profil led TEPIKO 1m anodowany</t>
  </si>
  <si>
    <t>KLU-PRO-00003</t>
  </si>
  <si>
    <t>Profil led TEPIKO 2m anodowany</t>
  </si>
  <si>
    <t>KLU-PRO-00004</t>
  </si>
  <si>
    <t>Profil led TEPIKO 3m anodowany</t>
  </si>
  <si>
    <t>TEPIKO-ALU-3M-A</t>
  </si>
  <si>
    <t>Profil led TES-16 1m</t>
  </si>
  <si>
    <t>TES-16-ALU-1M</t>
  </si>
  <si>
    <t>Profil led TES-16 2m</t>
  </si>
  <si>
    <t>TES-16-ALU-2M</t>
  </si>
  <si>
    <t>Profil led TES-16 3m</t>
  </si>
  <si>
    <t>TES-16-ALU-3M</t>
  </si>
  <si>
    <t>Profil led TESE 1m</t>
  </si>
  <si>
    <t>TESE-ALU-1M</t>
  </si>
  <si>
    <t>Profil led TESE 2m</t>
  </si>
  <si>
    <t>TESE-ALU-2M</t>
  </si>
  <si>
    <t>Profil led TESE 3m</t>
  </si>
  <si>
    <t>TESE-ALU-3M</t>
  </si>
  <si>
    <t>Profil led TESPO 1m anodowany</t>
  </si>
  <si>
    <t>TESPO-ALU-ML-1M</t>
  </si>
  <si>
    <t>Profil led TESPO 2m anodowany</t>
  </si>
  <si>
    <t>TESPO-ALU-ML-2M</t>
  </si>
  <si>
    <t>Profil led TESPO 3m anodowany</t>
  </si>
  <si>
    <t>TESPO-ALU-ML-3M</t>
  </si>
  <si>
    <t>Profil led TEST-36 1m anodowany</t>
  </si>
  <si>
    <t>TEST36-ALU-1M</t>
  </si>
  <si>
    <t>Profil led TEST-36 2m anodowany</t>
  </si>
  <si>
    <t>TEST36-ALU-2M</t>
  </si>
  <si>
    <t>Profil led TEST-36 3m anodowany</t>
  </si>
  <si>
    <t>KLU-00009</t>
  </si>
  <si>
    <t>Profil led TEST-74 1m anodowany</t>
  </si>
  <si>
    <t>TEST74-ALU-1M</t>
  </si>
  <si>
    <t>Profil led TEST-74 2m anodowany</t>
  </si>
  <si>
    <t>TEST74-ALU-2M</t>
  </si>
  <si>
    <t>Profil led TEST-74 3m anodowany</t>
  </si>
  <si>
    <t>TEST74-ALU-3M</t>
  </si>
  <si>
    <t>Profil led TETRA-43 1m anodowany</t>
  </si>
  <si>
    <t>TETRA43-ALU-1M</t>
  </si>
  <si>
    <t>Profil led TETRA-43 2m anodowany</t>
  </si>
  <si>
    <t>TETRA43-ALU-2M</t>
  </si>
  <si>
    <t>Profil led TETRA-43 3m anodowany</t>
  </si>
  <si>
    <t>TETRA43-ALU-3M</t>
  </si>
  <si>
    <t>Profil led TETRA-78 1m anodowany</t>
  </si>
  <si>
    <t>TETRA78-ALU-1M</t>
  </si>
  <si>
    <t>Profil led TETRA-78 2m anodowany</t>
  </si>
  <si>
    <t>TETRA78-ALU-2M</t>
  </si>
  <si>
    <t>Profil led TETRA-78 3m anodowany</t>
  </si>
  <si>
    <t>TETRA78-ALU-3M</t>
  </si>
  <si>
    <t>Profil led TPK-4 1m</t>
  </si>
  <si>
    <t>TPK4-ALU-1M</t>
  </si>
  <si>
    <t>Profil led TPK-4 2m</t>
  </si>
  <si>
    <t>TPK4-ALU-2M</t>
  </si>
  <si>
    <t>Profil led TPK-4 3m</t>
  </si>
  <si>
    <t>TPK4-ALU-3M</t>
  </si>
  <si>
    <t>Profil led TRIADA 1m anodowany</t>
  </si>
  <si>
    <t>Profil led TRIADA 1m anodowany z osłoną mleczną</t>
  </si>
  <si>
    <t>TRIADA-ALU-ML-1M</t>
  </si>
  <si>
    <t>Profil led TRIADA 1m anodowany z osłoną przeźroczystą</t>
  </si>
  <si>
    <t>TRIADA-ALU-CL-1M</t>
  </si>
  <si>
    <t>Profil led TRIADA 2m anodowany</t>
  </si>
  <si>
    <t>TRIADA-ALU-2M</t>
  </si>
  <si>
    <t>Profil led TRIADA 3m anodowany</t>
  </si>
  <si>
    <t>Profil led TRIADA-K 1m anodowany</t>
  </si>
  <si>
    <t>Profil led TRIADA-K 1m anodowany z osłoną przeźroczystą</t>
  </si>
  <si>
    <t>TRIADAK-ALU-CL-1</t>
  </si>
  <si>
    <t>Profil led WERKIN 1m anodowany</t>
  </si>
  <si>
    <t>WERKIN-ALU-1M-A</t>
  </si>
  <si>
    <t>Profil led WERKIN 2m anodowany</t>
  </si>
  <si>
    <t>WERKIN-ALU-2M-A</t>
  </si>
  <si>
    <t>Profil led WERKIN 2m anodowany z osłoną przeźroczystą HS-22</t>
  </si>
  <si>
    <t>WERKIN-ALU-CL-2M</t>
  </si>
  <si>
    <t>Profil led WERKIN 3m anodowany</t>
  </si>
  <si>
    <t>WERKIN-ALU-3M-A</t>
  </si>
  <si>
    <t>Profil PDS-O 2m mleczna anoda COM</t>
  </si>
  <si>
    <t>PDSO-ALU-MLC-2M</t>
  </si>
  <si>
    <t>Profil RAM-KOZE-50</t>
  </si>
  <si>
    <t>KAT00088</t>
  </si>
  <si>
    <t>Profil TAKO 1m anoda</t>
  </si>
  <si>
    <t>KLU-00006</t>
  </si>
  <si>
    <t>Profil TAKO 2m anoda</t>
  </si>
  <si>
    <t>KLU-00007</t>
  </si>
  <si>
    <t>Profil TAKO 2m anoda mleczna</t>
  </si>
  <si>
    <t>TAKO-ML-2M</t>
  </si>
  <si>
    <t>Profil TAMI 1m</t>
  </si>
  <si>
    <t>TAMI-1M</t>
  </si>
  <si>
    <t>Profil TAMI 1m anoda</t>
  </si>
  <si>
    <t>KLU-PRO-00021</t>
  </si>
  <si>
    <t>Profil TAMI 2m</t>
  </si>
  <si>
    <t>TAMI-2M</t>
  </si>
  <si>
    <t>Profil TAMI 2m anoda</t>
  </si>
  <si>
    <t>KLU-PRO-00022</t>
  </si>
  <si>
    <t>Profil TAMI 2m anoda mleczna</t>
  </si>
  <si>
    <t>TAMI-ML-2M-A</t>
  </si>
  <si>
    <t>Profil TAMI 2m mleczna</t>
  </si>
  <si>
    <t>TAMI-ML-2M</t>
  </si>
  <si>
    <t>Profil TAN-C5 1m</t>
  </si>
  <si>
    <t>KLU-00002</t>
  </si>
  <si>
    <t>Profil TAN-C5 1m anoda</t>
  </si>
  <si>
    <t>KLU-00004</t>
  </si>
  <si>
    <t>Profil TAN-C5 1m anoda mleczna</t>
  </si>
  <si>
    <t>TAN-C5-ML-1M-A</t>
  </si>
  <si>
    <t>Profil TAN-C5 1m mleczna</t>
  </si>
  <si>
    <t>TAN-C5-ML-1M</t>
  </si>
  <si>
    <t>Profil TAN-C5 2m</t>
  </si>
  <si>
    <t>KLU-00003</t>
  </si>
  <si>
    <t>Profil TAN-C5 2m anoda</t>
  </si>
  <si>
    <t>KLU-00005</t>
  </si>
  <si>
    <t>Profil TAN-C5 2m anoda mleczna</t>
  </si>
  <si>
    <t>TAN-C5-ML-2M-A</t>
  </si>
  <si>
    <t>Profil TAN-C5 2m mleczna</t>
  </si>
  <si>
    <t>TAN-C5-ML-2M</t>
  </si>
  <si>
    <t>Profil TOST 1m anoda</t>
  </si>
  <si>
    <t>KLU-00008</t>
  </si>
  <si>
    <t>Profil TOST 1m anoda mleczna</t>
  </si>
  <si>
    <t>TOST-ML-1M-A</t>
  </si>
  <si>
    <t>Profil TOST 2m anoda</t>
  </si>
  <si>
    <t>TOST-2M-A</t>
  </si>
  <si>
    <t>Profil TOST 2m anoda mleczna</t>
  </si>
  <si>
    <t>TOST-ML-2M-A</t>
  </si>
  <si>
    <t>PROFILE LED - PLANSZA NR 1</t>
  </si>
  <si>
    <t>PROFILE LED - PLANSZA NR 2</t>
  </si>
  <si>
    <t>PROFILE LED - PLANSZA NR 3</t>
  </si>
  <si>
    <t>PROFILE LED - PLANSZA NR 4</t>
  </si>
  <si>
    <t>PROFILE LED - PLANSZA NR 5</t>
  </si>
  <si>
    <t>PROFILE LED - PLANSZA NR 6</t>
  </si>
  <si>
    <t>PROFILE LED - PLANSZA NR 7</t>
  </si>
  <si>
    <t>PROFILE LED - PLANSZA P230_1</t>
  </si>
  <si>
    <t>1 943,09</t>
  </si>
  <si>
    <t>2 390,00</t>
  </si>
  <si>
    <t>1 933,39</t>
  </si>
  <si>
    <t>2 378,07</t>
  </si>
  <si>
    <t>PROFILE LED - PLANSZA P230_10</t>
  </si>
  <si>
    <t>1 101,63</t>
  </si>
  <si>
    <t>1 355,00</t>
  </si>
  <si>
    <t>1 100,58</t>
  </si>
  <si>
    <t>1 353,71</t>
  </si>
  <si>
    <t>PROFILE LED - PLANSZA P230_11</t>
  </si>
  <si>
    <t>1 048,78</t>
  </si>
  <si>
    <t>1 290,00</t>
  </si>
  <si>
    <t>1 047,81</t>
  </si>
  <si>
    <t>1 288,81</t>
  </si>
  <si>
    <t>PROFILE LED - PLANSZA P230_12</t>
  </si>
  <si>
    <t>1 090,00</t>
  </si>
  <si>
    <t>1 087,02</t>
  </si>
  <si>
    <t>PROFILE LED - PLANSZA P230_13</t>
  </si>
  <si>
    <t>1 337,40</t>
  </si>
  <si>
    <t>1 645,00</t>
  </si>
  <si>
    <t>1 335,07</t>
  </si>
  <si>
    <t>1 642,14</t>
  </si>
  <si>
    <t>PROFILE LED - PLANSZA P230_14</t>
  </si>
  <si>
    <t>1 910,57</t>
  </si>
  <si>
    <t>2 350,00</t>
  </si>
  <si>
    <t>1 909,14</t>
  </si>
  <si>
    <t>2 348,24</t>
  </si>
  <si>
    <t>PROFILE LED - PLANSZA P230_15</t>
  </si>
  <si>
    <t>1 707,32</t>
  </si>
  <si>
    <t>2 100,00</t>
  </si>
  <si>
    <t>1 707,08</t>
  </si>
  <si>
    <t>2 099,71</t>
  </si>
  <si>
    <t>PROFILE LED - PLANSZA P230_16</t>
  </si>
  <si>
    <t>1 190,00</t>
  </si>
  <si>
    <t>1 179,50</t>
  </si>
  <si>
    <t>PROFILE LED - PLANSZA P230_17</t>
  </si>
  <si>
    <t>2 353,66</t>
  </si>
  <si>
    <t>2 895,00</t>
  </si>
  <si>
    <t>2 350,84</t>
  </si>
  <si>
    <t>2 891,53</t>
  </si>
  <si>
    <t>PROFILE LED - PLANSZA P230_18</t>
  </si>
  <si>
    <t>1 186,99</t>
  </si>
  <si>
    <t>1 460,00</t>
  </si>
  <si>
    <t>1 181,96</t>
  </si>
  <si>
    <t>1 453,81</t>
  </si>
  <si>
    <t>PROFILE LED - PLANSZA P230_19</t>
  </si>
  <si>
    <t>3 097,56</t>
  </si>
  <si>
    <t>3 810,00</t>
  </si>
  <si>
    <t>3 091,43</t>
  </si>
  <si>
    <t>3 802,46</t>
  </si>
  <si>
    <t>PROFILE LED - PLANSZA P230_2</t>
  </si>
  <si>
    <t>1 333,33</t>
  </si>
  <si>
    <t>1 640,00</t>
  </si>
  <si>
    <t>1 328,07</t>
  </si>
  <si>
    <t>1 633,53</t>
  </si>
  <si>
    <t>PROFILE LED - PLANSZA P230_3</t>
  </si>
  <si>
    <t>1 621,95</t>
  </si>
  <si>
    <t>1 995,00</t>
  </si>
  <si>
    <t>1 620,40</t>
  </si>
  <si>
    <t>1 993,09</t>
  </si>
  <si>
    <t>PROFILE LED - PLANSZA P230_4</t>
  </si>
  <si>
    <t>1 093,50</t>
  </si>
  <si>
    <t>1 345,01</t>
  </si>
  <si>
    <t>1 090,86</t>
  </si>
  <si>
    <t>1 341,76</t>
  </si>
  <si>
    <t>PROFILE LED - PLANSZA P230_5</t>
  </si>
  <si>
    <t>1 140,00</t>
  </si>
  <si>
    <t>1 138,77</t>
  </si>
  <si>
    <t>PROFILE LED - PLANSZA P230_6</t>
  </si>
  <si>
    <t>1 150,41</t>
  </si>
  <si>
    <t>1 415,00</t>
  </si>
  <si>
    <t>PROFILE LED - PLANSZA P230_7</t>
  </si>
  <si>
    <t>1 225,01</t>
  </si>
  <si>
    <t>1 222,13</t>
  </si>
  <si>
    <t>PROFILE LED - PLANSZA P230_8</t>
  </si>
  <si>
    <t>1 081,30</t>
  </si>
  <si>
    <t>1 330,00</t>
  </si>
  <si>
    <t>1 078,04</t>
  </si>
  <si>
    <t>1 325,99</t>
  </si>
  <si>
    <t>PROFILE LED - PLANSZA P230_9</t>
  </si>
  <si>
    <t>1 069,11</t>
  </si>
  <si>
    <t>1 315,01</t>
  </si>
  <si>
    <t>1 065,51</t>
  </si>
  <si>
    <t>1 310,58</t>
  </si>
  <si>
    <t>PROFILE LED - PLANSZA P230_90151</t>
  </si>
  <si>
    <t>PROFILE LED - PLANSZA P230-90120M</t>
  </si>
  <si>
    <t>1 666,71</t>
  </si>
  <si>
    <t>2 050,05</t>
  </si>
  <si>
    <t>PROFILE LED - SZAFA P230</t>
  </si>
  <si>
    <t>3 195,12</t>
  </si>
  <si>
    <t>3 930,00</t>
  </si>
  <si>
    <t>3 190,50</t>
  </si>
  <si>
    <t>3 924,32</t>
  </si>
  <si>
    <t>PROFILE LED - ZESTAW PREZENTACYJNY NR 1</t>
  </si>
  <si>
    <t>PROFILE LED - ZESTAW PREZENTACYJNY NR 2</t>
  </si>
  <si>
    <t>PROFILE LED - ZESTAW PREZENTACYJNY NR 3</t>
  </si>
  <si>
    <t>PROFILE LED - ZESTAW PREZENTACYJNY NR 4</t>
  </si>
  <si>
    <t>PROFILE LED - ZESTAW PREZENTACYJNY NR 5</t>
  </si>
  <si>
    <t>PROFILE LED - ZESTAW PREZENTACYJNY NR 6</t>
  </si>
  <si>
    <t>PROFILE LED - ZESTAW PREZENTACYJNY NR 7</t>
  </si>
  <si>
    <t>PRÓBKI PROFILI LED KRAV-56</t>
  </si>
  <si>
    <t>PR-KRAV56</t>
  </si>
  <si>
    <t>PRÓBKI PROFILI LED KRAV-810</t>
  </si>
  <si>
    <t>PR-KRAV810</t>
  </si>
  <si>
    <t>PRÓBKI PROFILI LED ZESTAW 1 PODSTAWOWE</t>
  </si>
  <si>
    <t>PRÓBKI PROFILI LED ZESTAW 2 UZUPEŁNIAJĄC E</t>
  </si>
  <si>
    <t>PRÓBKI PROFILI LED ZESTAW 3 ARCHITEKTONI CZNE</t>
  </si>
  <si>
    <t>PRÓBKI PROFILI LED ZESTAW 4 EKONOMICZNE</t>
  </si>
  <si>
    <t>Przewód UNITRONIC ROBUST 5x0,34mm2</t>
  </si>
  <si>
    <t>Pro000029</t>
  </si>
  <si>
    <t>Przyrząd do montażu sznura antypoślizgowego</t>
  </si>
  <si>
    <t>KLU-AKC-00024</t>
  </si>
  <si>
    <t>Pudełko prezentacyjne profile KLUŚ EU-US</t>
  </si>
  <si>
    <t>Pro000094</t>
  </si>
  <si>
    <t>Puszka hermetyczna Kluś</t>
  </si>
  <si>
    <t>Sprężyna do profilu led BLOK</t>
  </si>
  <si>
    <t>Sprężyna do profilu led do wpustów KDU</t>
  </si>
  <si>
    <t>Sprężyna do profilu led do wpustów KMA</t>
  </si>
  <si>
    <t>00838V1</t>
  </si>
  <si>
    <t>Sprężyna do profilu led do wpustów KR</t>
  </si>
  <si>
    <t>Sprężyna do profilu led powierzchniowa GP</t>
  </si>
  <si>
    <t>Sprężyna do profilu led powierzchniowa PDS</t>
  </si>
  <si>
    <t>Sprężyna do profilu led powierzchniowa TR</t>
  </si>
  <si>
    <t>Sprężyna do profilu led stożkowa</t>
  </si>
  <si>
    <t>SZABLON DO GIĘCIA PROFILI ALUMINIOWYCH</t>
  </si>
  <si>
    <t>Sznur antypoślizgowy do profilu led 1m</t>
  </si>
  <si>
    <t>Sznur antypoślizgowy do profilu led 2m</t>
  </si>
  <si>
    <t>Sznur silikonowy do profilu led KR</t>
  </si>
  <si>
    <t>Uchwyt do profilu alu 45 czarny lakier RAL9005</t>
  </si>
  <si>
    <t>Pro000143</t>
  </si>
  <si>
    <t>UCHWYT DO PROFILU ALU 45 TAN-C5 ANODOWAN Y wyc.</t>
  </si>
  <si>
    <t>UCHWYT DO PROFILU GIP GIZA LIPOD PLASTIK</t>
  </si>
  <si>
    <t>Uchwyt do profilu GIP GIZA LIPOD plastki czarny</t>
  </si>
  <si>
    <t>UCHWYT DO PROFILU GIP GIZA LIPOD REGULOW ANY</t>
  </si>
  <si>
    <t>UCHWYT DO PROFILU GIP GIZA LIPOD REGULOW ANY wyc.</t>
  </si>
  <si>
    <t>Uchwyt do profilu led ALU-45 TAN-C5</t>
  </si>
  <si>
    <t>Uchwyt do profilu led ALU-45 TAN-C5 nierdzewny 45-STN</t>
  </si>
  <si>
    <t>Uchwyt do profilu Micro Pds4 45-16 Tami plastikowy</t>
  </si>
  <si>
    <t>Uchwyt do profilu Micro Pds4 45-16regulowany plastikowy UV</t>
  </si>
  <si>
    <t>UCHWYT DO PROFILU MICRO PDS4 BIAŁY</t>
  </si>
  <si>
    <t>UCHWYT DO PROFILU MICRO PDS4 CZARNY</t>
  </si>
  <si>
    <t>Uchwyt do profilu Micro Pds4 kątowy PDS-STN-90D</t>
  </si>
  <si>
    <t>Pro000063</t>
  </si>
  <si>
    <t>Uchwyt do profilu Micro Pds4 kątowy PDS-STN-90G</t>
  </si>
  <si>
    <t>Pro000026</t>
  </si>
  <si>
    <t>Uchwyt do profilu Micro Pds4 Pds-O Tami anodowany wyc.</t>
  </si>
  <si>
    <t>Uchwyt do profilu Micro Pds4 Pds-O Tami STN</t>
  </si>
  <si>
    <t>Uchwyt do profilu Micro Pds4 Pds-O Tami wyc</t>
  </si>
  <si>
    <t>Uchwyt do profilu Micro Pds4 regulowany</t>
  </si>
  <si>
    <t>Uchwyt do profilu Micro Pds4 z głowicą ST</t>
  </si>
  <si>
    <t>Uchwyt do profilu Micro PDS4 z głowicą ZZ</t>
  </si>
  <si>
    <t>Uchwyt do profilu Micro plastikowy pionowy</t>
  </si>
  <si>
    <t>Uchwyt do profilu Micro plastikowy poziomy</t>
  </si>
  <si>
    <t>Uchwyt do profilu POLI Kluś</t>
  </si>
  <si>
    <t>Wkładka ochronna do profilu TECH-10 1m</t>
  </si>
  <si>
    <t>KLU-00070</t>
  </si>
  <si>
    <t>Wkładka ochronna do profilu TECH-10 2m</t>
  </si>
  <si>
    <t>KLU-00071</t>
  </si>
  <si>
    <t>Wkładka ochronna do profilu TECH-10 3m</t>
  </si>
  <si>
    <t>KLU-00072</t>
  </si>
  <si>
    <t>Wkładka ochronna do profilu TECH-22 1m</t>
  </si>
  <si>
    <t>Wkładka ochronna do profilu TECH-22 2m</t>
  </si>
  <si>
    <t>Wkładka ochronna do profilu TECH-22 3m</t>
  </si>
  <si>
    <t>Wkładka ochronna do profilu TECH-28 2m</t>
  </si>
  <si>
    <t>Wkładka ochronna do profilu TECH-28 3m</t>
  </si>
  <si>
    <t>Wkładka ochronna do profilu TECH-35 2m</t>
  </si>
  <si>
    <t>Pro000133</t>
  </si>
  <si>
    <t>Wkładka ochronna do profilu TECH-35 3m</t>
  </si>
  <si>
    <t>Wkładka ochronna do profilu TECH-50 1m</t>
  </si>
  <si>
    <t>Wkładka ochronna do profilu TECH-50 2m</t>
  </si>
  <si>
    <t>Wkładka ochronna do profilu TECH-50 3m</t>
  </si>
  <si>
    <t>Wkładka ochronna do profilu TECH-KA 1m</t>
  </si>
  <si>
    <t>KLU-AKC-00001</t>
  </si>
  <si>
    <t>Wkładka ochronna do profilu TECH-KA 2m</t>
  </si>
  <si>
    <t>KLU-AKC-00002</t>
  </si>
  <si>
    <t>Wkładka ochronna do profilu TECH-KA 3m</t>
  </si>
  <si>
    <t>KLU-AKC-00003</t>
  </si>
  <si>
    <t>Włącznik do profilu led</t>
  </si>
  <si>
    <t>Włącznik do profilu led bezdotykowy 22mm 4A mini</t>
  </si>
  <si>
    <t>Pro000091</t>
  </si>
  <si>
    <t>Włącznik do profilu led bezdotykowy wyc</t>
  </si>
  <si>
    <t>Włącznik do profilu led bezdotykowy z przewodem 150cm</t>
  </si>
  <si>
    <t>Włącznik do profilu led ściemnialny 12V</t>
  </si>
  <si>
    <t>Włącznik do profilu led ściemnialny 12V wyc.</t>
  </si>
  <si>
    <t>Włącznik do profilu led ściemnialny z przewodem 150cm</t>
  </si>
  <si>
    <t>Włącznik do profilu led z przewodem 150cm</t>
  </si>
  <si>
    <t>Woreczek A do pianki</t>
  </si>
  <si>
    <t>Pro000095</t>
  </si>
  <si>
    <t>Woreczek B do pianki</t>
  </si>
  <si>
    <t>Pro000096</t>
  </si>
  <si>
    <t>Woreczek C do pianki</t>
  </si>
  <si>
    <t>Pro000097</t>
  </si>
  <si>
    <t>Wysięgnik gładki kątowy 30cm K1-AB300 Kluś</t>
  </si>
  <si>
    <t>Wysięgnik gładki kątowy K2 30cm Kluś</t>
  </si>
  <si>
    <t>Wysięgnik gładki prosty 30cm K0-AB300 Kluś</t>
  </si>
  <si>
    <t>Wysięgnik gładki prosty K0 90cm Kluś</t>
  </si>
  <si>
    <t>Wysięgnik gładki z końcówką K1 22cm Kluś</t>
  </si>
  <si>
    <t>42113-AB220</t>
  </si>
  <si>
    <t>Wysięgnik gładki z końcówką K1 30cm Kluś</t>
  </si>
  <si>
    <t>42113-AB30</t>
  </si>
  <si>
    <t>Wysięgnik gładki z końcówką K1 50cm Kluś</t>
  </si>
  <si>
    <t>42113-AB50</t>
  </si>
  <si>
    <t>Wysięgnik gwintowany kątowy K1G-AB Kluś</t>
  </si>
  <si>
    <t>Wysięgnik gwintowany kątowy k2 30cm Kluś</t>
  </si>
  <si>
    <t>Wysięgnik gwintowany prosty 30cm K0G-AB Kluś</t>
  </si>
  <si>
    <t>Zaślepka do profilu 3035 szara</t>
  </si>
  <si>
    <t>Zaślepka do profilu 3035-O szara</t>
  </si>
  <si>
    <t>ZAŚLEPKA DO PROFILU 4050 SZARA</t>
  </si>
  <si>
    <t>ZAŚLEPKA DO PROFILU 4050-W SZARA</t>
  </si>
  <si>
    <t>KLU-ZAS-00006</t>
  </si>
  <si>
    <t>ZAŚLEPKA DO PROFILU ALU 45</t>
  </si>
  <si>
    <t>ZAŚLEPKA DO PROFILU ALU 45 BIAŁA</t>
  </si>
  <si>
    <t>Zaślepka do profilu alu 45 biała z otw</t>
  </si>
  <si>
    <t>Zaślepka do profilu alu 45 czarna</t>
  </si>
  <si>
    <t>Zaślepka do profilu alu 45 czarna z otw</t>
  </si>
  <si>
    <t>ZAŚLEPKA DO PROFILU ALU 45 MW</t>
  </si>
  <si>
    <t>Zaślepka do profilu alu 45 z otw</t>
  </si>
  <si>
    <t>Zaślepka do profilu alu 45 z otw MW</t>
  </si>
  <si>
    <t>ZAŚLEPKA DO PROFILU BOX</t>
  </si>
  <si>
    <t>ZAŚLEPKA DO PROFILU DES</t>
  </si>
  <si>
    <t>ZAŚLEPKA DO PROFILU DES DESIN</t>
  </si>
  <si>
    <t>Zaślepka do profilu DES DESIN czarna</t>
  </si>
  <si>
    <t>ZAŚLEPKA DO PROFILU EX 3D</t>
  </si>
  <si>
    <t>Zaślepka do profilu EX 3D z otw</t>
  </si>
  <si>
    <t>ZAŚLEPKA DO PROFILU EX STALOWA</t>
  </si>
  <si>
    <t>ZAŚLEPKA DO PROFILU FOLED</t>
  </si>
  <si>
    <t>ZAŚLEPKA DO PROFILU FOLED CZARNA</t>
  </si>
  <si>
    <t>ZAŚLEPKA DO PROFILU GIP-K</t>
  </si>
  <si>
    <t>ZAŚLEPKA DO PROFILU GIP-K METALIZOWANA</t>
  </si>
  <si>
    <t>ZAŚLEPKA DO PROFILU GIP-L</t>
  </si>
  <si>
    <t>ZAŚLEPKA DO PROFILU GIP-L METALIZOWANA</t>
  </si>
  <si>
    <t>ZAŚLEPKA DO PROFILU GIZA</t>
  </si>
  <si>
    <t>ZAŚLEPKA DO PROFILU GIZA GIL</t>
  </si>
  <si>
    <t>ZAŚLEPKA DO PROFILU GIZA GIZAT</t>
  </si>
  <si>
    <t>ZAŚLEPKA DO PROFILU GIZA METALIZOWANA</t>
  </si>
  <si>
    <t>ZAŚLEPKA DO PROFILU GIZA-LL</t>
  </si>
  <si>
    <t>Zaślepka do profilu GIZA-LL biała</t>
  </si>
  <si>
    <t>Pro000074</t>
  </si>
  <si>
    <t>ZAŚLEPKA DO PROFILU GIZA-LL CZARNA</t>
  </si>
  <si>
    <t>Zaślepka do profilu GLAZA-LL metalizowana</t>
  </si>
  <si>
    <t>Pro000146</t>
  </si>
  <si>
    <t>Zaślepka do profilu GLAZA-LL ral9005</t>
  </si>
  <si>
    <t>Pro000048</t>
  </si>
  <si>
    <t>ZAŚLEPKA DO PROFILU HR</t>
  </si>
  <si>
    <t>ZAŚLEPKA DO PROFILU HR LINE</t>
  </si>
  <si>
    <t>ZAŚLEPKA DO PROFILU HR LINE STN</t>
  </si>
  <si>
    <t>Zaślepka do profilu HR LINE z otworem</t>
  </si>
  <si>
    <t>ZAŚLEPKA DO PROFILU HR LINE ZEWNĘTRZNA</t>
  </si>
  <si>
    <t>Zaślepka do profilu HR z otworem</t>
  </si>
  <si>
    <t>ZAŚLEPKA DO PROFILU HR-MAX-STN</t>
  </si>
  <si>
    <t>KLU-ZAS-00009</t>
  </si>
  <si>
    <t>ZAŚLEPKA DO PROFILU HR-MAX-T-STN</t>
  </si>
  <si>
    <t>KLU-ZAS-00010</t>
  </si>
  <si>
    <t>ZAŚLEPKA DO PROFILU HR-MAX-TK-STN</t>
  </si>
  <si>
    <t>ZAŚLEPKA DO PROFILU HR-OPTI STN</t>
  </si>
  <si>
    <t>ZAŚLEPKA DO PROFILU IDOL</t>
  </si>
  <si>
    <t>ZAŚLEPKA DO PROFILU IKON</t>
  </si>
  <si>
    <t>ZAŚLEPKA DO PROFILU IMET LEWA</t>
  </si>
  <si>
    <t>ZAŚLEPKA DO PROFILU IMET PRAWA</t>
  </si>
  <si>
    <t>ZAŚLEPKA DO PROFILU INTER</t>
  </si>
  <si>
    <t>ZAŚLEPKA DO PROFILU JAZ</t>
  </si>
  <si>
    <t>ZAŚLEPKA DO PROFILU KIDES</t>
  </si>
  <si>
    <t>ZAŚLEPKA DO PROFILU KIDES DUO</t>
  </si>
  <si>
    <t>ZAŚLEPKA DO PROFILU KOPRO-30-L LEWA</t>
  </si>
  <si>
    <t>Zaślepka do profilu KOPRO-30-L lewa met</t>
  </si>
  <si>
    <t>ZAŚLEPKA DO PROFILU KOPRO-30-L PRAWA</t>
  </si>
  <si>
    <t>Zaślepka do profilu KOPRO-30-L prawa met</t>
  </si>
  <si>
    <t>ZAŚLEPKA DO PROFILU KOPRO-30-P LEWA</t>
  </si>
  <si>
    <t>Zaślepka do profilu KOPRO-30-P lewa metalizowana</t>
  </si>
  <si>
    <t>ZAŚLEPKA DO PROFILU KOPRO-30-P PRAWA</t>
  </si>
  <si>
    <t>Zaślepka do profilu KOPRO-30-P prawa metalizowana</t>
  </si>
  <si>
    <t>ZAŚLEPKA DO PROFILU KOPRO-K</t>
  </si>
  <si>
    <t>ZAŚLEPKA DO PROFILU KOPRO-K METALIZOWANA</t>
  </si>
  <si>
    <t>ZAŚLEPKA DO PROFILU KOPRO-L</t>
  </si>
  <si>
    <t>ZAŚLEPKA DO PROFILU KOPRO-L METALIZOWANA</t>
  </si>
  <si>
    <t>ZAŚLEPKA DO PROFILU KOPRO-P</t>
  </si>
  <si>
    <t>ZAŚLEPKA DO PROFILU KOZEL</t>
  </si>
  <si>
    <t>ZAŚLEPKA DO PROFILU KOZEL-50</t>
  </si>
  <si>
    <t>ZAŚLEPKA DO PROFILU KOZMA</t>
  </si>
  <si>
    <t>ZAŚLEPKA DO PROFILU KOZUS</t>
  </si>
  <si>
    <t>ZAŚLEPKA DO PROFILU KOZUS-50</t>
  </si>
  <si>
    <t>ZAŚLEPKA DO PROFILU KRAV-05IN</t>
  </si>
  <si>
    <t>ZAŚLEPKA DO PROFILU KRAV-56</t>
  </si>
  <si>
    <t>ZAŚLEPKA DO PROFILU KRAV-810</t>
  </si>
  <si>
    <t>ZAŚLEPKA DO PROFILU LARKO</t>
  </si>
  <si>
    <t>ZAŚLEPKA DO PROFILU LARKO BIAŁA</t>
  </si>
  <si>
    <t>PRO000065</t>
  </si>
  <si>
    <t>ZAŚLEPKA DO PROFILU LARKO METALIZOWANA</t>
  </si>
  <si>
    <t>Zaślepka do profilu led 45-16 szara</t>
  </si>
  <si>
    <t>Zaślepka do profilu led Glad-45 szara</t>
  </si>
  <si>
    <t>Zaślepka do profilu led Glad-45 szara z otworem</t>
  </si>
  <si>
    <t>Zaślepka do profilu led JAZ-DUO-N biała</t>
  </si>
  <si>
    <t>Pro000136</t>
  </si>
  <si>
    <t>Zaślepka do profilu led JAZ-DUO-N szara</t>
  </si>
  <si>
    <t>Zaślepka do profilu led JAZ-DUO-N-FI-6 5 szara</t>
  </si>
  <si>
    <t>KLU-AKC-00005</t>
  </si>
  <si>
    <t>Zaślepka do profilu led JAZ-DUO-N-OTW szara</t>
  </si>
  <si>
    <t>KLU-AKC-00006</t>
  </si>
  <si>
    <t>Zaślepka do profilu led JAZ-DUO-W biała</t>
  </si>
  <si>
    <t>Zaślepka do profilu led Larko-50 szara</t>
  </si>
  <si>
    <t>Zaślepka do profilu led Lesto szara</t>
  </si>
  <si>
    <t>Zaślepka do profilu led Lipod metalizowana</t>
  </si>
  <si>
    <t>Zaślepka do profilu led Lipod szara</t>
  </si>
  <si>
    <t>Zaślepka do profilu led Lit lewa</t>
  </si>
  <si>
    <t>Zaślepka do profilu led Lit prawa</t>
  </si>
  <si>
    <t>Zaślepka do profilu led Lokom czarna</t>
  </si>
  <si>
    <t>KLU-ZAS-00008</t>
  </si>
  <si>
    <t>Zaślepka do profilu led Lokom metalizowana</t>
  </si>
  <si>
    <t>Zaślepka do profilu led Lokom szara</t>
  </si>
  <si>
    <t>Zaślepka do profilu led Mdf-45</t>
  </si>
  <si>
    <t>Zaślepka do profilu led Mdf-45 z otworem</t>
  </si>
  <si>
    <t>Zaślepka do profilu led Mdf-Pac</t>
  </si>
  <si>
    <t>Zaślepka do profilu led Mdf-Pac z otworem</t>
  </si>
  <si>
    <t>Zaślepka do profilu led Mdf-Pds</t>
  </si>
  <si>
    <t>Zaślepka do profilu led Mdf-Pds z otworem</t>
  </si>
  <si>
    <t>Zaślepka do profilu led Mdf-Stos</t>
  </si>
  <si>
    <t>Zaślepka do profilu led Mdf-Stos z otworem</t>
  </si>
  <si>
    <t>Zaślepka do profilu led Micro biała</t>
  </si>
  <si>
    <t>Zaślepka do profilu led Micro biała MICRO-NK-OTW</t>
  </si>
  <si>
    <t>Pro000017</t>
  </si>
  <si>
    <t>Zaślepka do profilu led Micro biała z otworem</t>
  </si>
  <si>
    <t>Zaślepka do profilu led Micro czarna</t>
  </si>
  <si>
    <t>Zaślepka do profilu led Micro czarna z otworem</t>
  </si>
  <si>
    <t>Zaślepka do profilu led Micro M-K szara</t>
  </si>
  <si>
    <t>Zaślepka do profilu led Micro metalizowana</t>
  </si>
  <si>
    <t>Zaślepka do profilu led Micro szara</t>
  </si>
  <si>
    <t>Zaślepka do profilu led Micro szara MW z otworem</t>
  </si>
  <si>
    <t>Zaślepka do profilu led Micro szara z otworem</t>
  </si>
  <si>
    <t>Zaślepka do profilu led Micro-G czarna</t>
  </si>
  <si>
    <t>Zaślepka do profilu led Micro-G szara</t>
  </si>
  <si>
    <t>Zaślepka do profilu led Micro-H szara</t>
  </si>
  <si>
    <t>Zaślepka do profilu led Micro-K biala z otworem</t>
  </si>
  <si>
    <t>Zaślepka do profilu led Micro-K biała</t>
  </si>
  <si>
    <t>Zaślepka do profilu led Micro-K czarna</t>
  </si>
  <si>
    <t>Zaślepka do profilu led Micro-K metalizowana</t>
  </si>
  <si>
    <t>Zaślepka do profilu led Micro-K szara</t>
  </si>
  <si>
    <t>Zaślepka do profilu led Micro-K szara MW</t>
  </si>
  <si>
    <t>Zaślepka do profilu led Micro-K szara MW z otworem</t>
  </si>
  <si>
    <t>Zaślepka do profilu led Micro-K szara z otworem</t>
  </si>
  <si>
    <t>Zaślepka do profilu led Micro-LNK biała</t>
  </si>
  <si>
    <t>Pro000018</t>
  </si>
  <si>
    <t>Zaślepka do profilu led Micro-LNK szara</t>
  </si>
  <si>
    <t>Pro000139</t>
  </si>
  <si>
    <t>Zaślepka do profilu led MICRO-LNK-OTW biała</t>
  </si>
  <si>
    <t>Pro000019</t>
  </si>
  <si>
    <t>Zaślepka do profilu led Micro-LNK-OTW Lino</t>
  </si>
  <si>
    <t>Zaślepka do profilu led Micro-NK biała</t>
  </si>
  <si>
    <t>Pro000016</t>
  </si>
  <si>
    <t>Zaślepka do profilu led Micro-NK czarna</t>
  </si>
  <si>
    <t>KLU-ZAS-00003</t>
  </si>
  <si>
    <t>Zaślepka do profilu led Micro-NK czarna z otworem</t>
  </si>
  <si>
    <t>KLU-ZAS-00004</t>
  </si>
  <si>
    <t>Zaślepka do profilu led Micro-NK szara</t>
  </si>
  <si>
    <t>Pro000138</t>
  </si>
  <si>
    <t>Zaślepka do profilu led Micro-PLUS czarna</t>
  </si>
  <si>
    <t>Zaślepka do profilu led Micro-PLUS czarna z otworem</t>
  </si>
  <si>
    <t>Zaślepka do profilu led Micro-PLUS szara</t>
  </si>
  <si>
    <t>Zaślepka do profilu led Obit</t>
  </si>
  <si>
    <t>Zaślepka do profilu led Olek</t>
  </si>
  <si>
    <t>Zaślepka do profilu led Olek-Luk z otworem</t>
  </si>
  <si>
    <t>Zaślepka do profilu led Opac-30 szara</t>
  </si>
  <si>
    <t>Zaślepka do profilu led Opk-4 szara</t>
  </si>
  <si>
    <t>Zaślepka do profilu led Pac szara</t>
  </si>
  <si>
    <t>Zaślepka do profilu led Pds-Zm Pds-H</t>
  </si>
  <si>
    <t>Zaślepka do profilu led Pds4 biała</t>
  </si>
  <si>
    <t>Zaślepka do profilu led Pds4 biała z otworem</t>
  </si>
  <si>
    <t>Zaślepka do profilu led Pds4 metalizowana</t>
  </si>
  <si>
    <t>Zaślepka do profilu led Pds4 szara MW</t>
  </si>
  <si>
    <t>Zaślepka do profilu led Pds4 szara wyc</t>
  </si>
  <si>
    <t>Zaślepka do profilu led TAKO</t>
  </si>
  <si>
    <t>Zaślepka do profilu led TAMI</t>
  </si>
  <si>
    <t>Zaślepka do profilu led TAN-C5</t>
  </si>
  <si>
    <t>Zaślepka do profilu led TOST</t>
  </si>
  <si>
    <t>ZAŚLEPKA DO PROFILU LINO Z OTWOREM</t>
  </si>
  <si>
    <t>Zaślepka do profilu LIPOD biala</t>
  </si>
  <si>
    <t>Zaślepka do profilu LIPOD czarna</t>
  </si>
  <si>
    <t>ZAŚLEPKA DO PROFILU LIPOD-50</t>
  </si>
  <si>
    <t>ZAŚLEPKA DO PROFILU LIPOD-50 CZARNA</t>
  </si>
  <si>
    <t>ZAŚLEPKA DO PROFILU LOC-30 LEWA</t>
  </si>
  <si>
    <t>ZAŚLEPKA DO PROFILU LOC-30 PRAWA</t>
  </si>
  <si>
    <t>Zaślepka do profilu MICRO-NK metalizowan</t>
  </si>
  <si>
    <t>KAT00092</t>
  </si>
  <si>
    <t>Zaślepka do profilu MICRO-NK-OTW metalizowana</t>
  </si>
  <si>
    <t>KAT00093</t>
  </si>
  <si>
    <t>Zaślepka do profilu MOD-100 szara</t>
  </si>
  <si>
    <t>ZAŚLEPKA DO PROFILU MOD-50</t>
  </si>
  <si>
    <t>ZAŚLEPKA DO PROFILU MOD-50 CZARNA</t>
  </si>
  <si>
    <t>Pro000124</t>
  </si>
  <si>
    <t>ZAŚLEPKA DO PROFILU MULTI</t>
  </si>
  <si>
    <t>ZAŚLEPKA DO PROFILU NIBO</t>
  </si>
  <si>
    <t>ZAŚLEPKA DO PROFILU NISA - ONISA</t>
  </si>
  <si>
    <t>ZAŚLEPKA DO PROFILU OLEK CZARNA</t>
  </si>
  <si>
    <t>ZAŚLEPKA DO PROFILU OLEK LUK</t>
  </si>
  <si>
    <t>ZAŚLEPKA DO PROFILU OLEK LUK CZARNA</t>
  </si>
  <si>
    <t>ZAŚLEPKA DO PROFILU OMODO-50</t>
  </si>
  <si>
    <t>KLU-ZAS-00012</t>
  </si>
  <si>
    <t>ZAŚLEPKA DO PROFILU OPAC-30 METALIZOWANA</t>
  </si>
  <si>
    <t>ZAŚLEPKA DO PROFILU PDS-G SZARA</t>
  </si>
  <si>
    <t>ZAŚLEPKA DO PROFILU PDS-NK BIAŁA</t>
  </si>
  <si>
    <t>Pro000121</t>
  </si>
  <si>
    <t>Zaślepka do profilu PDS-NK biała z otw.</t>
  </si>
  <si>
    <t>Pro000090</t>
  </si>
  <si>
    <t>ZAŚLEPKA DO PROFILU PDS-NK CZARNA</t>
  </si>
  <si>
    <t>ZAŚLEPKA DO PROFILU PDS-NK SZARA</t>
  </si>
  <si>
    <t>ZAŚLEPKA DO PROFILU PDS-O</t>
  </si>
  <si>
    <t>ZAŚLEPKA DO PROFILU PDS-O METALIZOWANA</t>
  </si>
  <si>
    <t>ZAŚLEPKA DO PROFILU PDS-O MW</t>
  </si>
  <si>
    <t>Zaślepka do profilu PDS-O szara z ortwor em MW</t>
  </si>
  <si>
    <t>Zaślepka do profilu PDS-O szara z otwore m</t>
  </si>
  <si>
    <t>ZAŚLEPKA DO PROFILU PDS-O-LUK</t>
  </si>
  <si>
    <t>Zaślepka do profilu Pds-ZM-Plus czarna</t>
  </si>
  <si>
    <t>KLU-ZAS-00002</t>
  </si>
  <si>
    <t>Zaślepka do profilu Pds-ZM-Plus szara</t>
  </si>
  <si>
    <t>Zaślepka do profilu Pds-ZMG czarna</t>
  </si>
  <si>
    <t>ZAŚLEPKA DO PROFILU PDS4 CZARNA</t>
  </si>
  <si>
    <t>Zaślepka do profilu PDS4 szara z otworem MW</t>
  </si>
  <si>
    <t>ZAŚLEPKA DO PROFILU PDS4 SZARA Z OTWOREM wyc</t>
  </si>
  <si>
    <t>Zaślepka do profilu PDS4 z otworem</t>
  </si>
  <si>
    <t>ZAŚLEPKA DO PROFILU PDS4-K BIAŁA</t>
  </si>
  <si>
    <t>Zaślepka do profilu PDS4-K biała z otwor em</t>
  </si>
  <si>
    <t>ZAŚLEPKA DO PROFILU PDS4-K BIAŁA Z OTWOR EM MW</t>
  </si>
  <si>
    <t>ZAŚLEPKA DO PROFILU PDS4-K CZARNA</t>
  </si>
  <si>
    <t>ZAŚLEPKA DO PROFILU PDS4-K CZARNA Z OTWO REM</t>
  </si>
  <si>
    <t>ZAŚLEPKA DO PROFILU PDS4-K METALIZOWANA</t>
  </si>
  <si>
    <t>ZAŚLEPKA DO PROFILU PDS4-K SZARA</t>
  </si>
  <si>
    <t>ZAŚLEPKA DO PROFILU PDS4-K SZARA MW</t>
  </si>
  <si>
    <t>Zaślepka do profilu PDS4-K szara z otwor em</t>
  </si>
  <si>
    <t>Zaślepka do profilu PDS4-K szara z otwor em MW</t>
  </si>
  <si>
    <t>Zaślepka do profilu Pds4-Plus biała</t>
  </si>
  <si>
    <t>Pro000071</t>
  </si>
  <si>
    <t>Zaślepka do profilu Pds4-Plus czarna</t>
  </si>
  <si>
    <t>Zaślepka do profilu Pds4-Plus szara</t>
  </si>
  <si>
    <t>ZAŚLEPKA DO PROFILU PIKO</t>
  </si>
  <si>
    <t>ZAŚLEPKA DO PROFILU PIKO-O CZARNA</t>
  </si>
  <si>
    <t>ZAŚLEPKA DO PROFILU PIKO-O SZARA</t>
  </si>
  <si>
    <t>ZAŚLEPKA DO PROFILU PIKO-ZM</t>
  </si>
  <si>
    <t>ZAŚLEPKA DO PROFILU PIKO-ZM-OTW</t>
  </si>
  <si>
    <t>ZAŚLEPKA DO PROFILU POLI</t>
  </si>
  <si>
    <t>ZAŚLEPKA DO PROFILU POR</t>
  </si>
  <si>
    <t>ZAŚLEPKA DO PROFILU POR-OTW</t>
  </si>
  <si>
    <t>ZAŚLEPKA DO PROFILU PULA-L</t>
  </si>
  <si>
    <t>ZAŚLEPKA DO PROFILU PULA-P</t>
  </si>
  <si>
    <t>Zaślepka do profilu RAM-3035-TEZE szara</t>
  </si>
  <si>
    <t>ZAŚLEPKA DO PROFILU RAM-KOZE-100 SZARA</t>
  </si>
  <si>
    <t>KLU-ZAS-00007</t>
  </si>
  <si>
    <t>ZAŚLEPKA DO PROFILU RAM-TEZE-50 SZARA</t>
  </si>
  <si>
    <t>ZAŚLEPKA DO PROFILU REGULOR</t>
  </si>
  <si>
    <t>Zaślepka do profilu REGULOR z otworem</t>
  </si>
  <si>
    <t>ZAŚLEPKA DO PROFILU SEKODU</t>
  </si>
  <si>
    <t>Zaślepka do profilu SEKODU metalizowana kpl.</t>
  </si>
  <si>
    <t>ZAŚLEPKA DO PROFILU SEKOMA</t>
  </si>
  <si>
    <t>Zaślepka do profilu SEKOMA metalizowana kpl.</t>
  </si>
  <si>
    <t>Zaślepka do profilu SEPOD metalizowana kpl.</t>
  </si>
  <si>
    <t>Zaślepka do profilu SILER</t>
  </si>
  <si>
    <t>Zaślepka do profilu SILER biała</t>
  </si>
  <si>
    <t>KLU-ZAS-00011</t>
  </si>
  <si>
    <t>Zaślepka do profilu SILER czarna</t>
  </si>
  <si>
    <t>ZAŚLEPKA DO PROFILU STEKO LEWA</t>
  </si>
  <si>
    <t>ZAŚLEPKA DO PROFILU STEKO PRAWA</t>
  </si>
  <si>
    <t>ZAŚLEPKA DO PROFILU STEKO-90</t>
  </si>
  <si>
    <t>ZAŚLEPKA DO PROFILU STEP 90 NAROŻNIKOWA</t>
  </si>
  <si>
    <t>ZAŚLEPKA DO PROFILU STEP LEWA</t>
  </si>
  <si>
    <t>ZAŚLEPKA DO PROFILU STEP LEWA CZARNA</t>
  </si>
  <si>
    <t>ZAŚLEPKA DO PROFILU STEP PRAWA</t>
  </si>
  <si>
    <t>ZAŚLEPKA DO PROFILU STEP PRAWA CZARNA</t>
  </si>
  <si>
    <t>ZAŚLEPKA DO PROFILU STEPUS LEWA</t>
  </si>
  <si>
    <t>ZAŚLEPKA DO PROFILU STEPUS PRAWA</t>
  </si>
  <si>
    <t>ZAŚLEPKA DO PROFILU STOS METALIZOWANA</t>
  </si>
  <si>
    <t>ZAŚLEPKA DO PROFILU STOS SZARA</t>
  </si>
  <si>
    <t>ZAŚLEPKA DO PROFILU TE-4</t>
  </si>
  <si>
    <t>ZAŚLEPKA DO PROFILU TEKNIK</t>
  </si>
  <si>
    <t>ZAŚLEPKA DO PROFILU TEKNIK ZM</t>
  </si>
  <si>
    <t>ZAŚLEPKA DO PROFILU TEKUS-ZM SZARA</t>
  </si>
  <si>
    <t>ZAŚLEPKA DO PROFILU TEPIKO</t>
  </si>
  <si>
    <t>ZAŚLEPKA DO PROFILU TESE</t>
  </si>
  <si>
    <t>ZAŚLEPKA DO PROFILU TESPO METALIZOWANA</t>
  </si>
  <si>
    <t>ZAŚLEPKA DO PROFILU TEST-36</t>
  </si>
  <si>
    <t>ZAŚLEPKA DO PROFILU TEST-36 METALIZOWANA</t>
  </si>
  <si>
    <t>ZAŚLEPKA DO PROFILU TEST-74</t>
  </si>
  <si>
    <t>ZAŚLEPKA DO PROFILU TEST-74 METALIZOWANA</t>
  </si>
  <si>
    <t>ZAŚLEPKA DO PROFILU TETRA-43</t>
  </si>
  <si>
    <t>Zaślepka do profilu TETRA-43 metalizowan</t>
  </si>
  <si>
    <t>ZAŚLEPKA DO PROFILU TETRA-78</t>
  </si>
  <si>
    <t>ZAŚLEPKA DO PROFILU TETRA-78 METALIZOWAN A</t>
  </si>
  <si>
    <t>ZAŚLEPKA DO PROFILU TPK-4</t>
  </si>
  <si>
    <t>ZAŚLEPKA DO PROFILU TRIADA</t>
  </si>
  <si>
    <t>ZAŚLEPKA DO PROFILU TRIADA METALIZOWANA</t>
  </si>
  <si>
    <t>ZAŚLEPKA DO PROFILU TRIADA-K</t>
  </si>
  <si>
    <t>ZAŚLEPKA DO PROFILU WERKIN LEWA</t>
  </si>
  <si>
    <t>ZAŚLEPKA DO PROFILU WERKIN PRAWA</t>
  </si>
  <si>
    <t>ZAŚLEPKA KOMPENSA-K DO OSŁONY G-K</t>
  </si>
  <si>
    <t>ZAŚLEPKA KOMPENSA-K DO OSŁONY G-K CZARNA</t>
  </si>
  <si>
    <t>Pro000092</t>
  </si>
  <si>
    <t>ZAŚLEPKA KOMPENSA-L DO OSŁONY G-L</t>
  </si>
  <si>
    <t>Zaślepka prądowa do profilu led MICRO</t>
  </si>
  <si>
    <t>Zaślepka prądowa do profilu led Micro M3</t>
  </si>
  <si>
    <t>ZAŚLEPKA PRĄDOWA DO PROFILU OLEK</t>
  </si>
  <si>
    <t>ZAŚLEPKA PRĄDOWA DO PROFILU OLEK-LUK</t>
  </si>
  <si>
    <t>ZAŚLEPKA PRĄDOWA DO PROFILU PDS-O</t>
  </si>
  <si>
    <t>ZAŚLEPKA PRĄDOWA DO PROFILU PDS-O-LUK</t>
  </si>
  <si>
    <t>ZAŚLEPKA PRĄDOWA DO PROFILU PDS4</t>
  </si>
  <si>
    <t>ZAŚLEPKA PRĄDOWA DO PROFILU PIKO-O</t>
  </si>
  <si>
    <t>Zaślepka przewodnikowa do profilu led JAZ-DUO-N biała</t>
  </si>
  <si>
    <t>Pro000099</t>
  </si>
  <si>
    <t>Zaślepka przewodnikowa do profilu led JAZ-DUO-N szara</t>
  </si>
  <si>
    <t>KLU-AKC-00017</t>
  </si>
  <si>
    <t>Zaślepka przewodnikowa do profilu led JAZ-DUO-W SZARA</t>
  </si>
  <si>
    <t>ZAŚLEPKA PRZEWODNIKOWA PATYK</t>
  </si>
  <si>
    <t>KLU-ZAS-00001</t>
  </si>
  <si>
    <t>Zatrzask do profilu led kulkowy</t>
  </si>
  <si>
    <t>KLU-AKC-00018</t>
  </si>
  <si>
    <t>Zatrzask do profilu led Por</t>
  </si>
  <si>
    <t>Zatrzask do profilu led Por-PLUS</t>
  </si>
  <si>
    <t>Zatrzask do profilu led Teknik</t>
  </si>
  <si>
    <t>Zawieszka do drewna i płyt na linkę z maskownicą PUSZ-SUF-49</t>
  </si>
  <si>
    <t>Zawieszka do muru wzdłużna z maskownicą W-M-Z-49</t>
  </si>
  <si>
    <t>Zawieszka do profilu DP</t>
  </si>
  <si>
    <t>Zawieszka do profilu Głowica BZP</t>
  </si>
  <si>
    <t>Zawieszka do profilu Głowica BZP-ZO</t>
  </si>
  <si>
    <t>Zawieszka do profilu na linkę czarna FI-8-LIN-ZM</t>
  </si>
  <si>
    <t>Zawieszka do profilu na linkę czarna PUSZ-LIN-ZD</t>
  </si>
  <si>
    <t>Zawieszka do profilu na linkę czarna z maskownicą PUSZ-SUF</t>
  </si>
  <si>
    <t>Zawieszka do profilu na linkę lub pręt DP</t>
  </si>
  <si>
    <t>Zawieszka do profilu na linkę lub pręt FI-10-ZM-W</t>
  </si>
  <si>
    <t>Zawieszka do profilu na linkę PUSZ-LIN-LEB</t>
  </si>
  <si>
    <t>Zawieszka do profilu na linkę PUSZ-LIN-MR</t>
  </si>
  <si>
    <t>Zawieszka do profilu na linkę PUSZ-LIN-ZD</t>
  </si>
  <si>
    <t>Zawieszka do profilu na linkę PUSZ-LIN-ZM</t>
  </si>
  <si>
    <t>Zawieszka do profilu na pręt PUSZ-PRET-LEB</t>
  </si>
  <si>
    <t>Zawieszka do profilu na pręt PUSZ-PRET-MR</t>
  </si>
  <si>
    <t>Zawieszka do profilu na pręt PUSZ-PRET-ZM</t>
  </si>
  <si>
    <t>Zawieszka do profilu PDS-O DP-PDS-O</t>
  </si>
  <si>
    <t>Zawieszka do profilu Pds-O DP-ZO-PDS-O</t>
  </si>
  <si>
    <t>Zawieszka do profilu Ucho czarna UCHO-ZM</t>
  </si>
  <si>
    <t>Zawieszka do profilu Ucho srebrna UCHO-ZM</t>
  </si>
  <si>
    <t>Zawieszka do profilu z uchwytem DP-45-MOC</t>
  </si>
  <si>
    <t>Zawieszka do profilu z uchwytem DP-45-MOC-ZO</t>
  </si>
  <si>
    <t>Zawieszka do profilu z uchwytem DP-MOC</t>
  </si>
  <si>
    <t>Zawieszka prądowa do drewna poprzeczna P-B-Z</t>
  </si>
  <si>
    <t>Zawieszka prądowa do drewna wzdłużna W-B-Z</t>
  </si>
  <si>
    <t>Zawieszka prądowa do muru wzdłużna z maskownicą W-M-Z</t>
  </si>
  <si>
    <t>Zawieszka prądowa do płyt GK na linkę FI-8-LIN-Z</t>
  </si>
  <si>
    <t>OSP000166</t>
  </si>
  <si>
    <t>Zawieszka prądowa do płyt GK poprzeczna P-KG-Z</t>
  </si>
  <si>
    <t>Zawieszka prądowa do płyt GK poprzeczna z maskownicą P-KG</t>
  </si>
  <si>
    <t>Zawieszka prądowa do płyt GK wzdłużna W-KG-Z</t>
  </si>
  <si>
    <t>Zawieszka prądowa do płyt GK wzdłużna z maskownicą W-KG</t>
  </si>
  <si>
    <t>Zawieszka prądowa do płyt GK wzdłużna z maskownicą W-KG-Z-49</t>
  </si>
  <si>
    <t>Zawieszka prądowa do profilu PDS-O DP-ZZ-PDS-O</t>
  </si>
  <si>
    <t>Zawieszka prądowa do profilu poprzeczna P-BOX-Z</t>
  </si>
  <si>
    <t>Zawieszka prądowa do profilu wzdłużna DP-ZO</t>
  </si>
  <si>
    <t>Zawieszka prądowa do profilu wzdłużna DP-ZZ</t>
  </si>
  <si>
    <t>Zawieszka prądowa do profilu wzdłużna FI-8-LIN-ZMZ</t>
  </si>
  <si>
    <t>OSP000165</t>
  </si>
  <si>
    <t>Zawieszka prądowa do profilu wzdłużna W-BOX-Z</t>
  </si>
  <si>
    <t>Zawieszka prądowa do profilu z uchwytem DP-45-MOC-ZO</t>
  </si>
  <si>
    <t>KLU-AKC-00016</t>
  </si>
  <si>
    <t>Zawieszka prądowa do profilu z uchwytem DP-45-MOC-ZZ</t>
  </si>
  <si>
    <t>Zawieszka prądowa do profilu z uchwytem DP-MOC-ZO</t>
  </si>
  <si>
    <t>Zawieszka prądowa do profilu z uchwytem DP-MOC-ZZ</t>
  </si>
  <si>
    <t>Zawieszka prądowa do profilu zewnętrzna poprzeczna BZP-ZZ</t>
  </si>
  <si>
    <t>Zawieszka sufitowa na linkę czarna PUSZ-SUF</t>
  </si>
  <si>
    <t>Zawieszka sufitowa na linkę PUSZ-SUF</t>
  </si>
  <si>
    <t>Zestaw mocowań M11 Kluś</t>
  </si>
  <si>
    <t>Zestaw mocowań M12 Kluś</t>
  </si>
  <si>
    <t>Zestaw mocowań M13 Kluś</t>
  </si>
  <si>
    <t>Zestaw mocowań M14 Kluś</t>
  </si>
  <si>
    <t>Zestaw mocowań M15 Kluś</t>
  </si>
  <si>
    <t>Zestaw mocowań RD-1 czarny Kluś</t>
  </si>
  <si>
    <t>KLU-AKC-00015</t>
  </si>
  <si>
    <t>Zestaw mocowań RD-1 srebrny fastener Kluś</t>
  </si>
  <si>
    <t>Zestaw mocowań RD-1 srebrny Kluś</t>
  </si>
  <si>
    <t>KLU-AKC-00004</t>
  </si>
  <si>
    <t>Zestaw mocowań RD-4 czarny Klus</t>
  </si>
  <si>
    <t>Zestaw mocowań RG-1 czarny Kluś</t>
  </si>
  <si>
    <t>Zestaw mocowań RG-1 srebrny Kluś</t>
  </si>
  <si>
    <t>KLU-AKC-00023</t>
  </si>
  <si>
    <t>Zestaw mocowań W1 Kluś</t>
  </si>
  <si>
    <t>Zestaw mocowań W10 Kluś</t>
  </si>
  <si>
    <t>Zestaw mocowań W2 Kluś</t>
  </si>
  <si>
    <t>Zestaw mocowań W5 Kluś</t>
  </si>
  <si>
    <t>Zestaw mocowań W7 Kluś</t>
  </si>
  <si>
    <t>Nazwa cała</t>
  </si>
  <si>
    <t>R</t>
  </si>
  <si>
    <t>Cena sprzedaży netto</t>
  </si>
  <si>
    <t>Indeks handlowy</t>
  </si>
  <si>
    <t>Kod kreskowy</t>
  </si>
  <si>
    <t>Indeks producenta</t>
  </si>
  <si>
    <t>Cena hurt Klus</t>
  </si>
  <si>
    <t>Detal netto</t>
  </si>
  <si>
    <t>Hurt netto</t>
  </si>
  <si>
    <t>PRESCOT WFMAG</t>
  </si>
  <si>
    <t>PRESCOT</t>
  </si>
  <si>
    <t>Profil</t>
  </si>
  <si>
    <t>Osłona</t>
  </si>
  <si>
    <t>Towar</t>
  </si>
  <si>
    <t>27,30</t>
  </si>
  <si>
    <t>5903684850167</t>
  </si>
  <si>
    <t>21,50</t>
  </si>
  <si>
    <t>5901885267586</t>
  </si>
  <si>
    <t>30,95</t>
  </si>
  <si>
    <t>5905475360442</t>
  </si>
  <si>
    <t>24,50</t>
  </si>
  <si>
    <t>5903684850174</t>
  </si>
  <si>
    <t>18,80</t>
  </si>
  <si>
    <t>5903684850181</t>
  </si>
  <si>
    <t>35,00</t>
  </si>
  <si>
    <t>5903684850198</t>
  </si>
  <si>
    <t>Produkt</t>
  </si>
  <si>
    <t>30,00</t>
  </si>
  <si>
    <t>5901885267357</t>
  </si>
  <si>
    <t>61,90</t>
  </si>
  <si>
    <t>5905475360459</t>
  </si>
  <si>
    <t>49,00</t>
  </si>
  <si>
    <t>5903684850204</t>
  </si>
  <si>
    <t>37,60</t>
  </si>
  <si>
    <t>5901885267364</t>
  </si>
  <si>
    <t>73,50</t>
  </si>
  <si>
    <t>5903684850211</t>
  </si>
  <si>
    <t>56,40</t>
  </si>
  <si>
    <t>5901885267593</t>
  </si>
  <si>
    <t>92,85</t>
  </si>
  <si>
    <t>5905475360466</t>
  </si>
  <si>
    <t>5903684850228</t>
  </si>
  <si>
    <t>5903684850235</t>
  </si>
  <si>
    <t>33,25</t>
  </si>
  <si>
    <t>5902596558376</t>
  </si>
  <si>
    <t>24,75</t>
  </si>
  <si>
    <t>5901885266121</t>
  </si>
  <si>
    <t>5903684850280</t>
  </si>
  <si>
    <t>5903684850303</t>
  </si>
  <si>
    <t>5903684850266</t>
  </si>
  <si>
    <t>0,00</t>
  </si>
  <si>
    <t>45-ALU-ML-1M-A-CZ</t>
  </si>
  <si>
    <t>5903684850259</t>
  </si>
  <si>
    <t>30,45</t>
  </si>
  <si>
    <t>5903684850242</t>
  </si>
  <si>
    <t>5901885266114</t>
  </si>
  <si>
    <t>5901885269757</t>
  </si>
  <si>
    <t>29,80</t>
  </si>
  <si>
    <t>5903684850297</t>
  </si>
  <si>
    <t>66,50</t>
  </si>
  <si>
    <t>5902596558383</t>
  </si>
  <si>
    <t>55,10</t>
  </si>
  <si>
    <t>5901885266022</t>
  </si>
  <si>
    <t>5905475360473</t>
  </si>
  <si>
    <t>5901885265797</t>
  </si>
  <si>
    <t>5905475360480</t>
  </si>
  <si>
    <t>92,50</t>
  </si>
  <si>
    <t>5903684850426</t>
  </si>
  <si>
    <t>45-ALU-ML-2M-A-CZ</t>
  </si>
  <si>
    <t>5905475360497</t>
  </si>
  <si>
    <t>60,90</t>
  </si>
  <si>
    <t>5901885266107</t>
  </si>
  <si>
    <t>49,50</t>
  </si>
  <si>
    <t>5901885266039</t>
  </si>
  <si>
    <t>5905475360510</t>
  </si>
  <si>
    <t>5901885269764</t>
  </si>
  <si>
    <t>99,75</t>
  </si>
  <si>
    <t>5905475360527</t>
  </si>
  <si>
    <t>82,65</t>
  </si>
  <si>
    <t>45-ALU-MLC-3M-A</t>
  </si>
  <si>
    <t>5903684853069</t>
  </si>
  <si>
    <t>5905475360534</t>
  </si>
  <si>
    <t>45-ALU-CLC-3M-A</t>
  </si>
  <si>
    <t>5903684853076</t>
  </si>
  <si>
    <t>91,35</t>
  </si>
  <si>
    <t>5905475360541</t>
  </si>
  <si>
    <t>74,25</t>
  </si>
  <si>
    <t>45-ALU-MLC-3M</t>
  </si>
  <si>
    <t>5903684853083</t>
  </si>
  <si>
    <t>5905475360558</t>
  </si>
  <si>
    <t>45-ALU-CLC-3M</t>
  </si>
  <si>
    <t>5903684853090</t>
  </si>
  <si>
    <t>Profil led GIZA 1m anodowany z osłoną mleczną HS22</t>
  </si>
  <si>
    <t>40,55</t>
  </si>
  <si>
    <t>5905475360565</t>
  </si>
  <si>
    <t>Profil led GIZA 1m anodowany z osłoną przeźroczystą HS22</t>
  </si>
  <si>
    <t>5905475360572</t>
  </si>
  <si>
    <t>Profil led GIZA 2m anodowany z osłoną mleczną HS22</t>
  </si>
  <si>
    <t>81,10</t>
  </si>
  <si>
    <t>5905475360589</t>
  </si>
  <si>
    <t>Profil led GIZA 2m anodowany z osłoną przeźroczystą HS22</t>
  </si>
  <si>
    <t>5905475360596</t>
  </si>
  <si>
    <t>Profil led GIZA 3m anodowany z osłoną mleczną HS22</t>
  </si>
  <si>
    <t>121,65</t>
  </si>
  <si>
    <t>5905475360602</t>
  </si>
  <si>
    <t>5905475360619</t>
  </si>
  <si>
    <t>Profil led Glad-45 1m anodowany z osłoną mleczną KA-COM</t>
  </si>
  <si>
    <t>32,65</t>
  </si>
  <si>
    <t>45-GLAD-MLC-1M-A</t>
  </si>
  <si>
    <t>5903684850433</t>
  </si>
  <si>
    <t>Profil led Glad-45 2m anodowany z osłoną mleczną KA-COM</t>
  </si>
  <si>
    <t>65,30</t>
  </si>
  <si>
    <t>45-GLAD-MLC-2M-A</t>
  </si>
  <si>
    <t>5903684850440</t>
  </si>
  <si>
    <t>Profil led Glad-45 3m anodowany z osłoną mleczną KA-COM</t>
  </si>
  <si>
    <t>97,95</t>
  </si>
  <si>
    <t>45-GLAD-MLC-3M-A</t>
  </si>
  <si>
    <t>5903684850457</t>
  </si>
  <si>
    <t>35,15</t>
  </si>
  <si>
    <t>5901885269788</t>
  </si>
  <si>
    <t>33,30</t>
  </si>
  <si>
    <t>5901885269771</t>
  </si>
  <si>
    <t>78,00</t>
  </si>
  <si>
    <t>5901885269801</t>
  </si>
  <si>
    <t>5901885269795</t>
  </si>
  <si>
    <t>116,90</t>
  </si>
  <si>
    <t>5901885269825</t>
  </si>
  <si>
    <t>99,80</t>
  </si>
  <si>
    <t>5901885269818</t>
  </si>
  <si>
    <t>Profil led IDOL 1m anodowany z przesłoną mleczną</t>
  </si>
  <si>
    <t>131,80</t>
  </si>
  <si>
    <t>5903684852833</t>
  </si>
  <si>
    <t>Profil led IDOL 2m anodowany z przesłoną mleczną</t>
  </si>
  <si>
    <t>263,60</t>
  </si>
  <si>
    <t>5903684852840</t>
  </si>
  <si>
    <t>Profil led IDOL 3m anodowany z przesłoną mleczną</t>
  </si>
  <si>
    <t>395,40</t>
  </si>
  <si>
    <t>5903684852857</t>
  </si>
  <si>
    <t>Profil led IKON 1m anodowany z przesłoną mleczną</t>
  </si>
  <si>
    <t>129,65</t>
  </si>
  <si>
    <t>5903684852864</t>
  </si>
  <si>
    <t>Profil led IKON 2m anodowany z przesłoną mleczną</t>
  </si>
  <si>
    <t>258,70</t>
  </si>
  <si>
    <t>5903684852871</t>
  </si>
  <si>
    <t>Profil led IKON 3m anodowany z przesłoną mleczną</t>
  </si>
  <si>
    <t>388,95</t>
  </si>
  <si>
    <t>5903684852888</t>
  </si>
  <si>
    <t>Profil led IMET 1m anodowany z przesłoną mleczną</t>
  </si>
  <si>
    <t>129,45</t>
  </si>
  <si>
    <t>5903684852895</t>
  </si>
  <si>
    <t>Profil led IMET 2m anodowany z przesłoną mleczną</t>
  </si>
  <si>
    <t>258,90</t>
  </si>
  <si>
    <t>5903684852901</t>
  </si>
  <si>
    <t>Profil led IMET 3m anodowany z przesłoną mleczną</t>
  </si>
  <si>
    <t>388,35</t>
  </si>
  <si>
    <t>5903684852918</t>
  </si>
  <si>
    <t>Profil led INTER 1m anodowany z przesłoną mleczną</t>
  </si>
  <si>
    <t>120,80</t>
  </si>
  <si>
    <t>5903684854479</t>
  </si>
  <si>
    <t>Profil led INTER 2m anodowany z przesłoną mleczną</t>
  </si>
  <si>
    <t>241,66</t>
  </si>
  <si>
    <t>5903684854486</t>
  </si>
  <si>
    <t>Profil led INTER 3m anodowany z przesłon ą mleczną</t>
  </si>
  <si>
    <t>362,40</t>
  </si>
  <si>
    <t>5903684853175</t>
  </si>
  <si>
    <t>Profil led JAZ 1m anodowany z przesłoną mleczną</t>
  </si>
  <si>
    <t>46,10</t>
  </si>
  <si>
    <t>5903684853380</t>
  </si>
  <si>
    <t>Profil led JAZ 2m anodowany z przesłoną mleczną</t>
  </si>
  <si>
    <t>92,20</t>
  </si>
  <si>
    <t>5903684854493</t>
  </si>
  <si>
    <t>Profil led KOPRO-K 1m anodowany z przesł oną mleczną</t>
  </si>
  <si>
    <t>79,05</t>
  </si>
  <si>
    <t>5903684852925</t>
  </si>
  <si>
    <t>Profil led KOPRO-K 2m anodowany z przesł oną mleczną</t>
  </si>
  <si>
    <t>158,10</t>
  </si>
  <si>
    <t>5903684852932</t>
  </si>
  <si>
    <t>Profil led KOPRO-L 1m anodowany z przesł oną mleczną</t>
  </si>
  <si>
    <t>69,15</t>
  </si>
  <si>
    <t>5903684852949</t>
  </si>
  <si>
    <t>Profil led KOPRO-L 2m anodowany z przesł oną mleczną</t>
  </si>
  <si>
    <t>138,30</t>
  </si>
  <si>
    <t>5903684852956</t>
  </si>
  <si>
    <t>Profil led KOPRO-P 1m anodowany z przesł oną mleczną</t>
  </si>
  <si>
    <t>65,40</t>
  </si>
  <si>
    <t>5903684852963</t>
  </si>
  <si>
    <t>Profil led KOPRO-P 2m anodowany z przesł oną mleczną</t>
  </si>
  <si>
    <t>130,80</t>
  </si>
  <si>
    <t>5903684852970</t>
  </si>
  <si>
    <t>Profil led Kozel 1m z osłoną mleczną HS22</t>
  </si>
  <si>
    <t>53,05</t>
  </si>
  <si>
    <t>5903684854523</t>
  </si>
  <si>
    <t>Profil led Kozel 2m z osłoną mleczną HS22</t>
  </si>
  <si>
    <t>106,10</t>
  </si>
  <si>
    <t>5903684854516</t>
  </si>
  <si>
    <t>Profil led Kozel 3m z osłoną mleczną HS22</t>
  </si>
  <si>
    <t>159,15</t>
  </si>
  <si>
    <t>5903684854530</t>
  </si>
  <si>
    <t>Profil led Kozus 1m z osłoną mleczną HS22</t>
  </si>
  <si>
    <t>49,40</t>
  </si>
  <si>
    <t>5903684854547</t>
  </si>
  <si>
    <t>Profil led Kozus 2m z osłoną mleczną HS22</t>
  </si>
  <si>
    <t>98,80</t>
  </si>
  <si>
    <t>5901885268699</t>
  </si>
  <si>
    <t>Profil led Kozus 3m z osłoną mleczną HS22</t>
  </si>
  <si>
    <t>148,20</t>
  </si>
  <si>
    <t>5903684854554</t>
  </si>
  <si>
    <t>Profil led Kubik 1m anodowany z osłoną mleczną KA</t>
  </si>
  <si>
    <t>39,20</t>
  </si>
  <si>
    <t>5905475360626</t>
  </si>
  <si>
    <t>24,52</t>
  </si>
  <si>
    <t>5903684854561</t>
  </si>
  <si>
    <t>Profil led Kubik 2m anodowany z osłoną mleczną KA</t>
  </si>
  <si>
    <t>78,40</t>
  </si>
  <si>
    <t>5905475360633</t>
  </si>
  <si>
    <t>Profil led Kubik 2m anodowany z osłoną mleczną KA-COM</t>
  </si>
  <si>
    <t>Materiał</t>
  </si>
  <si>
    <t>49,04</t>
  </si>
  <si>
    <t>5903684854578</t>
  </si>
  <si>
    <t>Profil led Kubik 3m anodowany z osłoną mleczną KA</t>
  </si>
  <si>
    <t>117,55</t>
  </si>
  <si>
    <t>5905475360640</t>
  </si>
  <si>
    <t>Profil led Kubik 3m anodowany z osłoną mleczną KA-COM</t>
  </si>
  <si>
    <t>73,56</t>
  </si>
  <si>
    <t>5903684854585</t>
  </si>
  <si>
    <t>Profil led LARKO 1m anodowany z przesłon ą mleczną HS22</t>
  </si>
  <si>
    <t>63,95</t>
  </si>
  <si>
    <t>5903684854592</t>
  </si>
  <si>
    <t>PROFIL LED LARKO 1m PRZEŹROCZYSTA ANODOW ANY HS22</t>
  </si>
  <si>
    <t>5905475360657</t>
  </si>
  <si>
    <t>Profil led LARKO 2m anodowany z przesłon ą mleczną HS22</t>
  </si>
  <si>
    <t>127,90</t>
  </si>
  <si>
    <t>5903684854608</t>
  </si>
  <si>
    <t>Profil led LARKO 2m anodowany z przesłoną przeźroczystą HS22</t>
  </si>
  <si>
    <t>5903684850914</t>
  </si>
  <si>
    <t>Profil led LARKO 3m anodowany z przesłon ą mleczną HS22</t>
  </si>
  <si>
    <t>191,85</t>
  </si>
  <si>
    <t>5903684854615</t>
  </si>
  <si>
    <t>Profil led LIPOD 1m anodowany czarny z p rzesłoną mleczną HS22</t>
  </si>
  <si>
    <t>118,77</t>
  </si>
  <si>
    <t>LIPOD-ALU-ML-1M-A-CZ</t>
  </si>
  <si>
    <t>5903684854622</t>
  </si>
  <si>
    <t>Profil led LIPOD 1m anodowany z przesłon ą mleczną HS22</t>
  </si>
  <si>
    <t>56,05</t>
  </si>
  <si>
    <t>5903684853397</t>
  </si>
  <si>
    <t>PROFIL LED LIPOD 1m PRZEŹROCZYSTA ANODOW ANY HS22</t>
  </si>
  <si>
    <t>5905475360664</t>
  </si>
  <si>
    <t>Profil led LIPOD 2m anodowany z przesłon ą mleczną HS22</t>
  </si>
  <si>
    <t>112,10</t>
  </si>
  <si>
    <t>5903684854639</t>
  </si>
  <si>
    <t>PROFIL LED LIPOD 2m PRZEŹROCZYSTA ANODOW ANY HS22</t>
  </si>
  <si>
    <t>5905475360671</t>
  </si>
  <si>
    <t>PROFIL LED LIPOD 3m MLECZNA ANODOWANY HS 22</t>
  </si>
  <si>
    <t>168,15</t>
  </si>
  <si>
    <t>5905475360688</t>
  </si>
  <si>
    <t>PROFIL LED LIPOD 3m MLECZNA ANODOWANY LI GER22</t>
  </si>
  <si>
    <t>190,35</t>
  </si>
  <si>
    <t>LIPOD-ALU-LIGER-3M</t>
  </si>
  <si>
    <t>Profil led LOC-30 1m anodowany z przesło ną przeźroczystą HS22</t>
  </si>
  <si>
    <t>69,60</t>
  </si>
  <si>
    <t>LOC-30-ALU-CL-1M-A</t>
  </si>
  <si>
    <t>5903684853410</t>
  </si>
  <si>
    <t>PROFIL LED LOC-30 1m MLECZNA ANODOWANY H S22</t>
  </si>
  <si>
    <t>LOC-30-ALU-ML-1M-A</t>
  </si>
  <si>
    <t>5903684853403</t>
  </si>
  <si>
    <t>PROFIL LED LOC-30 2m MLECZNA ANODOWANY H S22</t>
  </si>
  <si>
    <t>139,20</t>
  </si>
  <si>
    <t>LOC-30-ALU-ML-2M-A</t>
  </si>
  <si>
    <t>5905475360695</t>
  </si>
  <si>
    <t>PROFIL LED LOC-30 2m PRZEŹROCZYSTA ANODO WANY HS22</t>
  </si>
  <si>
    <t>LOC-30-ALU-CL-2M-A</t>
  </si>
  <si>
    <t>5905475360701</t>
  </si>
  <si>
    <t>PROFIL LED LOC-30 3m MLECZNA ANODOWANY H S22</t>
  </si>
  <si>
    <t>208,80</t>
  </si>
  <si>
    <t>LOC-30-ALU-ML-3M-A</t>
  </si>
  <si>
    <t>5905475360718</t>
  </si>
  <si>
    <t>PROFIL LED LOC-30 3m PRZEŹROCZYSTA ANODO WANY HS22</t>
  </si>
  <si>
    <t>LOC-30-ALU-CL-3M-A</t>
  </si>
  <si>
    <t>5905475360725</t>
  </si>
  <si>
    <t>PROFIL LED LOKOM 1m MUN ANODOWANY</t>
  </si>
  <si>
    <t>61,65</t>
  </si>
  <si>
    <t>5905475360749</t>
  </si>
  <si>
    <t>PROFIL LED LOKOM 1m PRZEŹROCZYSTA ANODOW ANY</t>
  </si>
  <si>
    <t>56,50</t>
  </si>
  <si>
    <t>5905475360732</t>
  </si>
  <si>
    <t>Profil led LOKOM 1m z przesłoną mleczną HS22</t>
  </si>
  <si>
    <t>5903684853434</t>
  </si>
  <si>
    <t>PROFIL LED LOKOM 2m MLECZNA ANODOWANY HS 22</t>
  </si>
  <si>
    <t>113,00</t>
  </si>
  <si>
    <t>5903684852475</t>
  </si>
  <si>
    <t>PROFIL LED LOKOM 2m MUN ANODOWANY</t>
  </si>
  <si>
    <t>123,30</t>
  </si>
  <si>
    <t>5905475360756</t>
  </si>
  <si>
    <t>PROFIL LED LOKOM 2m PRZEŹROCZYSTA ANODOW ANY</t>
  </si>
  <si>
    <t>5905475360763</t>
  </si>
  <si>
    <t>PROFIL LED LOKOM 3m MLECZNA ANODOWANY HS 22</t>
  </si>
  <si>
    <t>169,50</t>
  </si>
  <si>
    <t>5905475360770</t>
  </si>
  <si>
    <t>Profil led Micro 1m anodowany z osłoną mleczną HS</t>
  </si>
  <si>
    <t>20,80</t>
  </si>
  <si>
    <t>MICRO-ALU-ML-1M-A-HS</t>
  </si>
  <si>
    <t>5905475360787</t>
  </si>
  <si>
    <t>Profil led Micro 1m anodowany z osłoną mleczną KA</t>
  </si>
  <si>
    <t>13,50</t>
  </si>
  <si>
    <t>MICRO-ALU-ML-1M-A</t>
  </si>
  <si>
    <t>5901885266138</t>
  </si>
  <si>
    <t>Profil led Micro 1m anodowany z osłoną mleczną KA-COM</t>
  </si>
  <si>
    <t>11,00</t>
  </si>
  <si>
    <t>5901885265629</t>
  </si>
  <si>
    <t>Profil led Micro 1m anodowany z osłoną przeźroczystą HS</t>
  </si>
  <si>
    <t>MICRO-ALU-CL-1M-A-HA</t>
  </si>
  <si>
    <t>5905475360794</t>
  </si>
  <si>
    <t>Profil led Micro 1m anodowany z osłoną przeźroczystą KA</t>
  </si>
  <si>
    <t>MICRO-ALU-CL-1M-A</t>
  </si>
  <si>
    <t>5901885266763</t>
  </si>
  <si>
    <t>Profil led Micro 1m anodowany z osłoną przeźroczystą KA-COM</t>
  </si>
  <si>
    <t>5901885265650</t>
  </si>
  <si>
    <t>Profil led Micro 1m biały lakierowany z osłoną mleczną KA</t>
  </si>
  <si>
    <t>22,50</t>
  </si>
  <si>
    <t>MICRO-ALU-ML-1M-B</t>
  </si>
  <si>
    <t>5901885269931</t>
  </si>
  <si>
    <t>Profil led Micro 1m biały lakierowany z osłoną mleczną KA-COM</t>
  </si>
  <si>
    <t>18,50</t>
  </si>
  <si>
    <t>MICRO-ALU-MLC-1M-B</t>
  </si>
  <si>
    <t>5901885269955</t>
  </si>
  <si>
    <t>Profil led Micro 1m biały lakierowany z osłoną przeźroczystą KA</t>
  </si>
  <si>
    <t>MICRO-ALU-CL-1M-B</t>
  </si>
  <si>
    <t>5901885269993</t>
  </si>
  <si>
    <t>Profil led Micro 1m czarny anodowany z osłoną mleczną KA</t>
  </si>
  <si>
    <t>21,80</t>
  </si>
  <si>
    <t>MICRO-ALU-ML-1M-A-CZ</t>
  </si>
  <si>
    <t>5901885266701</t>
  </si>
  <si>
    <t>Profil led Micro 1m czarny anodowany z osłoną mleczną KA-COM</t>
  </si>
  <si>
    <t>17,50</t>
  </si>
  <si>
    <t>MICRO-MLC-1M-A-CZ</t>
  </si>
  <si>
    <t>5901885266718</t>
  </si>
  <si>
    <t>Profil led Micro 1m z osłoną mleczną HS</t>
  </si>
  <si>
    <t>18,60</t>
  </si>
  <si>
    <t>MICRO-ALU-ML-1M-HS</t>
  </si>
  <si>
    <t>5901885269986</t>
  </si>
  <si>
    <t>Profil led Micro 1m z osłoną mleczną KA</t>
  </si>
  <si>
    <t>13,00</t>
  </si>
  <si>
    <t>5901885269924</t>
  </si>
  <si>
    <t>Profil led Micro 1m z osłoną mleczną KA-COM</t>
  </si>
  <si>
    <t>10,50</t>
  </si>
  <si>
    <t>5901885265636</t>
  </si>
  <si>
    <t>Profil led Micro 1m z osłoną przeźroczysta HS</t>
  </si>
  <si>
    <t>MICRO-ALU-CL-1M-HS</t>
  </si>
  <si>
    <t>5903684850006</t>
  </si>
  <si>
    <t>Profil led Micro 1m z osłoną przeźroczystą KA</t>
  </si>
  <si>
    <t>5901885269948</t>
  </si>
  <si>
    <t>Profil led Micro 1m z osłoną przeźroczystą KA-COM</t>
  </si>
  <si>
    <t>5901885265643</t>
  </si>
  <si>
    <t>Profil led Micro 2m anodowany z osłoną mleczną HS</t>
  </si>
  <si>
    <t>41,50</t>
  </si>
  <si>
    <t>MICRO-ALU-ML-2M-A-HS</t>
  </si>
  <si>
    <t>5903684850013</t>
  </si>
  <si>
    <t>Profil led Micro 2m anodowany z osłoną mleczną KA</t>
  </si>
  <si>
    <t>27,00</t>
  </si>
  <si>
    <t>MICRO-ALU-ML-2M-A</t>
  </si>
  <si>
    <t>5901885266008</t>
  </si>
  <si>
    <t>Profil led Micro 2m anodowany z osłoną mleczną KA-COM</t>
  </si>
  <si>
    <t>22,00</t>
  </si>
  <si>
    <t>5901885265667</t>
  </si>
  <si>
    <t>Profil led Micro 2m anodowany z osłoną przeźroczysta HS</t>
  </si>
  <si>
    <t>MICRO-ALU-CL-2M-HS-A</t>
  </si>
  <si>
    <t>5905475360800</t>
  </si>
  <si>
    <t>Profil led Micro 2m anodowany z osłoną przeźroczystą KA</t>
  </si>
  <si>
    <t>40,00</t>
  </si>
  <si>
    <t>MICRO-ALU-CL-2M-A</t>
  </si>
  <si>
    <t>5901885266787</t>
  </si>
  <si>
    <t>Profil led Micro 2m anodowany z osłoną przeźroczystą KA-COM</t>
  </si>
  <si>
    <t>31,50</t>
  </si>
  <si>
    <t>5901885265698</t>
  </si>
  <si>
    <t>Profil led Micro 2m biały lakierowany z osłoną mleczną KA</t>
  </si>
  <si>
    <t>45,00</t>
  </si>
  <si>
    <t>MICRO-ALU-ML-2M-B</t>
  </si>
  <si>
    <t>5903684850020</t>
  </si>
  <si>
    <t>Profil led Micro 2m biały lakierowany z osłoną mleczną KA-COM</t>
  </si>
  <si>
    <t>37,00</t>
  </si>
  <si>
    <t>MICRO-ALU-MLC-2M-B</t>
  </si>
  <si>
    <t>5903684850037</t>
  </si>
  <si>
    <t>Profil led Micro 2m biały lakierowany z osłoną przeźroczystą KA</t>
  </si>
  <si>
    <t>MICRO-ALU-CL-2M-B</t>
  </si>
  <si>
    <t>5903684855186</t>
  </si>
  <si>
    <t>Profil led Micro 2m biały lakierowany z osłoną przeźroczystą KA-COM</t>
  </si>
  <si>
    <t>MICRO-ALU-CLC-2M-B</t>
  </si>
  <si>
    <t>5903684852987</t>
  </si>
  <si>
    <t>Profil led Micro 2m czarny anodowany z osłoną mleczną KA</t>
  </si>
  <si>
    <t>43,50</t>
  </si>
  <si>
    <t>MICRO-ALU-ML-2M-A-CZ</t>
  </si>
  <si>
    <t>5901885266794</t>
  </si>
  <si>
    <t>Profil led Micro 2m czarny anodowany z osłoną mleczną KA-COM</t>
  </si>
  <si>
    <t>MICRO-MLC-2M-A-CZ</t>
  </si>
  <si>
    <t>5901885266800</t>
  </si>
  <si>
    <t>Profil led Micro 2m czarny anodowany z osłoną przeźroczystą KA-COM</t>
  </si>
  <si>
    <t>MICRO-CLC-2M-A-CZ</t>
  </si>
  <si>
    <t>5901885266817</t>
  </si>
  <si>
    <t>Profil led Micro 2m z osłoną mleczną HS</t>
  </si>
  <si>
    <t>37,20</t>
  </si>
  <si>
    <t>MICRO-ALU-ML-2M-HS</t>
  </si>
  <si>
    <t>5905475360817</t>
  </si>
  <si>
    <t>Profil led Micro 2m z osłoną mleczną KA</t>
  </si>
  <si>
    <t>26,00</t>
  </si>
  <si>
    <t>5901885266572</t>
  </si>
  <si>
    <t>Profil led Micro 2m z osłoną mleczną KA-COM</t>
  </si>
  <si>
    <t>21,00</t>
  </si>
  <si>
    <t>5901885265674</t>
  </si>
  <si>
    <t>Profil led Micro 2m z osłoną przeźroczystą HS</t>
  </si>
  <si>
    <t>MICRO-ALU-CL-2M-HS</t>
  </si>
  <si>
    <t>5905475360824</t>
  </si>
  <si>
    <t>Profil led Micro 2m z osłoną przeźroczystą KA</t>
  </si>
  <si>
    <t>35,30</t>
  </si>
  <si>
    <t>5905475360831</t>
  </si>
  <si>
    <t>Profil led Micro 2m z osłoną przeźroczystą KA-COM</t>
  </si>
  <si>
    <t>5901885265681</t>
  </si>
  <si>
    <t>Profil led Micro 3m anodowany z osłoną mleczną KA</t>
  </si>
  <si>
    <t>59,80</t>
  </si>
  <si>
    <t>MICRO-ALU-ML-3M-A</t>
  </si>
  <si>
    <t>5901885267173</t>
  </si>
  <si>
    <t>Profil led Micro 3m anodowany z osłoną mleczną KA-COM</t>
  </si>
  <si>
    <t>47,30</t>
  </si>
  <si>
    <t>5903684851638</t>
  </si>
  <si>
    <t>Profil led Micro 3m anodowany z osłoną przeźroczystą KA</t>
  </si>
  <si>
    <t>MICRO-ALU-CL-3M-A</t>
  </si>
  <si>
    <t>5903684851614</t>
  </si>
  <si>
    <t>Profil led Micro 3m anodowany z osłoną przeźroczystą KA-COM</t>
  </si>
  <si>
    <t>MICRO-CLC-3M-A</t>
  </si>
  <si>
    <t>5903684851584</t>
  </si>
  <si>
    <t>Profil led Micro 3m z osłoną mleczną KA</t>
  </si>
  <si>
    <t>53,00</t>
  </si>
  <si>
    <t>5903684851645</t>
  </si>
  <si>
    <t>Profil led Micro 3m z osłoną mleczną KA-COM</t>
  </si>
  <si>
    <t>40,50</t>
  </si>
  <si>
    <t>5903684851621</t>
  </si>
  <si>
    <t>Profil led Micro 3m z osłoną przeźroczystą KA</t>
  </si>
  <si>
    <t>5903684851607</t>
  </si>
  <si>
    <t>Profil led Micro 3m z osłoną przeźroczystą KA-COM</t>
  </si>
  <si>
    <t>5903684851591</t>
  </si>
  <si>
    <t>Profil led Micro-K 1m anodowany z osłoną mleczną HS</t>
  </si>
  <si>
    <t>29,25</t>
  </si>
  <si>
    <t>MICRO-K-ALU-ML-1M-HS</t>
  </si>
  <si>
    <t>B3775ANODA_1</t>
  </si>
  <si>
    <t>Profil led Micro-K 1m anodowany z osłoną mleczną KA</t>
  </si>
  <si>
    <t>MICRO-K-ALU-ML-1M</t>
  </si>
  <si>
    <t>5901885266725</t>
  </si>
  <si>
    <t>Profil led Micro-K 1m anodowany z osłoną mleczną KA-COM</t>
  </si>
  <si>
    <t>22,25</t>
  </si>
  <si>
    <t>MICRO-K-ALU-MLC-1M</t>
  </si>
  <si>
    <t>5901885265704</t>
  </si>
  <si>
    <t>Profil led Micro-K 1m anodowany z osłoną przeźroczystą KA</t>
  </si>
  <si>
    <t>MICRO-K-ALU-CL-1M</t>
  </si>
  <si>
    <t>5901885266770</t>
  </si>
  <si>
    <t>Profil led Micro-K 1m anodowany z osłoną przeźroczystą KA-COM</t>
  </si>
  <si>
    <t>9,50</t>
  </si>
  <si>
    <t>MICRO-K-ALU-CLC-1M</t>
  </si>
  <si>
    <t>5901885265711</t>
  </si>
  <si>
    <t>Profil led Micro-K 1m czarny anodowany</t>
  </si>
  <si>
    <t>14,15</t>
  </si>
  <si>
    <t>MICRO-K-ALU-1M-CZ</t>
  </si>
  <si>
    <t>5902280311621</t>
  </si>
  <si>
    <t>B3775_K7_1</t>
  </si>
  <si>
    <t>Profil led Micro-K 1m czarny anodowany z osłoną mleczną KA</t>
  </si>
  <si>
    <t>22,75</t>
  </si>
  <si>
    <t>MICRO-K-ALU-ML-1M-CZ</t>
  </si>
  <si>
    <t>5903684852390</t>
  </si>
  <si>
    <t>Profil led Micro-K 2m anodowany wyc</t>
  </si>
  <si>
    <t>34,40</t>
  </si>
  <si>
    <t>5906660780144</t>
  </si>
  <si>
    <t>B3775ANODA_2</t>
  </si>
  <si>
    <t>Profil led Micro-K 2m anodowany z osłoną mleczną HS</t>
  </si>
  <si>
    <t>58,50</t>
  </si>
  <si>
    <t>MICRO-K-ALU-ML-2M-HS</t>
  </si>
  <si>
    <t>B3775_2</t>
  </si>
  <si>
    <t>Profil led Micro-K 2m anodowany z osłoną mleczną KA</t>
  </si>
  <si>
    <t>55,90</t>
  </si>
  <si>
    <t>MICRO-K-ALU-ML-2M</t>
  </si>
  <si>
    <t>5901885266015</t>
  </si>
  <si>
    <t>Profil led Micro-K 2m anodowany z osłoną mleczną KA-COM</t>
  </si>
  <si>
    <t>44,50</t>
  </si>
  <si>
    <t>MICRO-K-ALU-MLC-2M</t>
  </si>
  <si>
    <t>5901885265728</t>
  </si>
  <si>
    <t>Profil led Micro-K 2m anodowany z osłoną mleczną LIGER</t>
  </si>
  <si>
    <t>68,80</t>
  </si>
  <si>
    <t>MICRO-K-ALU-ML-2M-L</t>
  </si>
  <si>
    <t>Profil led Micro-K 2m anodowany z osłoną przeźroczystą KA</t>
  </si>
  <si>
    <t>MICRO-K-ALU-CL-2M</t>
  </si>
  <si>
    <t>5901885266589</t>
  </si>
  <si>
    <t>Profil led Micro-K 2m anodowany z osłoną przeźroczystą KA-COM</t>
  </si>
  <si>
    <t>MICRO-K-ALU-CLC-2M</t>
  </si>
  <si>
    <t>5901885265735</t>
  </si>
  <si>
    <t>Profil led Micro-K 2m biały lakierowany</t>
  </si>
  <si>
    <t>37,17</t>
  </si>
  <si>
    <t>MICRO-K-LAK-2M-BI</t>
  </si>
  <si>
    <t>B3775_LAKIER_BI</t>
  </si>
  <si>
    <t>Profil led Micro-K 2m czarny anodowany</t>
  </si>
  <si>
    <t>28,30</t>
  </si>
  <si>
    <t>MICRO-K-ALU-2M-CZ</t>
  </si>
  <si>
    <t>5902280308584</t>
  </si>
  <si>
    <t>B3775_K7_2</t>
  </si>
  <si>
    <t>Profil led Micro-K 2m czarny anodowany z osłoną mleczną KA</t>
  </si>
  <si>
    <t>45,50</t>
  </si>
  <si>
    <t>MICRO-K-ALU-ML-2M-CZ</t>
  </si>
  <si>
    <t>Profil led Micro-K 2m czarny anodowany z osłoną mleczną KA-COM</t>
  </si>
  <si>
    <t>B3775_K7+17179_2</t>
  </si>
  <si>
    <t>1219000010103</t>
  </si>
  <si>
    <t>Profil led MICRO-K 2m złoty anodowany</t>
  </si>
  <si>
    <t>38,34</t>
  </si>
  <si>
    <t>MICRO-K-ALU-2M-ZŁ</t>
  </si>
  <si>
    <t>5902280308539</t>
  </si>
  <si>
    <t>B3775_K3.1_2</t>
  </si>
  <si>
    <t>Profil led MICRO-K 3m anodowany</t>
  </si>
  <si>
    <t>51,60</t>
  </si>
  <si>
    <t>5906660783039</t>
  </si>
  <si>
    <t>B3775ANODA_3</t>
  </si>
  <si>
    <t>Profil led Micro-K 3m anodowany z osłoną mleczną KA</t>
  </si>
  <si>
    <t>83,85</t>
  </si>
  <si>
    <t>MICRO-K-ALU-ML-3M</t>
  </si>
  <si>
    <t>Profil led MICRO-K 3m anodowany z osłoną mleczną KA-COM</t>
  </si>
  <si>
    <t>66,75</t>
  </si>
  <si>
    <t>MICRO-K-ALU-MLC-3M</t>
  </si>
  <si>
    <t>5903684853007</t>
  </si>
  <si>
    <t>Profil led Micro-K 3m anodowany z osłoną przeźroczystą KA</t>
  </si>
  <si>
    <t>MICRO-K-ALU-CL-3M</t>
  </si>
  <si>
    <t>Profil led Micro-K 3m biały lakierowany</t>
  </si>
  <si>
    <t>55,80</t>
  </si>
  <si>
    <t>B3775L9010_3</t>
  </si>
  <si>
    <t>5902280311942</t>
  </si>
  <si>
    <t>13,90</t>
  </si>
  <si>
    <t>MICRO-NK-ALU-1M</t>
  </si>
  <si>
    <t>5902280330059</t>
  </si>
  <si>
    <t>Profil led Micro-NK 1m czarny anodowany</t>
  </si>
  <si>
    <t>15,40</t>
  </si>
  <si>
    <t>MICRO-NK-ALU-1M-CZ</t>
  </si>
  <si>
    <t>5902280334484</t>
  </si>
  <si>
    <t>Profil led Micro-NK 2m anodowany</t>
  </si>
  <si>
    <t>27,10</t>
  </si>
  <si>
    <t>MICRO-NK-ALU-2M</t>
  </si>
  <si>
    <t>5902280327059</t>
  </si>
  <si>
    <t>Profil led Micro-NK 2m anodowany z osłoną mleczną KA-COM</t>
  </si>
  <si>
    <t>47,60</t>
  </si>
  <si>
    <t>MICRO-NK-ALU-MLC-2M</t>
  </si>
  <si>
    <t>5903684851119</t>
  </si>
  <si>
    <t>C1587_2_2</t>
  </si>
  <si>
    <t>Profil led Micro-NK 2m biały lakierowany</t>
  </si>
  <si>
    <t>32,50</t>
  </si>
  <si>
    <t>C1587L9010NS_2</t>
  </si>
  <si>
    <t>5902280348726</t>
  </si>
  <si>
    <t>Profil led Micro-NK 2m czarny anodowany</t>
  </si>
  <si>
    <t>30,80</t>
  </si>
  <si>
    <t>MICRO-NK-ALU-2M-CZ</t>
  </si>
  <si>
    <t>5902280332602</t>
  </si>
  <si>
    <t>Profil led Micro-NK 3m anodowany</t>
  </si>
  <si>
    <t>41,60</t>
  </si>
  <si>
    <t>MICRO-NK-ALU-3M</t>
  </si>
  <si>
    <t>5902280328094</t>
  </si>
  <si>
    <t>Profil led Micro-NK 3m czarny anodowany</t>
  </si>
  <si>
    <t>46,20</t>
  </si>
  <si>
    <t>MICRO-NK-ALU-3M-CZ</t>
  </si>
  <si>
    <t>5902280333807</t>
  </si>
  <si>
    <t>5902280338734</t>
  </si>
  <si>
    <t>Profil led Micro-PLUS 1m czarny anoda</t>
  </si>
  <si>
    <t>22,60</t>
  </si>
  <si>
    <t>MICRO-PLUS-ALU-1M-A-</t>
  </si>
  <si>
    <t>5902280342762</t>
  </si>
  <si>
    <t>37,30</t>
  </si>
  <si>
    <t>5902280338710</t>
  </si>
  <si>
    <t>Profil led Micro-PLUS 2m czarny anoda</t>
  </si>
  <si>
    <t>45,20</t>
  </si>
  <si>
    <t>MICRO-PLUS-ALU-2M-A-</t>
  </si>
  <si>
    <t>5902280341291</t>
  </si>
  <si>
    <t>36,50</t>
  </si>
  <si>
    <t>5902280338727</t>
  </si>
  <si>
    <t>Profil led Micro-PLUS 3m czarny anoda</t>
  </si>
  <si>
    <t>67,80</t>
  </si>
  <si>
    <t>MICRO-PLUS-ALU-3M-A-</t>
  </si>
  <si>
    <t>5902280341307</t>
  </si>
  <si>
    <t>PROFIL LED OPAC-30 1m ANODOWANY MLECZNA HS22</t>
  </si>
  <si>
    <t>5905475360848</t>
  </si>
  <si>
    <t>PROFIL LED OPAC-30 2m ANODOWANY MLECZNA HS22</t>
  </si>
  <si>
    <t>81,00</t>
  </si>
  <si>
    <t>5903684851973</t>
  </si>
  <si>
    <t>PROFIL LED OPAC-30 3m ANODOWANY MLECZNA HS22</t>
  </si>
  <si>
    <t>121,50</t>
  </si>
  <si>
    <t>PROFIL LED PAC 1m MLECZNA ANODOWANY</t>
  </si>
  <si>
    <t>34,55</t>
  </si>
  <si>
    <t>1219000008933</t>
  </si>
  <si>
    <t>PROFIL LED PAC 1m PRZEZROCZYSTA ANODOWAN Y</t>
  </si>
  <si>
    <t>PROFIL LED PAC 2m MLECZNA ANODOWANY</t>
  </si>
  <si>
    <t>69,10</t>
  </si>
  <si>
    <t>1219000009015</t>
  </si>
  <si>
    <t>PROFIL LED PAC 2m PRZEZROCZYSTA ANODOWAN Y</t>
  </si>
  <si>
    <t>PROFIL LED PAC 3m MLECZNA ANODOWANY</t>
  </si>
  <si>
    <t>103,65</t>
  </si>
  <si>
    <t>PROFIL LED PAC 3m PRZEZROCZYSTA ANODOWAN Y</t>
  </si>
  <si>
    <t>PROFIL LED PDS ZM 1m MLECZNA ANODOWANY</t>
  </si>
  <si>
    <t>PDS-ZM-ALU-ML-1M-A</t>
  </si>
  <si>
    <t>PROFIL LED PDS ZM 2m MLECZNA ANODOWANY</t>
  </si>
  <si>
    <t>60,00</t>
  </si>
  <si>
    <t>PDS-ZM-ALU-ML-2M-A</t>
  </si>
  <si>
    <t>PROFIL LED PDS ZM 2m MLECZNA ANODOWANY C OM</t>
  </si>
  <si>
    <t>35,74</t>
  </si>
  <si>
    <t>PDS-ZM-ALU-MLC-2M-A</t>
  </si>
  <si>
    <t>11,95</t>
  </si>
  <si>
    <t>5906660783053</t>
  </si>
  <si>
    <t>B1718NA_1</t>
  </si>
  <si>
    <t>14,70</t>
  </si>
  <si>
    <t>5906660781271</t>
  </si>
  <si>
    <t>B1718ANODA_1</t>
  </si>
  <si>
    <t>26,75</t>
  </si>
  <si>
    <t>PDS4-ALU-ML-1M-A-HS</t>
  </si>
  <si>
    <t>25,45</t>
  </si>
  <si>
    <t>5902596558390</t>
  </si>
  <si>
    <t>19,75</t>
  </si>
  <si>
    <t>PDS4-ALU-MLC-1M-A</t>
  </si>
  <si>
    <t>5901885265742</t>
  </si>
  <si>
    <t>5903684850075</t>
  </si>
  <si>
    <t>1548_1</t>
  </si>
  <si>
    <t>PDS4-ALU-CLC-1M-A</t>
  </si>
  <si>
    <t>5903684850099</t>
  </si>
  <si>
    <t>5902280321248</t>
  </si>
  <si>
    <t>B1718L9010NS_1</t>
  </si>
  <si>
    <t>70,35</t>
  </si>
  <si>
    <t>B1718L9010_1</t>
  </si>
  <si>
    <t>18,85</t>
  </si>
  <si>
    <t>5902280301516</t>
  </si>
  <si>
    <t>B1718K7_1</t>
  </si>
  <si>
    <t>29,60</t>
  </si>
  <si>
    <t>PDS4-ALU-ML-1M-A-CZ</t>
  </si>
  <si>
    <t>15,10</t>
  </si>
  <si>
    <t>5902280321231</t>
  </si>
  <si>
    <t>B1718L9005NS_1</t>
  </si>
  <si>
    <t>PDS4-ALU-ML-1M-CZ</t>
  </si>
  <si>
    <t>B1718L9005_1</t>
  </si>
  <si>
    <t>17,20</t>
  </si>
  <si>
    <t>5903684850068</t>
  </si>
  <si>
    <t>B1718_1</t>
  </si>
  <si>
    <t>17,00</t>
  </si>
  <si>
    <t>5901885265872</t>
  </si>
  <si>
    <t>29,15</t>
  </si>
  <si>
    <t>PDS4-ALU-ML-1M-LIGER</t>
  </si>
  <si>
    <t>22,70</t>
  </si>
  <si>
    <t>5903684850082</t>
  </si>
  <si>
    <t>5901885265759</t>
  </si>
  <si>
    <t>23,90</t>
  </si>
  <si>
    <t>5906660780038</t>
  </si>
  <si>
    <t>29,40</t>
  </si>
  <si>
    <t>5906660780090</t>
  </si>
  <si>
    <t>B1718ANODA_2</t>
  </si>
  <si>
    <t>53,50</t>
  </si>
  <si>
    <t>PDS4-ALU-ML-2M-A-HS</t>
  </si>
  <si>
    <t>1219000008377</t>
  </si>
  <si>
    <t>50,90</t>
  </si>
  <si>
    <t>5901885266596</t>
  </si>
  <si>
    <t>34,00</t>
  </si>
  <si>
    <t>PDS4-ALU-MLC-2M-A</t>
  </si>
  <si>
    <t>5901885265766</t>
  </si>
  <si>
    <t>PDS4-ALU-CL-2M-A-HS</t>
  </si>
  <si>
    <t>5901885268767</t>
  </si>
  <si>
    <t>39,50</t>
  </si>
  <si>
    <t>PDS4-ALU-CLC-2M-A</t>
  </si>
  <si>
    <t>5901885268743</t>
  </si>
  <si>
    <t>5902280312215</t>
  </si>
  <si>
    <t>B1718L9010NS_2</t>
  </si>
  <si>
    <t>140,70</t>
  </si>
  <si>
    <t>B1718L9010_2</t>
  </si>
  <si>
    <t>30,20</t>
  </si>
  <si>
    <t>5902280312208</t>
  </si>
  <si>
    <t>B1718L9005NS_2</t>
  </si>
  <si>
    <t>37,70</t>
  </si>
  <si>
    <t>5902280300885</t>
  </si>
  <si>
    <t>B1718K7_2</t>
  </si>
  <si>
    <t>59,20</t>
  </si>
  <si>
    <t>PDS4-ALU-ML-2M-A-CZ.</t>
  </si>
  <si>
    <t>PDS4-ALU-ML-2M-CZ</t>
  </si>
  <si>
    <t>B1718L9005_2</t>
  </si>
  <si>
    <t>48,00</t>
  </si>
  <si>
    <t>PDS4-ALU-ML-2M-HS</t>
  </si>
  <si>
    <t>B1718_2</t>
  </si>
  <si>
    <t>45,40</t>
  </si>
  <si>
    <t>5901885268750</t>
  </si>
  <si>
    <t>5901885265773</t>
  </si>
  <si>
    <t>5901885268774</t>
  </si>
  <si>
    <t>5901885265780</t>
  </si>
  <si>
    <t>35,85</t>
  </si>
  <si>
    <t>5906660784104</t>
  </si>
  <si>
    <t>B1718NA_3</t>
  </si>
  <si>
    <t>44,10</t>
  </si>
  <si>
    <t>5906660784128</t>
  </si>
  <si>
    <t>B1718ANODA_3</t>
  </si>
  <si>
    <t>80,25</t>
  </si>
  <si>
    <t>PDS4-ALU-ML-3M-A-HS</t>
  </si>
  <si>
    <t>5903684859986</t>
  </si>
  <si>
    <t>76,35</t>
  </si>
  <si>
    <t>5903684859979</t>
  </si>
  <si>
    <t>59,25</t>
  </si>
  <si>
    <t>PDS4-ALU-MLC-3M-A</t>
  </si>
  <si>
    <t>5903684853014</t>
  </si>
  <si>
    <t>PDS4-ALU-CL-3M-A-HS</t>
  </si>
  <si>
    <t>PDS4-ALU-CLC-3M-A</t>
  </si>
  <si>
    <t>5903684853021</t>
  </si>
  <si>
    <t>74,79</t>
  </si>
  <si>
    <t>5903684853151</t>
  </si>
  <si>
    <t>B1718L9010NS_3</t>
  </si>
  <si>
    <t>65,87</t>
  </si>
  <si>
    <t>5902280311522</t>
  </si>
  <si>
    <t>B1718K7_3</t>
  </si>
  <si>
    <t>45,30</t>
  </si>
  <si>
    <t>5903684853144</t>
  </si>
  <si>
    <t>B1718L9005NS_3</t>
  </si>
  <si>
    <t>68,10</t>
  </si>
  <si>
    <t>5903684859962</t>
  </si>
  <si>
    <t>B1718_3</t>
  </si>
  <si>
    <t>51,00</t>
  </si>
  <si>
    <t>5903684853038</t>
  </si>
  <si>
    <t>5903684853045</t>
  </si>
  <si>
    <t>5906660781103</t>
  </si>
  <si>
    <t>B3776ANODA_1</t>
  </si>
  <si>
    <t>27,95</t>
  </si>
  <si>
    <t>5902596558420</t>
  </si>
  <si>
    <t>B3776_1</t>
  </si>
  <si>
    <t>5901885265889</t>
  </si>
  <si>
    <t>PDS4K-ALU-ML-1M-L</t>
  </si>
  <si>
    <t>5903684850105</t>
  </si>
  <si>
    <t>5903684850112</t>
  </si>
  <si>
    <t>17180_1</t>
  </si>
  <si>
    <t>5903684850129</t>
  </si>
  <si>
    <t>26,13</t>
  </si>
  <si>
    <t>PDS4K-ALU-1M-BI</t>
  </si>
  <si>
    <t>5902280329251</t>
  </si>
  <si>
    <t>B3776L9010NS_1</t>
  </si>
  <si>
    <t>21,96</t>
  </si>
  <si>
    <t>PDS4K-ALU-1M-A-CZ</t>
  </si>
  <si>
    <t>5902280311638</t>
  </si>
  <si>
    <t>B3776K7_1</t>
  </si>
  <si>
    <t>29,00</t>
  </si>
  <si>
    <t>5906660780137</t>
  </si>
  <si>
    <t>B3776ANODA_2</t>
  </si>
  <si>
    <t>5902596558437</t>
  </si>
  <si>
    <t>B3776_2</t>
  </si>
  <si>
    <t>5901885265858</t>
  </si>
  <si>
    <t>PDS4K-ALU-ML-2M-L</t>
  </si>
  <si>
    <t>5903684850907</t>
  </si>
  <si>
    <t>5903684850136</t>
  </si>
  <si>
    <t>1548_2</t>
  </si>
  <si>
    <t>5901885268422</t>
  </si>
  <si>
    <t>61,86</t>
  </si>
  <si>
    <t>PDS4K-ALU-2M-BI</t>
  </si>
  <si>
    <t>5902280329237</t>
  </si>
  <si>
    <t>B3776L9010NS_2</t>
  </si>
  <si>
    <t>43,91</t>
  </si>
  <si>
    <t>PDS4K-ALU-2M-A-CZ</t>
  </si>
  <si>
    <t>5902280308706</t>
  </si>
  <si>
    <t>B3776K7_2</t>
  </si>
  <si>
    <t>53,28</t>
  </si>
  <si>
    <t>5902280321323</t>
  </si>
  <si>
    <t>62,22</t>
  </si>
  <si>
    <t>5906660784135</t>
  </si>
  <si>
    <t>B3776ANODA_3</t>
  </si>
  <si>
    <t>5903684850846</t>
  </si>
  <si>
    <t>B3776_3</t>
  </si>
  <si>
    <t>5903684853052</t>
  </si>
  <si>
    <t>103,20</t>
  </si>
  <si>
    <t>PDS4K-ALU-ML-3M-L</t>
  </si>
  <si>
    <t>5903684850853</t>
  </si>
  <si>
    <t>5903684850891</t>
  </si>
  <si>
    <t>78,38</t>
  </si>
  <si>
    <t>5902280329244</t>
  </si>
  <si>
    <t>B3776L9010NS_3</t>
  </si>
  <si>
    <t>PDS4K-ALU-3M-A-CZ</t>
  </si>
  <si>
    <t>5902280327318</t>
  </si>
  <si>
    <t>B3776K7_3</t>
  </si>
  <si>
    <t>79,92</t>
  </si>
  <si>
    <t>PDS4K-ALU-3M-CZ LAKI</t>
  </si>
  <si>
    <t>Profil led Pds4-Plus 1m anodowany</t>
  </si>
  <si>
    <t>5902280326311</t>
  </si>
  <si>
    <t>Profil led PDS4-PLUS 1m biały lakier</t>
  </si>
  <si>
    <t>21,40</t>
  </si>
  <si>
    <t>5902280348610</t>
  </si>
  <si>
    <t>Profil led Pds4-Plus 1m czarny anodowany</t>
  </si>
  <si>
    <t>22,80</t>
  </si>
  <si>
    <t>PDS4P-ALU-1M-A-CZ</t>
  </si>
  <si>
    <t>5902280332527</t>
  </si>
  <si>
    <t>Profil led Pds4-Plus 2m anodowany</t>
  </si>
  <si>
    <t>27,70</t>
  </si>
  <si>
    <t>5902280320951</t>
  </si>
  <si>
    <t>Profil led Pds4-Plus 2m biały lakier</t>
  </si>
  <si>
    <t>42,80</t>
  </si>
  <si>
    <t>5902280348603</t>
  </si>
  <si>
    <t>Profil led Pds4-Plus 2m czarny anodowany</t>
  </si>
  <si>
    <t>32,80</t>
  </si>
  <si>
    <t>PDS4P-ALU-2M-A-CZ</t>
  </si>
  <si>
    <t>5902280329473</t>
  </si>
  <si>
    <t>Profil led Pds4-Plus 3m anodowany</t>
  </si>
  <si>
    <t>5902280323051</t>
  </si>
  <si>
    <t>Profil led Pds4-PLUS 3m biały lakier</t>
  </si>
  <si>
    <t>89,10</t>
  </si>
  <si>
    <t>C1263L9010OD_3</t>
  </si>
  <si>
    <t>5902280348627</t>
  </si>
  <si>
    <t>Profil led Pds4-Plus 3m czarny anodowany</t>
  </si>
  <si>
    <t>49,20</t>
  </si>
  <si>
    <t>PDS4P-ALU-3M-A-CZ</t>
  </si>
  <si>
    <t>5902280329480</t>
  </si>
  <si>
    <t>15,30</t>
  </si>
  <si>
    <t>5902280311201</t>
  </si>
  <si>
    <t>30,70</t>
  </si>
  <si>
    <t>5902280309567</t>
  </si>
  <si>
    <t>46,00</t>
  </si>
  <si>
    <t>5902280310792</t>
  </si>
  <si>
    <t>PROFIL LED PDS-NK 1M ANODOWANY</t>
  </si>
  <si>
    <t>19,30</t>
  </si>
  <si>
    <t>PDS-NK-1M-A</t>
  </si>
  <si>
    <t>5902280330035</t>
  </si>
  <si>
    <t>Profil LED PDS-NK 1M biały lakierowany</t>
  </si>
  <si>
    <t>22,20</t>
  </si>
  <si>
    <t>5902280348337</t>
  </si>
  <si>
    <t>PROFIL LED PDS-NK 1M CZARNY ANODOWANY</t>
  </si>
  <si>
    <t>5902280330042</t>
  </si>
  <si>
    <t>PROFIL LED PDS-NK 2M ANODOWANY</t>
  </si>
  <si>
    <t>38,50</t>
  </si>
  <si>
    <t>PDS-NK-2M-A</t>
  </si>
  <si>
    <t>5902280327066</t>
  </si>
  <si>
    <t>Profil LED PDS-NK 2M biały lakierowany</t>
  </si>
  <si>
    <t>44,60</t>
  </si>
  <si>
    <t>5902280348320</t>
  </si>
  <si>
    <t>PROFIL LED PDS-NK 2M CZARNY ANODOWANY</t>
  </si>
  <si>
    <t>45,70</t>
  </si>
  <si>
    <t>PDS-NK-2M-A-CZ</t>
  </si>
  <si>
    <t>5902280329497</t>
  </si>
  <si>
    <t>PROFIL LED PDS-NK 3M ANODOWANY</t>
  </si>
  <si>
    <t>57,80</t>
  </si>
  <si>
    <t>PDS-NK-3M-A</t>
  </si>
  <si>
    <t>5902280328087</t>
  </si>
  <si>
    <t>Profil LED PDS-NK 3M biały lakierowany</t>
  </si>
  <si>
    <t>92,90</t>
  </si>
  <si>
    <t>C1588L9010OD_3</t>
  </si>
  <si>
    <t>592280348344</t>
  </si>
  <si>
    <t>PROFIL LED PDS-NK 3M CZARNY ANODOWANY</t>
  </si>
  <si>
    <t>68,50</t>
  </si>
  <si>
    <t>PDS-NK-3M-A-CZ</t>
  </si>
  <si>
    <t>5902280329503</t>
  </si>
  <si>
    <t>Profil led Pds-O 1m anodowany z osłoną mleczną HS</t>
  </si>
  <si>
    <t>PDSO-ALU-ML-1M-HS</t>
  </si>
  <si>
    <t>Profil led Pds-O 1m anodowany z osłoną mleczną KA</t>
  </si>
  <si>
    <t>28,50</t>
  </si>
  <si>
    <t>Profil led Pds-O 1m anodowany z osłoną mleczną KA-COM</t>
  </si>
  <si>
    <t>16,80</t>
  </si>
  <si>
    <t>Profil led Pds-O 1m anodowany z osłoną przeźroczystą KA</t>
  </si>
  <si>
    <t>28,05</t>
  </si>
  <si>
    <t>Profil led Pds-O 2m anodowany z osłoną mleczną KA</t>
  </si>
  <si>
    <t>57,00</t>
  </si>
  <si>
    <t>Profil led Pds-O 2m anodowany z osłoną przeźroczystą KA</t>
  </si>
  <si>
    <t>Profil led Pds-O 3m anodowany z osłoną mleczną KA</t>
  </si>
  <si>
    <t>85,50</t>
  </si>
  <si>
    <t>Profil led Pds-O 3m anodowany z osłoną przeźroczystą KA</t>
  </si>
  <si>
    <t>PROFIL LED PDS-T 1M ANODOWANY</t>
  </si>
  <si>
    <t>PDS-T-1M-A</t>
  </si>
  <si>
    <t>5902280335955</t>
  </si>
  <si>
    <t>PROFIL LED PDS-T 2M ANODOWANY</t>
  </si>
  <si>
    <t>53,90</t>
  </si>
  <si>
    <t>PDS-T-2M-A</t>
  </si>
  <si>
    <t>Profil led Pds-T 3m surowy</t>
  </si>
  <si>
    <t>80,90</t>
  </si>
  <si>
    <t>5902280334194</t>
  </si>
  <si>
    <t>Profil led Pds-ZM 1m anodowany</t>
  </si>
  <si>
    <t>16,70</t>
  </si>
  <si>
    <t>5902280305002</t>
  </si>
  <si>
    <t>Profil led Pds-ZMG 1m anodowany</t>
  </si>
  <si>
    <t>31,00</t>
  </si>
  <si>
    <t>PDS-ZMG-1M-A</t>
  </si>
  <si>
    <t>5902280327691</t>
  </si>
  <si>
    <t>Profil led Pds-ZMG 1m czarny anodowany</t>
  </si>
  <si>
    <t>23,70</t>
  </si>
  <si>
    <t>5902280323778</t>
  </si>
  <si>
    <t>Profil led Pds-ZMG 2m anodowany</t>
  </si>
  <si>
    <t>5902280326137</t>
  </si>
  <si>
    <t>Profil led Pds-ZMG 2m czarny anodowany</t>
  </si>
  <si>
    <t>5902280323785</t>
  </si>
  <si>
    <t>Profil led Pds-ZMG 3m anodowany</t>
  </si>
  <si>
    <t>66,90</t>
  </si>
  <si>
    <t>5902280326144</t>
  </si>
  <si>
    <t>Profil led Pds-ZMG 3m czarny anodowany</t>
  </si>
  <si>
    <t>71,10</t>
  </si>
  <si>
    <t>5902280326151</t>
  </si>
  <si>
    <t>Profil led Pds-ZM-PLUS 1m anodowany</t>
  </si>
  <si>
    <t>PDS-ZM-PLUS-1M-A</t>
  </si>
  <si>
    <t>5902280336969</t>
  </si>
  <si>
    <t>Profil led Pds-ZM-PLUS 2m anodowany</t>
  </si>
  <si>
    <t>47,40</t>
  </si>
  <si>
    <t>PDS-ZM-PLUS-2M-A</t>
  </si>
  <si>
    <t>5902280332206</t>
  </si>
  <si>
    <t>Profil led Pds-ZM-PLUS 3m anodowany</t>
  </si>
  <si>
    <t>PDS-ZM-PLUS-3M-A</t>
  </si>
  <si>
    <t>5902280332213</t>
  </si>
  <si>
    <t>5902280310303</t>
  </si>
  <si>
    <t>Profil led Piko 1m anodowany z osłoną mleczną</t>
  </si>
  <si>
    <t>15,90</t>
  </si>
  <si>
    <t>5903684853441</t>
  </si>
  <si>
    <t>19,10</t>
  </si>
  <si>
    <t>5902280307082</t>
  </si>
  <si>
    <t>28,60</t>
  </si>
  <si>
    <t>PIKO-ALU-3M</t>
  </si>
  <si>
    <t>5902280310228</t>
  </si>
  <si>
    <t>PROFIL LED PIKO-O 1m ANODOWANY</t>
  </si>
  <si>
    <t>9,40</t>
  </si>
  <si>
    <t>PIKO-O-ALU-1M-A</t>
  </si>
  <si>
    <t>5902280322252</t>
  </si>
  <si>
    <t>Profil led Piko-O 1m czarny anodowany</t>
  </si>
  <si>
    <t>10,10</t>
  </si>
  <si>
    <t>5902280327677</t>
  </si>
  <si>
    <t>PROFIL LED PIKO-O 2m ANODOWANY</t>
  </si>
  <si>
    <t>18,90</t>
  </si>
  <si>
    <t>5902280319887</t>
  </si>
  <si>
    <t>Profil led Piko-O 2m czarny anodowany</t>
  </si>
  <si>
    <t>20,20</t>
  </si>
  <si>
    <t>5902280326182</t>
  </si>
  <si>
    <t>PROFIL LED PIKO-O 3m ANODOWANY</t>
  </si>
  <si>
    <t>5902280322009</t>
  </si>
  <si>
    <t>Profil led Piko-O 3m czarny anodowany</t>
  </si>
  <si>
    <t>5902280326175</t>
  </si>
  <si>
    <t>15,00</t>
  </si>
  <si>
    <t>PIKO-ZM-ALU-1M-A</t>
  </si>
  <si>
    <t>5902280326304</t>
  </si>
  <si>
    <t>5902280319894</t>
  </si>
  <si>
    <t>5902280321996</t>
  </si>
  <si>
    <t>18,40</t>
  </si>
  <si>
    <t>5902280305880</t>
  </si>
  <si>
    <t>Profil led Poli 1m anodowany z przesłoną przeźroczystą KA-COM</t>
  </si>
  <si>
    <t>19,16</t>
  </si>
  <si>
    <t>POLI-ALU-CLC-1M-A</t>
  </si>
  <si>
    <t>36,90</t>
  </si>
  <si>
    <t>5902280305781</t>
  </si>
  <si>
    <t>B7176ANODA_2M</t>
  </si>
  <si>
    <t>55,20</t>
  </si>
  <si>
    <t>5902280306580</t>
  </si>
  <si>
    <t>B7176ANODA_3M</t>
  </si>
  <si>
    <t>PROFIL LED POR 105cm ANODOWANY</t>
  </si>
  <si>
    <t>20,10</t>
  </si>
  <si>
    <t>5906660788010</t>
  </si>
  <si>
    <t>PROFIL LED POR 105cm ANODOWANY MLECZNY</t>
  </si>
  <si>
    <t>POR-ALU-ML-1 05M-A</t>
  </si>
  <si>
    <t>5903684853427</t>
  </si>
  <si>
    <t>1369</t>
  </si>
  <si>
    <t>PROFIL LED POR 105CM ANODOWANY MLECZNY</t>
  </si>
  <si>
    <t>26,92</t>
  </si>
  <si>
    <t>POR-ALU-ML-A</t>
  </si>
  <si>
    <t>PROFIL LED POR 210cm ANODOWANY</t>
  </si>
  <si>
    <t>5906660788027</t>
  </si>
  <si>
    <t>PROFIL LED POR 210cm ANODOWANY MLECZNY</t>
  </si>
  <si>
    <t>POR-ALU-ML-2 10M-A</t>
  </si>
  <si>
    <t>70449</t>
  </si>
  <si>
    <t>5902280334675</t>
  </si>
  <si>
    <t>PROFIL LED PULA 1m ANODOWANY</t>
  </si>
  <si>
    <t>107,60</t>
  </si>
  <si>
    <t>5902280308980</t>
  </si>
  <si>
    <t>PROFIL LED PULA 2m ANODOWANY</t>
  </si>
  <si>
    <t>215,30</t>
  </si>
  <si>
    <t>5902280307051</t>
  </si>
  <si>
    <t>PROFIL LED PULA 3m ANODOWANY</t>
  </si>
  <si>
    <t>322,90</t>
  </si>
  <si>
    <t>PULA-ALU-3M-A</t>
  </si>
  <si>
    <t>5902280308973</t>
  </si>
  <si>
    <t>81,80</t>
  </si>
  <si>
    <t>5902280334125</t>
  </si>
  <si>
    <t>245,40</t>
  </si>
  <si>
    <t>5902280334132</t>
  </si>
  <si>
    <t>175,70</t>
  </si>
  <si>
    <t>5902280329787</t>
  </si>
  <si>
    <t>Profil led REGULOR ZWK 1m</t>
  </si>
  <si>
    <t>20,90</t>
  </si>
  <si>
    <t>5906660784692</t>
  </si>
  <si>
    <t>PROFIL LED REGULOR ZWK 1m + OSŁONA</t>
  </si>
  <si>
    <t>37,22</t>
  </si>
  <si>
    <t>Profil led REGULOR ZWK 2m</t>
  </si>
  <si>
    <t>41,80</t>
  </si>
  <si>
    <t>5906660784685</t>
  </si>
  <si>
    <t>PROFIL LED REGULOR ZWK 2m + OSŁONA</t>
  </si>
  <si>
    <t>74,44</t>
  </si>
  <si>
    <t>REGULOR-2M-A-CZ</t>
  </si>
  <si>
    <t>5902280334736</t>
  </si>
  <si>
    <t>B4683K7_2</t>
  </si>
  <si>
    <t>PROFIL LED REGULOR ZWK 2m BEZ WKŁADU</t>
  </si>
  <si>
    <t>22,31</t>
  </si>
  <si>
    <t>B4683ANODA_2</t>
  </si>
  <si>
    <t>Profil led REGULOR ZWK 3m</t>
  </si>
  <si>
    <t>62,60</t>
  </si>
  <si>
    <t>5906660786290</t>
  </si>
  <si>
    <t>PROFIL LED REGULOR ZWK 3m + OSŁONA</t>
  </si>
  <si>
    <t>111,66</t>
  </si>
  <si>
    <t>PROFIL LED SEKODU 1m ANODOWANY</t>
  </si>
  <si>
    <t>102,10</t>
  </si>
  <si>
    <t>5902280301998</t>
  </si>
  <si>
    <t>Profil led Sekodu 1m anodowany z osłoną mleczną</t>
  </si>
  <si>
    <t>186,55</t>
  </si>
  <si>
    <t>Profil led Sekodu 1m anodowany z osłoną mleczną LIGER</t>
  </si>
  <si>
    <t>188,80</t>
  </si>
  <si>
    <t>SEKODU-ALU-ML-1M-L</t>
  </si>
  <si>
    <t>PROFIL LED SEKODU 2m ANODOWANY</t>
  </si>
  <si>
    <t>204,10</t>
  </si>
  <si>
    <t>5902280301431</t>
  </si>
  <si>
    <t>Profil led Sekodu 2m anodowany z osłoną mleczną</t>
  </si>
  <si>
    <t>303,75</t>
  </si>
  <si>
    <t>Profil led Sekodu 2m anodowany z osłonąmleczną LIGER</t>
  </si>
  <si>
    <t>377,60</t>
  </si>
  <si>
    <t>SEKODU-ALU-ML-2M-L</t>
  </si>
  <si>
    <t>PROFIL LED SEKODU 3m ANODOWANY</t>
  </si>
  <si>
    <t>306,20</t>
  </si>
  <si>
    <t>5902280303497</t>
  </si>
  <si>
    <t>Profil led Sekodu 3m anodowany z osłoną mleczną</t>
  </si>
  <si>
    <t>559,65</t>
  </si>
  <si>
    <t>Profil led Sekodu 3m anodowany z osłoną mleczną LIGER</t>
  </si>
  <si>
    <t>566,40</t>
  </si>
  <si>
    <t>SEKODU-ALU-ML-3M-L</t>
  </si>
  <si>
    <t>PROFIL LED SEKOMA 1m ANODOWANY</t>
  </si>
  <si>
    <t>98,90</t>
  </si>
  <si>
    <t>5902280300014</t>
  </si>
  <si>
    <t>Profil led Sekoma 1m anodowany z osłoną mleczną</t>
  </si>
  <si>
    <t>182,45</t>
  </si>
  <si>
    <t>PROFIL LED SEKOMA 2m ANODOWANY</t>
  </si>
  <si>
    <t>197,70</t>
  </si>
  <si>
    <t>5902280300021</t>
  </si>
  <si>
    <t>Profil led Sekoma 2m anodowany z osłoną mleczną</t>
  </si>
  <si>
    <t>364,90</t>
  </si>
  <si>
    <t>Profil led Sekoma 2m anodowany z osłoną mleczną LIGER</t>
  </si>
  <si>
    <t>369,40</t>
  </si>
  <si>
    <t>SEKOMA-ALU-ML-2M-L</t>
  </si>
  <si>
    <t>PROFIL LED SEKOMA 3m ANODOWANY</t>
  </si>
  <si>
    <t>296,50</t>
  </si>
  <si>
    <t>5902280300038</t>
  </si>
  <si>
    <t>Profil led Sekoma 3m anodowany z osłoną mleczną LIGER</t>
  </si>
  <si>
    <t>554,10</t>
  </si>
  <si>
    <t>5903684853168</t>
  </si>
  <si>
    <t>PROFIL LED SEPOD 1m ANODOWANY</t>
  </si>
  <si>
    <t>103,50</t>
  </si>
  <si>
    <t>5902280301981</t>
  </si>
  <si>
    <t>Profil led Sepod 1m anodowany z osłoną mleczną</t>
  </si>
  <si>
    <t>189,70</t>
  </si>
  <si>
    <t>Profil led Sepod 1m anodowany z osłoną mleczną LIGER</t>
  </si>
  <si>
    <t>191,95</t>
  </si>
  <si>
    <t>SEPOD-ALU-ML-1M-L</t>
  </si>
  <si>
    <t>PROFIL LED SEPOD 2m ANODOWANY</t>
  </si>
  <si>
    <t>196,70</t>
  </si>
  <si>
    <t>5902280301349</t>
  </si>
  <si>
    <t>Profil led Sepod 2m anodowany z osłoną mleczną</t>
  </si>
  <si>
    <t>379,40</t>
  </si>
  <si>
    <t>profil led Sepod 2m anodowany z osłoną mleczną LIGER</t>
  </si>
  <si>
    <t>383,90</t>
  </si>
  <si>
    <t>SEPOD-ALU-ML-2M-L</t>
  </si>
  <si>
    <t>PROFIL LED SEPOD 3m ANODOWANY</t>
  </si>
  <si>
    <t>295,20</t>
  </si>
  <si>
    <t>5902280302278</t>
  </si>
  <si>
    <t>Profil led Sepod 3m anodowany z osłoną mleczną</t>
  </si>
  <si>
    <t>569,10</t>
  </si>
  <si>
    <t>Profil led Sepod 3m anodowany z osłoną mleczną LIGER</t>
  </si>
  <si>
    <t>575,85</t>
  </si>
  <si>
    <t>SEPOD-ALU-ML-3M-L</t>
  </si>
  <si>
    <t>5902280311270</t>
  </si>
  <si>
    <t>Profil led SILER 1m anodowany czarny</t>
  </si>
  <si>
    <t>5902280338017</t>
  </si>
  <si>
    <t>26,10</t>
  </si>
  <si>
    <t>5902280311287</t>
  </si>
  <si>
    <t>Profil led SILER 2m anodowany czarny</t>
  </si>
  <si>
    <t>47,80</t>
  </si>
  <si>
    <t>5902280338000</t>
  </si>
  <si>
    <t>Profil led Siler 2m lakierowany biały</t>
  </si>
  <si>
    <t>44,20</t>
  </si>
  <si>
    <t>5902280348412</t>
  </si>
  <si>
    <t>5902280311294</t>
  </si>
  <si>
    <t>Profil led SILER 3m anodowany czarny</t>
  </si>
  <si>
    <t>71,70</t>
  </si>
  <si>
    <t>5902280338024</t>
  </si>
  <si>
    <t>43,10</t>
  </si>
  <si>
    <t>5906660788232</t>
  </si>
  <si>
    <t>86,10</t>
  </si>
  <si>
    <t>5906660788249</t>
  </si>
  <si>
    <t>129,20</t>
  </si>
  <si>
    <t>STEKO-ALU-3M</t>
  </si>
  <si>
    <t>5902280302285</t>
  </si>
  <si>
    <t>PROFIL LED STEP 1m ANODOWANY</t>
  </si>
  <si>
    <t>100,80</t>
  </si>
  <si>
    <t>5902280318460</t>
  </si>
  <si>
    <t>PROFIL LED STEP 1m ANODOWANY CZARNY</t>
  </si>
  <si>
    <t>5902280319856</t>
  </si>
  <si>
    <t>PROFIL LED STEP 2m ANODOWANY</t>
  </si>
  <si>
    <t>201,50</t>
  </si>
  <si>
    <t>5902280318453</t>
  </si>
  <si>
    <t>PROFIL LED STEP 2m ANODOWANY CZARNY</t>
  </si>
  <si>
    <t>212,20</t>
  </si>
  <si>
    <t>5902280319849</t>
  </si>
  <si>
    <t>PROFIL LED STEP 3m ANODOWANY</t>
  </si>
  <si>
    <t>302,30</t>
  </si>
  <si>
    <t>5902280318477</t>
  </si>
  <si>
    <t>PROFIL LED STEP 3m ANODOWANY CZARNY</t>
  </si>
  <si>
    <t>318,40</t>
  </si>
  <si>
    <t>STEP-ALU-3M-CZ</t>
  </si>
  <si>
    <t>5902280319863</t>
  </si>
  <si>
    <t>PROFIL LED STEPUS 1m ANODOWANY</t>
  </si>
  <si>
    <t>102,20</t>
  </si>
  <si>
    <t>STEPUS-ALU-1M</t>
  </si>
  <si>
    <t>5902280311355</t>
  </si>
  <si>
    <t>18038_1</t>
  </si>
  <si>
    <t>PROFIL LED STEPUS 1m ANODOWANY CZARNY</t>
  </si>
  <si>
    <t>109,20</t>
  </si>
  <si>
    <t>STEPUS-ALU-1M-CZ</t>
  </si>
  <si>
    <t>5902280326069</t>
  </si>
  <si>
    <t>PROFIL LED STEPUS 2m ANODOWANY</t>
  </si>
  <si>
    <t>204,40</t>
  </si>
  <si>
    <t>5902280310358</t>
  </si>
  <si>
    <t>18038_2</t>
  </si>
  <si>
    <t>PROFIL LED STEPUS 2m ANODOWANY CZARNY</t>
  </si>
  <si>
    <t>218,50</t>
  </si>
  <si>
    <t>STEPUS-ALU-2M-CZ</t>
  </si>
  <si>
    <t>5902280326045</t>
  </si>
  <si>
    <t>PROFIL LED STEPUS 3m ANODOWANY</t>
  </si>
  <si>
    <t>306,50</t>
  </si>
  <si>
    <t>STEPUS-ALU-3M</t>
  </si>
  <si>
    <t>5902280310365</t>
  </si>
  <si>
    <t>18038_3</t>
  </si>
  <si>
    <t>PROFIL LED STEPUS 3m ANODOWANY CZARNY</t>
  </si>
  <si>
    <t>327,70</t>
  </si>
  <si>
    <t>STEPUS-ALU-3M-CZ</t>
  </si>
  <si>
    <t>5902280326052</t>
  </si>
  <si>
    <t>19,00</t>
  </si>
  <si>
    <t>5906660785293</t>
  </si>
  <si>
    <t>PROFIL LED STOS 1m MLECZNA ANODOWANY</t>
  </si>
  <si>
    <t>5901885268088</t>
  </si>
  <si>
    <t>00155_1</t>
  </si>
  <si>
    <t>PROFIL LED STOS 1m PRZEŹROCZYSTA ANODOWA NY</t>
  </si>
  <si>
    <t>00156_1</t>
  </si>
  <si>
    <t>38,00</t>
  </si>
  <si>
    <t>5906660780243</t>
  </si>
  <si>
    <t>PROFIL LED STOS 2m MLECZNA ANODOWANY</t>
  </si>
  <si>
    <t>5901885268071</t>
  </si>
  <si>
    <t>00155_2</t>
  </si>
  <si>
    <t>PROFIL LED STOS 2m PRZEŹROCZYSTA ANODOWA NY</t>
  </si>
  <si>
    <t>00156_2</t>
  </si>
  <si>
    <t>5906660784173</t>
  </si>
  <si>
    <t>PROFIL LED STOS 3m MLECZNA ANODOWANY</t>
  </si>
  <si>
    <t>00155_3</t>
  </si>
  <si>
    <t>PROFIL LED TAPO 1m ANODOWANY ( PDS4 )</t>
  </si>
  <si>
    <t>12,20</t>
  </si>
  <si>
    <t>TAPO-1M-A</t>
  </si>
  <si>
    <t>5902280334538</t>
  </si>
  <si>
    <t>PROFIL LED TAPO 2m ANODOWANY ( PDS4 )</t>
  </si>
  <si>
    <t>TAPO-2M-A</t>
  </si>
  <si>
    <t>5902280330172</t>
  </si>
  <si>
    <t>PROFIL LED TE-4 1m wyc.</t>
  </si>
  <si>
    <t>32,82</t>
  </si>
  <si>
    <t>5902280301776</t>
  </si>
  <si>
    <t>18019WNA-1M</t>
  </si>
  <si>
    <t>PROFIL LED TE-4 2m wyc.</t>
  </si>
  <si>
    <t>65,64</t>
  </si>
  <si>
    <t>TE4-2M</t>
  </si>
  <si>
    <t>5902280301769</t>
  </si>
  <si>
    <t>18019WNA-2M</t>
  </si>
  <si>
    <t>PROFIL LED TE-4 3m wyc.</t>
  </si>
  <si>
    <t>98,46</t>
  </si>
  <si>
    <t>TE4-3M</t>
  </si>
  <si>
    <t>5902280302124</t>
  </si>
  <si>
    <t>18019WNA-3M</t>
  </si>
  <si>
    <t>32,10</t>
  </si>
  <si>
    <t>5902280317890</t>
  </si>
  <si>
    <t>64,20</t>
  </si>
  <si>
    <t>5902280315049</t>
  </si>
  <si>
    <t>96,30</t>
  </si>
  <si>
    <t>5902280317975</t>
  </si>
  <si>
    <t>PROFIL LED TEKNIK-ZM-TK 1M</t>
  </si>
  <si>
    <t>37,40</t>
  </si>
  <si>
    <t>TEKNIK-ZM-TK-1M</t>
  </si>
  <si>
    <t>5902280332473</t>
  </si>
  <si>
    <t>C1554_1</t>
  </si>
  <si>
    <t>PROFIL LED TEKNIK-ZM-TK 2M</t>
  </si>
  <si>
    <t>74,80</t>
  </si>
  <si>
    <t>TEKNIK-ZM-TK-2M</t>
  </si>
  <si>
    <t>5902280323853</t>
  </si>
  <si>
    <t>C1554_2</t>
  </si>
  <si>
    <t>PROFIL LED TEKNIK-ZM-TK 3M</t>
  </si>
  <si>
    <t>112,20</t>
  </si>
  <si>
    <t>TEKNIK-ZM-TK-3M</t>
  </si>
  <si>
    <t>5902280328117</t>
  </si>
  <si>
    <t>C1554_3</t>
  </si>
  <si>
    <t>PROFIL LED TEKUS V1 1m</t>
  </si>
  <si>
    <t>23,30</t>
  </si>
  <si>
    <t>TEKUSV1-ALU-1M</t>
  </si>
  <si>
    <t>5902280308010</t>
  </si>
  <si>
    <t>PROFIL LED TEKUS V1 2m</t>
  </si>
  <si>
    <t>46,40</t>
  </si>
  <si>
    <t>5902280306696</t>
  </si>
  <si>
    <t>PROFIL LED TEKUS V1 3m</t>
  </si>
  <si>
    <t>69,70</t>
  </si>
  <si>
    <t>TEKUSV1-ALU-3M</t>
  </si>
  <si>
    <t>5902280308027</t>
  </si>
  <si>
    <t>PROFIL LED TEKUS-ZM 1m</t>
  </si>
  <si>
    <t>32,70</t>
  </si>
  <si>
    <t>5902280322245</t>
  </si>
  <si>
    <t>PROFIL LED TEKUS-ZM 2m</t>
  </si>
  <si>
    <t>TEKUS-ZM-2M</t>
  </si>
  <si>
    <t>5902280322177</t>
  </si>
  <si>
    <t>PROFIL LED TEKUS-ZM 3m</t>
  </si>
  <si>
    <t>98,00</t>
  </si>
  <si>
    <t>TEKUS-ZM-3M</t>
  </si>
  <si>
    <t>5902280322238</t>
  </si>
  <si>
    <t>PROFIL LED TEPIKO 1m ANODOWANY</t>
  </si>
  <si>
    <t>TEPIKO-ALU-1M-A</t>
  </si>
  <si>
    <t>5902280326649</t>
  </si>
  <si>
    <t>PROFIL LED TEPIKO 2m ANODOWANY</t>
  </si>
  <si>
    <t>52,10</t>
  </si>
  <si>
    <t>TEPIKO-ALU-2M-A</t>
  </si>
  <si>
    <t>5902280323006</t>
  </si>
  <si>
    <t>PROFIL LED TEPIKO 3m ANODOWANY</t>
  </si>
  <si>
    <t>78,20</t>
  </si>
  <si>
    <t>5902280326656</t>
  </si>
  <si>
    <t>PROFIL LED TES-16 1m</t>
  </si>
  <si>
    <t>5902280322597</t>
  </si>
  <si>
    <t>18022NA_1</t>
  </si>
  <si>
    <t>PROFIL LED TES-16 2m</t>
  </si>
  <si>
    <t>149,60</t>
  </si>
  <si>
    <t>5902280312321</t>
  </si>
  <si>
    <t>18022NA_2</t>
  </si>
  <si>
    <t>PROFIL LED TES-16 3m</t>
  </si>
  <si>
    <t>224,40</t>
  </si>
  <si>
    <t>5902280327127</t>
  </si>
  <si>
    <t>18022NA_3</t>
  </si>
  <si>
    <t>PROFIL LED TESE 1m</t>
  </si>
  <si>
    <t>63,00</t>
  </si>
  <si>
    <t>5902280327134</t>
  </si>
  <si>
    <t>18021NA-1M</t>
  </si>
  <si>
    <t>PROFIL LED TESE 2m</t>
  </si>
  <si>
    <t>126,00</t>
  </si>
  <si>
    <t>5902280327141</t>
  </si>
  <si>
    <t>18021NA-2M</t>
  </si>
  <si>
    <t>PROFIL LED TESE 3m</t>
  </si>
  <si>
    <t>189,10</t>
  </si>
  <si>
    <t>5902280327158</t>
  </si>
  <si>
    <t>18021NA-3M</t>
  </si>
  <si>
    <t>PROFIL LED TESPO 1m ANODOWANY ( do SEPOD )</t>
  </si>
  <si>
    <t>86,80</t>
  </si>
  <si>
    <t>5902280303855</t>
  </si>
  <si>
    <t>18020ANODA-1M</t>
  </si>
  <si>
    <t>PROFIL LED TESPO 2m ANODOWANY ( do SEPOD )</t>
  </si>
  <si>
    <t>173,50</t>
  </si>
  <si>
    <t>5902280301899</t>
  </si>
  <si>
    <t>18020ANODA-2M</t>
  </si>
  <si>
    <t>PROFIL LED TESPO 3m ANODOWANY ( do SEPOD )</t>
  </si>
  <si>
    <t>260,20</t>
  </si>
  <si>
    <t>5902280302315</t>
  </si>
  <si>
    <t>18020ANODA-3M</t>
  </si>
  <si>
    <t>PROFIL LED TEST-36 1m ANODOWANY ( do STO S )</t>
  </si>
  <si>
    <t>13,60</t>
  </si>
  <si>
    <t>5902280302193</t>
  </si>
  <si>
    <t>PROFIL LED TEST-36 2m ANODOWANY ( do STO S )</t>
  </si>
  <si>
    <t>27,20</t>
  </si>
  <si>
    <t>5902280303817</t>
  </si>
  <si>
    <t>PROFIL LED TEST-36 3m ANODOWANY ( do STO S )</t>
  </si>
  <si>
    <t>40,80</t>
  </si>
  <si>
    <t>TEST36-ALU-3M</t>
  </si>
  <si>
    <t>5902280302261</t>
  </si>
  <si>
    <t>PROFIL LED TEST-74 1m ANODOWANY ( do STO S )</t>
  </si>
  <si>
    <t>5902280302209</t>
  </si>
  <si>
    <t>PROFIL LED TEST-74 2m ANODOWANY ( do STO S )</t>
  </si>
  <si>
    <t>37,80</t>
  </si>
  <si>
    <t>5902280301318</t>
  </si>
  <si>
    <t>PROFIL LED TEST-74 3m ANODOWANY ( do STO S )</t>
  </si>
  <si>
    <t>56,70</t>
  </si>
  <si>
    <t>5902280303589</t>
  </si>
  <si>
    <t>PROFIL LED TETRA-43 1m ANODOWANY ( do TR IADA )</t>
  </si>
  <si>
    <t>21,10</t>
  </si>
  <si>
    <t>5902280302216</t>
  </si>
  <si>
    <t>PROFIL LED TETRA-43 2m ANODOWANY ( do TR IADA )</t>
  </si>
  <si>
    <t>42,20</t>
  </si>
  <si>
    <t>5902280301325</t>
  </si>
  <si>
    <t>W4476-2M</t>
  </si>
  <si>
    <t>PROFIL LED TETRA-43 3m ANODOWANY ( do TR IADA )</t>
  </si>
  <si>
    <t>63,30</t>
  </si>
  <si>
    <t>5902280303930</t>
  </si>
  <si>
    <t>W4476-3M</t>
  </si>
  <si>
    <t>PROFIL LED TETRA-78 1m ANODOWANY ( do TR IADA )</t>
  </si>
  <si>
    <t>25,40</t>
  </si>
  <si>
    <t>5902280302223</t>
  </si>
  <si>
    <t>PROFIL LED TETRA-78 2m ANODOWANY ( do TR IADA )</t>
  </si>
  <si>
    <t>50,60</t>
  </si>
  <si>
    <t>5902280301332</t>
  </si>
  <si>
    <t>PROFIL LED TETRA-78 3m ANODOWANY (do TR IADA)</t>
  </si>
  <si>
    <t>76,00</t>
  </si>
  <si>
    <t>5902280303800</t>
  </si>
  <si>
    <t>5902280320005</t>
  </si>
  <si>
    <t>80,10</t>
  </si>
  <si>
    <t>5902280319870</t>
  </si>
  <si>
    <t>120,10</t>
  </si>
  <si>
    <t>5902280319993</t>
  </si>
  <si>
    <t>PROFIL LED TRIADA 1M ANODOWANY</t>
  </si>
  <si>
    <t>57,40</t>
  </si>
  <si>
    <t>TRIADA-ALU-1M</t>
  </si>
  <si>
    <t>5906660783091</t>
  </si>
  <si>
    <t>PROFIL LED TRIADA 1m MLECZNA ANODOWANY</t>
  </si>
  <si>
    <t>84,05</t>
  </si>
  <si>
    <t>PROFIL LED TRIADA 1m PRZEZROCZYSTA ANODO WANY</t>
  </si>
  <si>
    <t>64,80</t>
  </si>
  <si>
    <t>5903684853472</t>
  </si>
  <si>
    <t>PROFIL LED TRIADA 2m ANODOWANY</t>
  </si>
  <si>
    <t>82,70</t>
  </si>
  <si>
    <t>5906660780281</t>
  </si>
  <si>
    <t>PROFIL LED TRIADA 3M ANODOWANY</t>
  </si>
  <si>
    <t>172,10</t>
  </si>
  <si>
    <t>TRIADA-ALU-3M</t>
  </si>
  <si>
    <t>5906660782940</t>
  </si>
  <si>
    <t>PROFIL LED TRIADA-K 1m ANODOWANY</t>
  </si>
  <si>
    <t>31,59</t>
  </si>
  <si>
    <t>B4477ANODA_1</t>
  </si>
  <si>
    <t>1219000007691</t>
  </si>
  <si>
    <t>PROFIL LED TRIADA-K 1m PRZEZROCZYSTA ANO DOWANY</t>
  </si>
  <si>
    <t>TRIADAK-ALU-CL-1M</t>
  </si>
  <si>
    <t>5903684853373</t>
  </si>
  <si>
    <t>PROFIL LED WERKIN 1m ANODOWANY</t>
  </si>
  <si>
    <t>5902280305071</t>
  </si>
  <si>
    <t>PROFIL LED WERKIN 2m ANODOWANY</t>
  </si>
  <si>
    <t>94,50</t>
  </si>
  <si>
    <t>5902280305064</t>
  </si>
  <si>
    <t>PROFIL LED WERKIN 2m PRZEŹROCZYSTY ANODO WANY HS22</t>
  </si>
  <si>
    <t>148,00</t>
  </si>
  <si>
    <t>WERKIN-ALU-CL-2M-A</t>
  </si>
  <si>
    <t>PROFIL LED WERKIN 3m ANODOWANY</t>
  </si>
  <si>
    <t>141,90</t>
  </si>
  <si>
    <t>5902280305170</t>
  </si>
  <si>
    <t>PROFIL LED WKŁADKA TECH-10 1m</t>
  </si>
  <si>
    <t>2,70</t>
  </si>
  <si>
    <t>5902280332022</t>
  </si>
  <si>
    <t>PROFIL LED WKŁADKA TECH-10 2m</t>
  </si>
  <si>
    <t>5,30</t>
  </si>
  <si>
    <t>5902280328018</t>
  </si>
  <si>
    <t>PROFIL LED WKŁADKA TECH-10 3m</t>
  </si>
  <si>
    <t>8,00</t>
  </si>
  <si>
    <t>5902280332015</t>
  </si>
  <si>
    <t>PROFIL LED WKŁADKA TECH-22 1m</t>
  </si>
  <si>
    <t>3,80</t>
  </si>
  <si>
    <t>5902280318422</t>
  </si>
  <si>
    <t>PROFIL LED WKŁADKA TECH-22 2m</t>
  </si>
  <si>
    <t>7,50</t>
  </si>
  <si>
    <t>5902280318408</t>
  </si>
  <si>
    <t>PROFIL LED WKŁADKA TECH-22 3m</t>
  </si>
  <si>
    <t>11,40</t>
  </si>
  <si>
    <t>5902280318415</t>
  </si>
  <si>
    <t>PROFIL LED WKŁADKA TECH-28 2M</t>
  </si>
  <si>
    <t>18,20</t>
  </si>
  <si>
    <t>5902280331544</t>
  </si>
  <si>
    <t>PROFIL LED WKŁADKA TECH-28 3M</t>
  </si>
  <si>
    <t>5902280333791</t>
  </si>
  <si>
    <t>Profil led wkładka TECH-35 2m</t>
  </si>
  <si>
    <t>19,60</t>
  </si>
  <si>
    <t>5902280342656</t>
  </si>
  <si>
    <t>PROFIL LED WKŁADKA TECH-35 3M</t>
  </si>
  <si>
    <t>5902280342663</t>
  </si>
  <si>
    <t>PROFIL LED WKŁADKA TECH-50 1m</t>
  </si>
  <si>
    <t>5,90</t>
  </si>
  <si>
    <t>5902280323600</t>
  </si>
  <si>
    <t>PROFIL LED WKŁADKA TECH-50 2m</t>
  </si>
  <si>
    <t>11,70</t>
  </si>
  <si>
    <t>5902280323013</t>
  </si>
  <si>
    <t>PROFIL LED WKŁADKA TECH-50 3m</t>
  </si>
  <si>
    <t>17,60</t>
  </si>
  <si>
    <t>5902280323518</t>
  </si>
  <si>
    <t>PROFIL LED WKŁADKA TECH-KA 1m</t>
  </si>
  <si>
    <t>2,00</t>
  </si>
  <si>
    <t>5902280318392</t>
  </si>
  <si>
    <t>PROFIL LED WKŁADKA TECH-KA 2m</t>
  </si>
  <si>
    <t>4,00</t>
  </si>
  <si>
    <t>5902280318378</t>
  </si>
  <si>
    <t>PROFIL LED WKŁADKA TECH-KA 3m</t>
  </si>
  <si>
    <t>6,00</t>
  </si>
  <si>
    <t>5902280318385</t>
  </si>
  <si>
    <t>33,60</t>
  </si>
  <si>
    <t>254,60</t>
  </si>
  <si>
    <t>5902280334118</t>
  </si>
  <si>
    <t>14,00</t>
  </si>
  <si>
    <t>TAKO-1M-A</t>
  </si>
  <si>
    <t>5906660786337</t>
  </si>
  <si>
    <t>Profil TAKO 1m anoda mleczna</t>
  </si>
  <si>
    <t>16,90</t>
  </si>
  <si>
    <t>5901885265841</t>
  </si>
  <si>
    <t>28,20</t>
  </si>
  <si>
    <t>TAKO-2M-A</t>
  </si>
  <si>
    <t>5906660786313</t>
  </si>
  <si>
    <t>33,90</t>
  </si>
  <si>
    <t>5901885265834</t>
  </si>
  <si>
    <t>9,00</t>
  </si>
  <si>
    <t>5906660786368</t>
  </si>
  <si>
    <t>11,60</t>
  </si>
  <si>
    <t>TAMI-1M-A</t>
  </si>
  <si>
    <t>5906660786351</t>
  </si>
  <si>
    <t>Profil TAMI 1m anoda mleczna</t>
  </si>
  <si>
    <t>15,20</t>
  </si>
  <si>
    <t>5901885265896</t>
  </si>
  <si>
    <t>Profil TAMI 1m mleczna</t>
  </si>
  <si>
    <t>12,00</t>
  </si>
  <si>
    <t>5901885265810</t>
  </si>
  <si>
    <t>B5390_1</t>
  </si>
  <si>
    <t>18,10</t>
  </si>
  <si>
    <t>5906660786306</t>
  </si>
  <si>
    <t>TAMI-2M-A</t>
  </si>
  <si>
    <t>5906660786344</t>
  </si>
  <si>
    <t>30,50</t>
  </si>
  <si>
    <t>5901885265902</t>
  </si>
  <si>
    <t>25,30</t>
  </si>
  <si>
    <t>5901885265827</t>
  </si>
  <si>
    <t>B5390_2</t>
  </si>
  <si>
    <t>13,30</t>
  </si>
  <si>
    <t>TAN-C5-1M</t>
  </si>
  <si>
    <t>5906660786399</t>
  </si>
  <si>
    <t>TAN-C5-1M-A</t>
  </si>
  <si>
    <t>5906660786412</t>
  </si>
  <si>
    <t>19,90</t>
  </si>
  <si>
    <t>5901885265919</t>
  </si>
  <si>
    <t>16,20</t>
  </si>
  <si>
    <t>5901885265803</t>
  </si>
  <si>
    <t>B5391_1</t>
  </si>
  <si>
    <t>26,70</t>
  </si>
  <si>
    <t>TAN-C5-2M</t>
  </si>
  <si>
    <t>5906660786382</t>
  </si>
  <si>
    <t>TAN-C5-2M-A</t>
  </si>
  <si>
    <t>5906660786405</t>
  </si>
  <si>
    <t>39,80</t>
  </si>
  <si>
    <t>5901885265926</t>
  </si>
  <si>
    <t>5901885265865</t>
  </si>
  <si>
    <t>B5391_2</t>
  </si>
  <si>
    <t>18,30</t>
  </si>
  <si>
    <t>TOST-1M-A</t>
  </si>
  <si>
    <t>5906660786443</t>
  </si>
  <si>
    <t>21,20</t>
  </si>
  <si>
    <t>5903684850143</t>
  </si>
  <si>
    <t>36,70</t>
  </si>
  <si>
    <t>5906660786436</t>
  </si>
  <si>
    <t>42,50</t>
  </si>
  <si>
    <t>5903684850150</t>
  </si>
  <si>
    <t>28,90</t>
  </si>
  <si>
    <t>42703</t>
  </si>
  <si>
    <t>5906660789161</t>
  </si>
  <si>
    <t>detal netto</t>
  </si>
  <si>
    <t>detal brutto</t>
  </si>
  <si>
    <t>Hurt brutto</t>
  </si>
  <si>
    <t>kpl detal netto</t>
  </si>
  <si>
    <t>kpl detal brutto</t>
  </si>
  <si>
    <t xml:space="preserve">kpl hurt netto </t>
  </si>
  <si>
    <t>kpl hurt brutto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</si>
</sst>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0">
    <font>
      <sz val="11.0"/>
      <color theme="1"/>
      <name val="Calibri"/>
      <scheme val="minor"/>
    </font>
    <font>
      <b/>
      <color theme="1"/>
      <name val="Arial"/>
    </font>
    <font>
      <b/>
      <sz val="26.0"/>
      <color theme="1"/>
      <name val="&quot;Arial CE&quot;"/>
    </font>
    <font>
      <b/>
      <sz val="11.0"/>
      <color rgb="FF000000"/>
      <name val="Calibri"/>
    </font>
    <font>
      <color theme="1"/>
      <name val="&quot;Arial CE&quot;"/>
    </font>
    <font>
      <color theme="1"/>
      <name val="Arial"/>
    </font>
    <font>
      <sz val="26.0"/>
      <color theme="1"/>
      <name val="&quot;Arial CE&quot;"/>
    </font>
    <font>
      <sz val="11.0"/>
      <color rgb="FF000000"/>
      <name val="Calibri"/>
    </font>
    <font>
      <color rgb="FF000000"/>
      <name val="Arial"/>
    </font>
    <font>
      <color rgb="FFFF0000"/>
      <name val="&quot;Arial CE&quot;"/>
    </font>
    <font>
      <color rgb="FF000000"/>
      <name val="&quot;Arial CE&quot;"/>
    </font>
    <font>
      <color rgb="FFFF0000"/>
      <name val="Arial"/>
    </font>
    <font>
      <sz val="11.0"/>
      <color rgb="FFFF0000"/>
      <name val="Calibri"/>
    </font>
    <font>
      <color theme="1"/>
      <name val="Calibri"/>
    </font>
    <font>
      <color rgb="FF262626"/>
      <name val="&quot;Arial CE&quot;"/>
    </font>
    <font>
      <sz val="20.0"/>
      <color theme="1"/>
      <name val="&quot;Arial CE&quot;"/>
    </font>
    <font>
      <b/>
      <sz val="24.0"/>
      <color theme="1"/>
      <name val="&quot;Arial CE&quot;"/>
    </font>
    <font>
      <sz val="24.0"/>
      <color theme="1"/>
      <name val="&quot;Arial CE&quot;"/>
    </font>
    <font>
      <sz val="16.0"/>
      <color theme="1"/>
      <name val="&quot;Arial CE&quot;"/>
    </font>
    <font>
      <sz val="18.0"/>
      <color theme="1"/>
      <name val="Arial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000000"/>
      <name val="Calibri"/>
    </font>
    <font>
      <color rgb="FF000000"/>
      <name val="Calibri"/>
    </font>
    <font>
      <color rgb="FF000000"/>
      <name val="Docs-Calibri"/>
    </font>
    <font>
      <b/>
      <sz val="9.0"/>
      <color theme="1"/>
      <name val="Calibri"/>
    </font>
    <font>
      <b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2" fontId="4" numFmtId="0" xfId="0" applyAlignment="1" applyBorder="1" applyFont="1">
      <alignment horizontal="left" readingOrder="0" shrinkToFit="0" wrapText="0"/>
    </xf>
    <xf borderId="2" fillId="2" fontId="5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left" readingOrder="0" shrinkToFit="0" wrapText="0"/>
    </xf>
    <xf borderId="3" fillId="2" fontId="4" numFmtId="0" xfId="0" applyAlignment="1" applyBorder="1" applyFont="1">
      <alignment horizontal="left" readingOrder="0"/>
    </xf>
    <xf borderId="4" fillId="2" fontId="5" numFmtId="0" xfId="0" applyAlignment="1" applyBorder="1" applyFont="1">
      <alignment horizontal="right" readingOrder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2" fontId="4" numFmtId="0" xfId="0" applyAlignment="1" applyBorder="1" applyFont="1">
      <alignment horizontal="center" readingOrder="0" shrinkToFit="0" wrapText="0"/>
    </xf>
    <xf borderId="1" fillId="2" fontId="4" numFmtId="0" xfId="0" applyAlignment="1" applyBorder="1" applyFont="1">
      <alignment horizontal="left" readingOrder="0"/>
    </xf>
    <xf borderId="2" fillId="2" fontId="5" numFmtId="0" xfId="0" applyAlignment="1" applyBorder="1" applyFont="1">
      <alignment horizontal="right" readingOrder="0"/>
    </xf>
    <xf borderId="5" fillId="2" fontId="4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6" fillId="2" fontId="4" numFmtId="0" xfId="0" applyAlignment="1" applyBorder="1" applyFont="1">
      <alignment horizontal="left" readingOrder="0" shrinkToFit="0" wrapText="0"/>
    </xf>
    <xf borderId="7" fillId="2" fontId="4" numFmtId="0" xfId="0" applyAlignment="1" applyBorder="1" applyFont="1">
      <alignment horizontal="center" readingOrder="0" shrinkToFit="0" wrapText="0"/>
    </xf>
    <xf borderId="4" fillId="2" fontId="4" numFmtId="0" xfId="0" applyAlignment="1" applyBorder="1" applyFont="1">
      <alignment horizontal="left" readingOrder="0" shrinkToFit="0" wrapText="0"/>
    </xf>
    <xf borderId="8" fillId="2" fontId="4" numFmtId="0" xfId="0" applyAlignment="1" applyBorder="1" applyFont="1">
      <alignment horizontal="center" readingOrder="0" shrinkToFit="0" wrapText="0"/>
    </xf>
    <xf borderId="2" fillId="2" fontId="4" numFmtId="0" xfId="0" applyAlignment="1" applyBorder="1" applyFont="1">
      <alignment horizontal="left" readingOrder="0" shrinkToFit="0" wrapText="0"/>
    </xf>
    <xf borderId="9" fillId="2" fontId="4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left" readingOrder="0" shrinkToFit="0" wrapText="0"/>
    </xf>
    <xf borderId="9" fillId="0" fontId="4" numFmtId="0" xfId="0" applyAlignment="1" applyBorder="1" applyFont="1">
      <alignment horizontal="center" readingOrder="0" shrinkToFit="0" wrapText="0"/>
    </xf>
    <xf borderId="2" fillId="2" fontId="5" numFmtId="0" xfId="0" applyAlignment="1" applyBorder="1" applyFont="1">
      <alignment horizontal="left" readingOrder="0"/>
    </xf>
    <xf borderId="9" fillId="2" fontId="5" numFmtId="0" xfId="0" applyAlignment="1" applyBorder="1" applyFont="1">
      <alignment horizontal="center" readingOrder="0"/>
    </xf>
    <xf borderId="2" fillId="2" fontId="8" numFmtId="0" xfId="0" applyAlignment="1" applyBorder="1" applyFont="1">
      <alignment horizontal="left" readingOrder="0"/>
    </xf>
    <xf borderId="9" fillId="2" fontId="8" numFmtId="0" xfId="0" applyAlignment="1" applyBorder="1" applyFont="1">
      <alignment horizontal="center" readingOrder="0"/>
    </xf>
    <xf borderId="0" fillId="0" fontId="9" numFmtId="0" xfId="0" applyAlignment="1" applyFont="1">
      <alignment shrinkToFit="0" vertical="bottom" wrapText="0"/>
    </xf>
    <xf borderId="2" fillId="0" fontId="8" numFmtId="0" xfId="0" applyAlignment="1" applyBorder="1" applyFont="1">
      <alignment horizontal="left" readingOrder="0" shrinkToFit="0" wrapText="0"/>
    </xf>
    <xf borderId="9" fillId="0" fontId="5" numFmtId="0" xfId="0" applyAlignment="1" applyBorder="1" applyFont="1">
      <alignment horizontal="center" readingOrder="0" shrinkToFit="0" wrapText="0"/>
    </xf>
    <xf borderId="2" fillId="2" fontId="4" numFmtId="0" xfId="0" applyAlignment="1" applyBorder="1" applyFont="1">
      <alignment horizontal="left" readingOrder="0"/>
    </xf>
    <xf borderId="9" fillId="2" fontId="4" numFmtId="0" xfId="0" applyAlignment="1" applyBorder="1" applyFont="1">
      <alignment horizontal="center" readingOrder="0"/>
    </xf>
    <xf borderId="2" fillId="2" fontId="8" numFmtId="0" xfId="0" applyAlignment="1" applyBorder="1" applyFont="1">
      <alignment horizontal="left" readingOrder="0" shrinkToFit="0" wrapText="0"/>
    </xf>
    <xf borderId="9" fillId="2" fontId="8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left" readingOrder="0"/>
    </xf>
    <xf borderId="9" fillId="0" fontId="5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9" fillId="0" fontId="5" numFmtId="0" xfId="0" applyAlignment="1" applyBorder="1" applyFont="1">
      <alignment horizontal="center" readingOrder="0" shrinkToFit="0" wrapText="0"/>
    </xf>
    <xf borderId="0" fillId="2" fontId="7" numFmtId="0" xfId="0" applyAlignment="1" applyFont="1">
      <alignment shrinkToFit="0" vertical="bottom" wrapText="0"/>
    </xf>
    <xf borderId="2" fillId="0" fontId="10" numFmtId="0" xfId="0" applyAlignment="1" applyBorder="1" applyFont="1">
      <alignment horizontal="left" readingOrder="0" shrinkToFit="0" wrapText="0"/>
    </xf>
    <xf borderId="9" fillId="0" fontId="10" numFmtId="0" xfId="0" applyAlignment="1" applyBorder="1" applyFont="1">
      <alignment horizontal="center" readingOrder="0" shrinkToFit="0" wrapText="0"/>
    </xf>
    <xf borderId="0" fillId="2" fontId="9" numFmtId="0" xfId="0" applyAlignment="1" applyFont="1">
      <alignment shrinkToFit="0" vertical="bottom" wrapText="0"/>
    </xf>
    <xf borderId="9" fillId="2" fontId="5" numFmtId="0" xfId="0" applyAlignment="1" applyBorder="1" applyFont="1">
      <alignment horizontal="center" readingOrder="0" shrinkToFit="0" wrapText="0"/>
    </xf>
    <xf borderId="2" fillId="2" fontId="10" numFmtId="0" xfId="0" applyAlignment="1" applyBorder="1" applyFont="1">
      <alignment horizontal="left" readingOrder="0" shrinkToFit="0" wrapText="0"/>
    </xf>
    <xf borderId="9" fillId="2" fontId="10" numFmtId="0" xfId="0" applyAlignment="1" applyBorder="1" applyFont="1">
      <alignment horizontal="center" readingOrder="0" shrinkToFit="0" wrapText="0"/>
    </xf>
    <xf borderId="2" fillId="2" fontId="10" numFmtId="0" xfId="0" applyAlignment="1" applyBorder="1" applyFont="1">
      <alignment horizontal="left" readingOrder="0" shrinkToFit="0" wrapText="0"/>
    </xf>
    <xf borderId="2" fillId="0" fontId="4" numFmtId="0" xfId="0" applyAlignment="1" applyBorder="1" applyFont="1">
      <alignment horizontal="left" readingOrder="0"/>
    </xf>
    <xf borderId="2" fillId="2" fontId="5" numFmtId="0" xfId="0" applyAlignment="1" applyBorder="1" applyFont="1">
      <alignment horizontal="left" readingOrder="0" shrinkToFit="0" wrapText="0"/>
    </xf>
    <xf borderId="2" fillId="2" fontId="4" numFmtId="0" xfId="0" applyAlignment="1" applyBorder="1" applyFont="1">
      <alignment horizontal="left" readingOrder="0"/>
    </xf>
    <xf borderId="2" fillId="2" fontId="10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left" readingOrder="0"/>
    </xf>
    <xf borderId="2" fillId="0" fontId="5" numFmtId="0" xfId="0" applyAlignment="1" applyBorder="1" applyFont="1">
      <alignment horizontal="right" readingOrder="0"/>
    </xf>
    <xf borderId="1" fillId="2" fontId="4" numFmtId="0" xfId="0" applyAlignment="1" applyBorder="1" applyFont="1">
      <alignment horizontal="left"/>
    </xf>
    <xf borderId="9" fillId="2" fontId="5" numFmtId="0" xfId="0" applyAlignment="1" applyBorder="1" applyFont="1">
      <alignment horizontal="center" readingOrder="0" shrinkToFit="0" wrapText="0"/>
    </xf>
    <xf borderId="2" fillId="2" fontId="9" numFmtId="0" xfId="0" applyAlignment="1" applyBorder="1" applyFont="1">
      <alignment horizontal="left" readingOrder="0" shrinkToFit="0" wrapText="0"/>
    </xf>
    <xf borderId="9" fillId="2" fontId="9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left" readingOrder="0" shrinkToFit="0" wrapText="0"/>
    </xf>
    <xf borderId="1" fillId="0" fontId="9" numFmtId="0" xfId="0" applyAlignment="1" applyBorder="1" applyFont="1">
      <alignment horizontal="left" readingOrder="0"/>
    </xf>
    <xf borderId="2" fillId="2" fontId="11" numFmtId="0" xfId="0" applyAlignment="1" applyBorder="1" applyFont="1">
      <alignment horizontal="right" readingOrder="0"/>
    </xf>
    <xf borderId="0" fillId="0" fontId="12" numFmtId="0" xfId="0" applyAlignment="1" applyFont="1">
      <alignment shrinkToFit="0" vertical="bottom" wrapText="0"/>
    </xf>
    <xf borderId="2" fillId="2" fontId="11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left" readingOrder="0" shrinkToFit="0" wrapText="0"/>
    </xf>
    <xf borderId="0" fillId="0" fontId="13" numFmtId="49" xfId="0" applyAlignment="1" applyFont="1" applyNumberFormat="1">
      <alignment horizontal="left" readingOrder="0" shrinkToFit="0" vertical="bottom" wrapText="0"/>
    </xf>
    <xf borderId="8" fillId="2" fontId="10" numFmtId="0" xfId="0" applyAlignment="1" applyBorder="1" applyFont="1">
      <alignment horizontal="left" readingOrder="0" shrinkToFit="0" wrapText="0"/>
    </xf>
    <xf borderId="2" fillId="2" fontId="10" numFmtId="0" xfId="0" applyAlignment="1" applyBorder="1" applyFont="1">
      <alignment horizontal="center" readingOrder="0" shrinkToFit="0" wrapText="0"/>
    </xf>
    <xf borderId="9" fillId="2" fontId="10" numFmtId="0" xfId="0" applyAlignment="1" applyBorder="1" applyFont="1">
      <alignment horizontal="left" readingOrder="0" shrinkToFit="0" wrapText="0"/>
    </xf>
    <xf borderId="2" fillId="0" fontId="4" numFmtId="0" xfId="0" applyAlignment="1" applyBorder="1" applyFont="1">
      <alignment horizontal="left" readingOrder="0" shrinkToFit="0" wrapText="0"/>
    </xf>
    <xf borderId="9" fillId="0" fontId="4" numFmtId="0" xfId="0" applyAlignment="1" applyBorder="1" applyFont="1">
      <alignment horizontal="center" readingOrder="0" shrinkToFit="0" wrapText="0"/>
    </xf>
    <xf borderId="2" fillId="2" fontId="4" numFmtId="0" xfId="0" applyAlignment="1" applyBorder="1" applyFont="1">
      <alignment horizontal="left" readingOrder="0" shrinkToFit="0" wrapText="0"/>
    </xf>
    <xf borderId="9" fillId="2" fontId="4" numFmtId="0" xfId="0" applyAlignment="1" applyBorder="1" applyFont="1">
      <alignment horizontal="center" readingOrder="0" shrinkToFit="0" wrapText="0"/>
    </xf>
    <xf borderId="9" fillId="2" fontId="10" numFmtId="0" xfId="0" applyAlignment="1" applyBorder="1" applyFont="1">
      <alignment horizontal="center" readingOrder="0" shrinkToFit="0" wrapText="0"/>
    </xf>
    <xf borderId="2" fillId="2" fontId="14" numFmtId="0" xfId="0" applyAlignment="1" applyBorder="1" applyFont="1">
      <alignment horizontal="left" readingOrder="0" shrinkToFit="0" wrapText="0"/>
    </xf>
    <xf borderId="9" fillId="2" fontId="14" numFmtId="0" xfId="0" applyAlignment="1" applyBorder="1" applyFont="1">
      <alignment horizontal="center" readingOrder="0" shrinkToFit="0" wrapText="0"/>
    </xf>
    <xf borderId="2" fillId="0" fontId="14" numFmtId="0" xfId="0" applyAlignment="1" applyBorder="1" applyFont="1">
      <alignment horizontal="left" readingOrder="0" shrinkToFit="0" wrapText="0"/>
    </xf>
    <xf borderId="9" fillId="0" fontId="14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center" readingOrder="0" shrinkToFit="0" wrapText="0"/>
    </xf>
    <xf borderId="2" fillId="0" fontId="10" numFmtId="0" xfId="0" applyAlignment="1" applyBorder="1" applyFont="1">
      <alignment horizontal="left" readingOrder="0" shrinkToFit="0" wrapText="0"/>
    </xf>
    <xf borderId="9" fillId="2" fontId="4" numFmtId="0" xfId="0" applyAlignment="1" applyBorder="1" applyFont="1">
      <alignment horizontal="center" shrinkToFit="0" wrapText="0"/>
    </xf>
    <xf borderId="0" fillId="0" fontId="15" numFmtId="0" xfId="0" applyAlignment="1" applyFont="1">
      <alignment shrinkToFit="0" vertical="bottom" wrapText="0"/>
    </xf>
    <xf borderId="0" fillId="2" fontId="16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7" fillId="0" fontId="5" numFmtId="0" xfId="0" applyAlignment="1" applyBorder="1" applyFont="1">
      <alignment horizontal="left" readingOrder="0" shrinkToFit="0" wrapText="0"/>
    </xf>
    <xf borderId="4" fillId="0" fontId="5" numFmtId="0" xfId="0" applyAlignment="1" applyBorder="1" applyFont="1">
      <alignment horizontal="left" readingOrder="0" shrinkToFit="0" wrapText="0"/>
    </xf>
    <xf borderId="0" fillId="0" fontId="15" numFmtId="0" xfId="0" applyAlignment="1" applyFont="1">
      <alignment horizontal="left" shrinkToFit="0" wrapText="0"/>
    </xf>
    <xf borderId="0" fillId="0" fontId="7" numFmtId="0" xfId="0" applyAlignment="1" applyFont="1">
      <alignment horizontal="left" shrinkToFit="0" wrapText="0"/>
    </xf>
    <xf borderId="0" fillId="0" fontId="18" numFmtId="0" xfId="0" applyAlignment="1" applyFont="1">
      <alignment horizontal="center"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2" fontId="18" numFmtId="0" xfId="0" applyAlignment="1" applyFont="1">
      <alignment horizontal="center" shrinkToFit="0" vertical="bottom" wrapText="0"/>
    </xf>
    <xf borderId="6" fillId="2" fontId="18" numFmtId="0" xfId="0" applyAlignment="1" applyBorder="1" applyFont="1">
      <alignment horizontal="center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20" numFmtId="49" xfId="0" applyAlignment="1" applyFont="1" applyNumberFormat="1">
      <alignment horizontal="center" readingOrder="0" shrinkToFit="0" vertical="center" wrapText="0"/>
    </xf>
    <xf borderId="0" fillId="0" fontId="20" numFmtId="2" xfId="0" applyAlignment="1" applyFont="1" applyNumberForma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0" fillId="2" fontId="22" numFmtId="49" xfId="0" applyAlignment="1" applyFont="1" applyNumberFormat="1">
      <alignment horizontal="center" readingOrder="0" vertical="center"/>
    </xf>
    <xf borderId="0" fillId="0" fontId="20" numFmtId="2" xfId="0" applyAlignment="1" applyFont="1" applyNumberFormat="1">
      <alignment horizontal="center" vertical="center"/>
    </xf>
    <xf borderId="0" fillId="0" fontId="20" numFmtId="9" xfId="0" applyAlignment="1" applyFont="1" applyNumberForma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0" fontId="13" numFmtId="49" xfId="0" applyAlignment="1" applyFont="1" applyNumberFormat="1">
      <alignment horizontal="right" readingOrder="0" shrinkToFit="0" vertical="bottom" wrapText="0"/>
    </xf>
    <xf borderId="0" fillId="2" fontId="23" numFmtId="49" xfId="0" applyAlignment="1" applyFont="1" applyNumberFormat="1">
      <alignment horizontal="left" readingOrder="0"/>
    </xf>
    <xf borderId="0" fillId="0" fontId="21" numFmtId="2" xfId="0" applyFont="1" applyNumberFormat="1"/>
    <xf borderId="0" fillId="0" fontId="21" numFmtId="0" xfId="0" applyFont="1"/>
    <xf borderId="0" fillId="2" fontId="24" numFmtId="49" xfId="0" applyAlignment="1" applyFont="1" applyNumberFormat="1">
      <alignment horizontal="left" readingOrder="0"/>
    </xf>
    <xf borderId="0" fillId="0" fontId="21" numFmtId="49" xfId="0" applyAlignment="1" applyFont="1" applyNumberFormat="1">
      <alignment readingOrder="0"/>
    </xf>
    <xf borderId="0" fillId="0" fontId="13" numFmtId="49" xfId="0" applyAlignment="1" applyFont="1" applyNumberFormat="1">
      <alignment horizontal="left" shrinkToFit="0" vertical="bottom" wrapText="0"/>
    </xf>
    <xf borderId="0" fillId="0" fontId="21" numFmtId="49" xfId="0" applyFont="1" applyNumberFormat="1"/>
    <xf borderId="0" fillId="0" fontId="25" numFmtId="49" xfId="0" applyAlignment="1" applyFont="1" applyNumberFormat="1">
      <alignment horizontal="center" readingOrder="0" shrinkToFit="0" vertical="center" wrapText="0"/>
    </xf>
    <xf borderId="0" fillId="3" fontId="20" numFmtId="49" xfId="0" applyAlignment="1" applyFill="1" applyFont="1" applyNumberFormat="1">
      <alignment horizontal="center" readingOrder="0" vertical="center"/>
    </xf>
    <xf borderId="0" fillId="3" fontId="20" numFmtId="0" xfId="0" applyAlignment="1" applyFont="1">
      <alignment horizontal="center" readingOrder="0" vertical="center"/>
    </xf>
    <xf borderId="0" fillId="4" fontId="26" numFmtId="0" xfId="0" applyAlignment="1" applyFill="1" applyFont="1">
      <alignment horizontal="center" readingOrder="0"/>
    </xf>
    <xf borderId="0" fillId="0" fontId="27" numFmtId="0" xfId="0" applyAlignment="1" applyFont="1">
      <alignment readingOrder="0"/>
    </xf>
    <xf borderId="0" fillId="3" fontId="27" numFmtId="49" xfId="0" applyFont="1" applyNumberFormat="1"/>
    <xf borderId="0" fillId="3" fontId="27" numFmtId="0" xfId="0" applyFont="1"/>
    <xf borderId="0" fillId="4" fontId="28" numFmtId="0" xfId="0" applyAlignment="1" applyFont="1">
      <alignment vertical="bottom"/>
    </xf>
    <xf borderId="0" fillId="0" fontId="27" numFmtId="9" xfId="0" applyAlignment="1" applyFont="1" applyNumberFormat="1">
      <alignment readingOrder="0"/>
    </xf>
    <xf borderId="0" fillId="5" fontId="27" numFmtId="164" xfId="0" applyFill="1" applyFont="1" applyNumberFormat="1"/>
    <xf borderId="0" fillId="0" fontId="28" numFmtId="0" xfId="0" applyAlignment="1" applyFont="1">
      <alignment horizontal="right" vertical="bottom"/>
    </xf>
    <xf borderId="0" fillId="4" fontId="28" numFmtId="0" xfId="0" applyAlignment="1" applyFont="1">
      <alignment readingOrder="0" vertical="bottom"/>
    </xf>
    <xf borderId="0" fillId="0" fontId="28" numFmtId="0" xfId="0" applyAlignment="1" applyFont="1">
      <alignment horizontal="right" readingOrder="0" vertical="bottom"/>
    </xf>
    <xf borderId="0" fillId="2" fontId="29" numFmtId="0" xfId="0" applyFont="1"/>
    <xf borderId="0" fillId="0" fontId="28" numFmtId="0" xfId="0" applyAlignment="1" applyFont="1">
      <alignment vertical="bottom"/>
    </xf>
    <xf borderId="0" fillId="0" fontId="28" numFmtId="0" xfId="0" applyAlignment="1" applyFont="1">
      <alignment readingOrder="0" vertical="bottom"/>
    </xf>
    <xf borderId="0" fillId="0" fontId="28" numFmtId="0" xfId="0" applyAlignment="1" applyFont="1">
      <alignment horizontal="right" vertical="bottom"/>
    </xf>
    <xf borderId="0" fillId="0" fontId="27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9.86"/>
    <col customWidth="1" min="3" max="3" width="45.29"/>
    <col customWidth="1" min="4" max="4" width="113.14"/>
    <col customWidth="1" min="5" max="5" width="16.14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</row>
    <row r="2">
      <c r="A2" s="7" t="s">
        <v>5</v>
      </c>
      <c r="B2" s="8">
        <v>5.902280310303E12</v>
      </c>
      <c r="C2" s="9" t="s">
        <v>6</v>
      </c>
      <c r="D2" s="10" t="s">
        <v>7</v>
      </c>
      <c r="E2" s="11">
        <v>13.2</v>
      </c>
      <c r="F2" s="12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</row>
    <row r="3">
      <c r="A3" s="7" t="s">
        <v>8</v>
      </c>
      <c r="B3" s="14">
        <v>5.902280307082E12</v>
      </c>
      <c r="C3" s="9" t="s">
        <v>9</v>
      </c>
      <c r="D3" s="15" t="s">
        <v>7</v>
      </c>
      <c r="E3" s="11">
        <v>26.5</v>
      </c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</row>
    <row r="4">
      <c r="A4" s="7" t="s">
        <v>10</v>
      </c>
      <c r="B4" s="14">
        <v>5.902280310228E12</v>
      </c>
      <c r="C4" s="9" t="s">
        <v>11</v>
      </c>
      <c r="D4" s="15" t="s">
        <v>7</v>
      </c>
      <c r="E4" s="16">
        <v>39.7</v>
      </c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</row>
    <row r="5">
      <c r="A5" s="7" t="s">
        <v>12</v>
      </c>
      <c r="B5" s="8">
        <v>5.902280338079E12</v>
      </c>
      <c r="C5" s="9" t="s">
        <v>13</v>
      </c>
      <c r="D5" s="15" t="s">
        <v>14</v>
      </c>
      <c r="E5" s="16">
        <v>14.4</v>
      </c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</row>
    <row r="6">
      <c r="A6" s="7" t="s">
        <v>15</v>
      </c>
      <c r="B6" s="14">
        <v>5.902280338055E12</v>
      </c>
      <c r="C6" s="9" t="s">
        <v>16</v>
      </c>
      <c r="D6" s="15" t="s">
        <v>14</v>
      </c>
      <c r="E6" s="16">
        <v>28.8</v>
      </c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</row>
    <row r="7">
      <c r="A7" s="7" t="s">
        <v>17</v>
      </c>
      <c r="B7" s="14">
        <v>5.902280338062E12</v>
      </c>
      <c r="C7" s="9" t="s">
        <v>18</v>
      </c>
      <c r="D7" s="15" t="s">
        <v>14</v>
      </c>
      <c r="E7" s="16">
        <v>43.1</v>
      </c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</row>
    <row r="8">
      <c r="A8" s="17" t="s">
        <v>19</v>
      </c>
      <c r="B8" s="14">
        <v>5.902280322252E12</v>
      </c>
      <c r="C8" s="9" t="s">
        <v>20</v>
      </c>
      <c r="D8" s="15" t="s">
        <v>21</v>
      </c>
      <c r="E8" s="16">
        <v>13.1</v>
      </c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</row>
    <row r="9">
      <c r="A9" s="17" t="s">
        <v>22</v>
      </c>
      <c r="B9" s="14">
        <v>5.902280319887E12</v>
      </c>
      <c r="C9" s="9" t="s">
        <v>23</v>
      </c>
      <c r="D9" s="15" t="s">
        <v>21</v>
      </c>
      <c r="E9" s="16">
        <v>26.2</v>
      </c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</row>
    <row r="10">
      <c r="A10" s="17" t="s">
        <v>24</v>
      </c>
      <c r="B10" s="14">
        <v>5.902280322009E12</v>
      </c>
      <c r="C10" s="9" t="s">
        <v>25</v>
      </c>
      <c r="D10" s="15" t="s">
        <v>21</v>
      </c>
      <c r="E10" s="16">
        <v>39.3</v>
      </c>
      <c r="F10" s="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</row>
    <row r="11">
      <c r="A11" s="7" t="s">
        <v>26</v>
      </c>
      <c r="B11" s="14">
        <v>5.902280327677E12</v>
      </c>
      <c r="C11" s="9" t="s">
        <v>27</v>
      </c>
      <c r="D11" s="15" t="s">
        <v>28</v>
      </c>
      <c r="E11" s="16">
        <v>14.0</v>
      </c>
      <c r="F11" s="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</row>
    <row r="12">
      <c r="A12" s="7" t="s">
        <v>29</v>
      </c>
      <c r="B12" s="14">
        <v>5.902280326182E12</v>
      </c>
      <c r="C12" s="9" t="s">
        <v>30</v>
      </c>
      <c r="D12" s="15" t="s">
        <v>28</v>
      </c>
      <c r="E12" s="16">
        <v>28.0</v>
      </c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</row>
    <row r="13">
      <c r="A13" s="7" t="s">
        <v>31</v>
      </c>
      <c r="B13" s="14">
        <v>5.902280326175E12</v>
      </c>
      <c r="C13" s="9" t="s">
        <v>32</v>
      </c>
      <c r="D13" s="15" t="s">
        <v>28</v>
      </c>
      <c r="E13" s="16">
        <v>42.0</v>
      </c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</row>
    <row r="14">
      <c r="A14" s="18" t="s">
        <v>33</v>
      </c>
      <c r="B14" s="14">
        <v>5.902280348481E12</v>
      </c>
      <c r="C14" s="9" t="s">
        <v>34</v>
      </c>
      <c r="D14" s="15" t="s">
        <v>28</v>
      </c>
      <c r="E14" s="16">
        <v>19.0</v>
      </c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</row>
    <row r="15">
      <c r="A15" s="18" t="s">
        <v>35</v>
      </c>
      <c r="B15" s="14">
        <v>5.902280348474E12</v>
      </c>
      <c r="C15" s="9" t="s">
        <v>36</v>
      </c>
      <c r="D15" s="15" t="s">
        <v>28</v>
      </c>
      <c r="E15" s="16">
        <v>38.0</v>
      </c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</row>
    <row r="16">
      <c r="A16" s="7" t="s">
        <v>37</v>
      </c>
      <c r="B16" s="14">
        <v>5.902280310334E12</v>
      </c>
      <c r="C16" s="9" t="s">
        <v>38</v>
      </c>
      <c r="D16" s="15" t="s">
        <v>39</v>
      </c>
      <c r="E16" s="16">
        <v>20.1</v>
      </c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</row>
    <row r="17">
      <c r="A17" s="7" t="s">
        <v>40</v>
      </c>
      <c r="B17" s="14">
        <v>5.902280307099E12</v>
      </c>
      <c r="C17" s="9" t="s">
        <v>41</v>
      </c>
      <c r="D17" s="15" t="s">
        <v>39</v>
      </c>
      <c r="E17" s="16">
        <v>40.2</v>
      </c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</row>
    <row r="18">
      <c r="A18" s="7" t="s">
        <v>42</v>
      </c>
      <c r="B18" s="14">
        <v>5.902280310341E12</v>
      </c>
      <c r="C18" s="9" t="s">
        <v>43</v>
      </c>
      <c r="D18" s="15" t="s">
        <v>39</v>
      </c>
      <c r="E18" s="16">
        <v>60.3</v>
      </c>
      <c r="F18" s="1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</row>
    <row r="19">
      <c r="A19" s="7" t="s">
        <v>44</v>
      </c>
      <c r="B19" s="14">
        <v>5.902280326649E12</v>
      </c>
      <c r="C19" s="9" t="s">
        <v>45</v>
      </c>
      <c r="D19" s="15" t="s">
        <v>46</v>
      </c>
      <c r="E19" s="16">
        <v>36.2</v>
      </c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</row>
    <row r="20">
      <c r="A20" s="7" t="s">
        <v>47</v>
      </c>
      <c r="B20" s="14">
        <v>5.902280323006E12</v>
      </c>
      <c r="C20" s="9" t="s">
        <v>48</v>
      </c>
      <c r="D20" s="15" t="s">
        <v>46</v>
      </c>
      <c r="E20" s="16">
        <v>72.4</v>
      </c>
      <c r="F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</row>
    <row r="21">
      <c r="A21" s="19" t="s">
        <v>49</v>
      </c>
      <c r="B21" s="20">
        <v>5.902280326656E12</v>
      </c>
      <c r="C21" s="9" t="s">
        <v>50</v>
      </c>
      <c r="D21" s="15" t="s">
        <v>46</v>
      </c>
      <c r="E21" s="16">
        <v>108.7</v>
      </c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</row>
    <row r="22">
      <c r="A22" s="21" t="s">
        <v>51</v>
      </c>
      <c r="B22" s="22">
        <v>5.902280326304E12</v>
      </c>
      <c r="C22" s="9" t="s">
        <v>52</v>
      </c>
      <c r="D22" s="15" t="s">
        <v>53</v>
      </c>
      <c r="E22" s="16">
        <v>20.8</v>
      </c>
      <c r="F22" s="1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</row>
    <row r="23">
      <c r="A23" s="23" t="s">
        <v>54</v>
      </c>
      <c r="B23" s="24">
        <v>5.902280319894E12</v>
      </c>
      <c r="C23" s="9" t="s">
        <v>55</v>
      </c>
      <c r="D23" s="15" t="s">
        <v>53</v>
      </c>
      <c r="E23" s="16">
        <v>41.7</v>
      </c>
      <c r="F23" s="1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</row>
    <row r="24">
      <c r="A24" s="23" t="s">
        <v>56</v>
      </c>
      <c r="B24" s="24">
        <v>5.902280321996E12</v>
      </c>
      <c r="C24" s="9" t="s">
        <v>57</v>
      </c>
      <c r="D24" s="15" t="s">
        <v>53</v>
      </c>
      <c r="E24" s="16">
        <v>62.5</v>
      </c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</row>
    <row r="25">
      <c r="A25" s="23" t="s">
        <v>58</v>
      </c>
      <c r="B25" s="24">
        <v>5.902280338147E12</v>
      </c>
      <c r="C25" s="9" t="s">
        <v>59</v>
      </c>
      <c r="D25" s="15" t="s">
        <v>60</v>
      </c>
      <c r="E25" s="16">
        <v>22.2</v>
      </c>
      <c r="F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</row>
    <row r="26">
      <c r="A26" s="23" t="s">
        <v>61</v>
      </c>
      <c r="B26" s="24">
        <v>5.902280338116E12</v>
      </c>
      <c r="C26" s="9" t="s">
        <v>62</v>
      </c>
      <c r="D26" s="15" t="s">
        <v>60</v>
      </c>
      <c r="E26" s="16">
        <v>44.4</v>
      </c>
      <c r="F26" s="1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</row>
    <row r="27">
      <c r="A27" s="23" t="s">
        <v>63</v>
      </c>
      <c r="B27" s="24">
        <v>5.90228033813E12</v>
      </c>
      <c r="C27" s="9" t="s">
        <v>64</v>
      </c>
      <c r="D27" s="15" t="s">
        <v>60</v>
      </c>
      <c r="E27" s="16">
        <v>66.7</v>
      </c>
      <c r="F27" s="1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</row>
    <row r="28">
      <c r="A28" s="23" t="s">
        <v>65</v>
      </c>
      <c r="B28" s="24">
        <v>5.902280330028E12</v>
      </c>
      <c r="C28" s="9" t="s">
        <v>66</v>
      </c>
      <c r="D28" s="15" t="s">
        <v>67</v>
      </c>
      <c r="E28" s="16">
        <v>25.5</v>
      </c>
      <c r="F28" s="1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</row>
    <row r="29">
      <c r="A29" s="23" t="s">
        <v>68</v>
      </c>
      <c r="B29" s="24">
        <v>5.90228032386E12</v>
      </c>
      <c r="C29" s="9" t="s">
        <v>69</v>
      </c>
      <c r="D29" s="15" t="s">
        <v>67</v>
      </c>
      <c r="E29" s="16">
        <v>50.9</v>
      </c>
      <c r="F29" s="1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</row>
    <row r="30">
      <c r="A30" s="23" t="s">
        <v>70</v>
      </c>
      <c r="B30" s="24">
        <v>5.9022803281E12</v>
      </c>
      <c r="C30" s="9" t="s">
        <v>71</v>
      </c>
      <c r="D30" s="15" t="s">
        <v>67</v>
      </c>
      <c r="E30" s="16">
        <v>76.4</v>
      </c>
      <c r="F30" s="12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</row>
    <row r="31">
      <c r="A31" s="25" t="s">
        <v>72</v>
      </c>
      <c r="B31" s="26">
        <v>5.906660783022E12</v>
      </c>
      <c r="C31" s="9" t="s">
        <v>73</v>
      </c>
      <c r="D31" s="15" t="s">
        <v>74</v>
      </c>
      <c r="E31" s="16">
        <v>13.8</v>
      </c>
      <c r="F31" s="12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</row>
    <row r="32">
      <c r="A32" s="25" t="s">
        <v>75</v>
      </c>
      <c r="B32" s="26">
        <v>5.906660780052E12</v>
      </c>
      <c r="C32" s="9" t="s">
        <v>76</v>
      </c>
      <c r="D32" s="15" t="s">
        <v>74</v>
      </c>
      <c r="E32" s="16">
        <v>27.5</v>
      </c>
      <c r="F32" s="12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</row>
    <row r="33">
      <c r="A33" s="25" t="s">
        <v>77</v>
      </c>
      <c r="B33" s="26">
        <v>5.906660784043E12</v>
      </c>
      <c r="C33" s="9" t="s">
        <v>78</v>
      </c>
      <c r="D33" s="15" t="s">
        <v>74</v>
      </c>
      <c r="E33" s="16">
        <v>41.3</v>
      </c>
      <c r="F33" s="12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</row>
    <row r="34">
      <c r="A34" s="25" t="s">
        <v>79</v>
      </c>
      <c r="B34" s="26">
        <v>5.906660781097E12</v>
      </c>
      <c r="C34" s="9" t="s">
        <v>80</v>
      </c>
      <c r="D34" s="15" t="s">
        <v>74</v>
      </c>
      <c r="E34" s="16">
        <v>16.9</v>
      </c>
      <c r="F34" s="12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</row>
    <row r="35">
      <c r="A35" s="25" t="s">
        <v>81</v>
      </c>
      <c r="B35" s="26">
        <v>5.906660780113E12</v>
      </c>
      <c r="C35" s="9" t="s">
        <v>82</v>
      </c>
      <c r="D35" s="15" t="s">
        <v>74</v>
      </c>
      <c r="E35" s="16">
        <v>33.8</v>
      </c>
      <c r="F35" s="12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</row>
    <row r="36">
      <c r="A36" s="25" t="s">
        <v>83</v>
      </c>
      <c r="B36" s="26">
        <v>5.906660784067E12</v>
      </c>
      <c r="C36" s="9" t="s">
        <v>84</v>
      </c>
      <c r="D36" s="15" t="s">
        <v>74</v>
      </c>
      <c r="E36" s="16">
        <v>50.7</v>
      </c>
      <c r="F36" s="12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</row>
    <row r="37">
      <c r="A37" s="27" t="s">
        <v>85</v>
      </c>
      <c r="B37" s="28">
        <v>5.902280302063E12</v>
      </c>
      <c r="C37" s="9" t="s">
        <v>86</v>
      </c>
      <c r="D37" s="15" t="s">
        <v>74</v>
      </c>
      <c r="E37" s="16">
        <v>19.4</v>
      </c>
      <c r="F37" s="12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</row>
    <row r="38">
      <c r="A38" s="27" t="s">
        <v>87</v>
      </c>
      <c r="B38" s="28">
        <v>5.902280300892E12</v>
      </c>
      <c r="C38" s="9" t="s">
        <v>88</v>
      </c>
      <c r="D38" s="15" t="s">
        <v>74</v>
      </c>
      <c r="E38" s="16">
        <v>38.9</v>
      </c>
      <c r="F38" s="12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</row>
    <row r="39">
      <c r="A39" s="27" t="s">
        <v>89</v>
      </c>
      <c r="B39" s="28">
        <v>5.902280328025E12</v>
      </c>
      <c r="C39" s="9" t="s">
        <v>90</v>
      </c>
      <c r="D39" s="15" t="s">
        <v>74</v>
      </c>
      <c r="E39" s="16">
        <v>58.4</v>
      </c>
      <c r="F39" s="12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</row>
    <row r="40">
      <c r="A40" s="29" t="s">
        <v>91</v>
      </c>
      <c r="B40" s="30">
        <v>5.902280348849E12</v>
      </c>
      <c r="C40" s="9" t="s">
        <v>92</v>
      </c>
      <c r="D40" s="15" t="s">
        <v>74</v>
      </c>
      <c r="E40" s="16">
        <v>20.0</v>
      </c>
      <c r="F40" s="12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</row>
    <row r="41">
      <c r="A41" s="29" t="s">
        <v>93</v>
      </c>
      <c r="B41" s="30">
        <v>5.902280348832E12</v>
      </c>
      <c r="C41" s="9" t="s">
        <v>94</v>
      </c>
      <c r="D41" s="15" t="s">
        <v>74</v>
      </c>
      <c r="E41" s="16">
        <v>40.0</v>
      </c>
      <c r="F41" s="12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</row>
    <row r="42">
      <c r="A42" s="32" t="s">
        <v>95</v>
      </c>
      <c r="B42" s="33">
        <v>5.902280338734E12</v>
      </c>
      <c r="C42" s="9" t="s">
        <v>96</v>
      </c>
      <c r="D42" s="15" t="s">
        <v>97</v>
      </c>
      <c r="E42" s="16">
        <v>16.9</v>
      </c>
      <c r="F42" s="12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</row>
    <row r="43">
      <c r="A43" s="32" t="s">
        <v>98</v>
      </c>
      <c r="B43" s="33">
        <v>5.90228033871E12</v>
      </c>
      <c r="C43" s="9" t="s">
        <v>99</v>
      </c>
      <c r="D43" s="15" t="s">
        <v>97</v>
      </c>
      <c r="E43" s="16">
        <v>33.8</v>
      </c>
      <c r="F43" s="12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</row>
    <row r="44">
      <c r="A44" s="32" t="s">
        <v>100</v>
      </c>
      <c r="B44" s="33">
        <v>5.902280338727E12</v>
      </c>
      <c r="C44" s="9" t="s">
        <v>101</v>
      </c>
      <c r="D44" s="15" t="s">
        <v>97</v>
      </c>
      <c r="E44" s="16">
        <v>50.7</v>
      </c>
      <c r="F44" s="12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</row>
    <row r="45">
      <c r="A45" s="32" t="s">
        <v>102</v>
      </c>
      <c r="B45" s="33">
        <v>5.902280342762E12</v>
      </c>
      <c r="C45" s="9" t="s">
        <v>103</v>
      </c>
      <c r="D45" s="15" t="s">
        <v>104</v>
      </c>
      <c r="E45" s="16">
        <v>19.4</v>
      </c>
      <c r="F45" s="12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</row>
    <row r="46">
      <c r="A46" s="32" t="s">
        <v>105</v>
      </c>
      <c r="B46" s="33">
        <v>5.902280341291E12</v>
      </c>
      <c r="C46" s="9" t="s">
        <v>106</v>
      </c>
      <c r="D46" s="15" t="s">
        <v>104</v>
      </c>
      <c r="E46" s="16">
        <v>38.9</v>
      </c>
      <c r="F46" s="12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</row>
    <row r="47">
      <c r="A47" s="32" t="s">
        <v>107</v>
      </c>
      <c r="B47" s="33">
        <v>5.902280341307E12</v>
      </c>
      <c r="C47" s="9" t="s">
        <v>108</v>
      </c>
      <c r="D47" s="15" t="s">
        <v>104</v>
      </c>
      <c r="E47" s="16">
        <v>58.4</v>
      </c>
      <c r="F47" s="12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</row>
    <row r="48">
      <c r="A48" s="32" t="s">
        <v>109</v>
      </c>
      <c r="B48" s="33">
        <v>5.902280354475E12</v>
      </c>
      <c r="C48" s="9" t="s">
        <v>110</v>
      </c>
      <c r="D48" s="15" t="s">
        <v>104</v>
      </c>
      <c r="E48" s="16">
        <v>20.0</v>
      </c>
      <c r="F48" s="12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</row>
    <row r="49">
      <c r="A49" s="32" t="s">
        <v>111</v>
      </c>
      <c r="B49" s="33">
        <v>5.902280354482E12</v>
      </c>
      <c r="C49" s="9" t="s">
        <v>112</v>
      </c>
      <c r="D49" s="15" t="s">
        <v>104</v>
      </c>
      <c r="E49" s="16">
        <v>40.0</v>
      </c>
      <c r="F49" s="12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</row>
    <row r="50">
      <c r="A50" s="32" t="s">
        <v>113</v>
      </c>
      <c r="B50" s="33">
        <v>5.902280354499E12</v>
      </c>
      <c r="C50" s="9" t="s">
        <v>114</v>
      </c>
      <c r="D50" s="15" t="s">
        <v>104</v>
      </c>
      <c r="E50" s="16">
        <v>60.0</v>
      </c>
      <c r="F50" s="12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</row>
    <row r="51">
      <c r="A51" s="32" t="s">
        <v>115</v>
      </c>
      <c r="B51" s="33">
        <v>5.902280352488E12</v>
      </c>
      <c r="C51" s="9" t="s">
        <v>116</v>
      </c>
      <c r="D51" s="15" t="s">
        <v>104</v>
      </c>
      <c r="E51" s="16">
        <v>13.8</v>
      </c>
      <c r="F51" s="12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</row>
    <row r="52">
      <c r="A52" s="32" t="s">
        <v>117</v>
      </c>
      <c r="B52" s="33">
        <v>5.902280352549E12</v>
      </c>
      <c r="C52" s="9" t="s">
        <v>118</v>
      </c>
      <c r="D52" s="15" t="s">
        <v>104</v>
      </c>
      <c r="E52" s="16">
        <v>27.5</v>
      </c>
      <c r="F52" s="12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</row>
    <row r="53">
      <c r="A53" s="32" t="s">
        <v>119</v>
      </c>
      <c r="B53" s="33">
        <v>5.902280352563E12</v>
      </c>
      <c r="C53" s="9" t="s">
        <v>120</v>
      </c>
      <c r="D53" s="15" t="s">
        <v>104</v>
      </c>
      <c r="E53" s="16">
        <v>41.3</v>
      </c>
      <c r="F53" s="12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</row>
    <row r="54">
      <c r="A54" s="34" t="s">
        <v>121</v>
      </c>
      <c r="B54" s="35">
        <v>5.902280319382E12</v>
      </c>
      <c r="C54" s="9" t="s">
        <v>122</v>
      </c>
      <c r="D54" s="15" t="s">
        <v>123</v>
      </c>
      <c r="E54" s="16">
        <v>21.1</v>
      </c>
      <c r="F54" s="12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</row>
    <row r="55">
      <c r="A55" s="34" t="s">
        <v>124</v>
      </c>
      <c r="B55" s="35">
        <v>5.902280318835E12</v>
      </c>
      <c r="C55" s="9" t="s">
        <v>125</v>
      </c>
      <c r="D55" s="15" t="s">
        <v>123</v>
      </c>
      <c r="E55" s="16">
        <v>42.1</v>
      </c>
      <c r="F55" s="12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</row>
    <row r="56">
      <c r="A56" s="34" t="s">
        <v>126</v>
      </c>
      <c r="B56" s="35">
        <v>5.902280318842E12</v>
      </c>
      <c r="C56" s="9" t="s">
        <v>127</v>
      </c>
      <c r="D56" s="15" t="s">
        <v>123</v>
      </c>
      <c r="E56" s="16">
        <v>63.2</v>
      </c>
      <c r="F56" s="12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</row>
    <row r="57">
      <c r="A57" s="36" t="s">
        <v>128</v>
      </c>
      <c r="B57" s="37">
        <v>5.902280323754E12</v>
      </c>
      <c r="C57" s="9" t="s">
        <v>129</v>
      </c>
      <c r="D57" s="15" t="s">
        <v>130</v>
      </c>
      <c r="E57" s="16">
        <v>26.2</v>
      </c>
      <c r="F57" s="12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</row>
    <row r="58">
      <c r="A58" s="36" t="s">
        <v>131</v>
      </c>
      <c r="B58" s="37">
        <v>5.902280323761E12</v>
      </c>
      <c r="C58" s="9" t="s">
        <v>132</v>
      </c>
      <c r="D58" s="15" t="s">
        <v>130</v>
      </c>
      <c r="E58" s="16">
        <v>52.5</v>
      </c>
      <c r="F58" s="12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</row>
    <row r="59">
      <c r="A59" s="36" t="s">
        <v>133</v>
      </c>
      <c r="B59" s="37">
        <v>5.902280326168E12</v>
      </c>
      <c r="C59" s="9" t="s">
        <v>134</v>
      </c>
      <c r="D59" s="15" t="s">
        <v>130</v>
      </c>
      <c r="E59" s="16">
        <v>78.7</v>
      </c>
      <c r="F59" s="12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</row>
    <row r="60">
      <c r="A60" s="36" t="s">
        <v>135</v>
      </c>
      <c r="B60" s="37">
        <v>5.902280327707E12</v>
      </c>
      <c r="C60" s="9" t="s">
        <v>136</v>
      </c>
      <c r="D60" s="15" t="s">
        <v>137</v>
      </c>
      <c r="E60" s="16">
        <v>28.4</v>
      </c>
      <c r="F60" s="12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</row>
    <row r="61">
      <c r="A61" s="36" t="s">
        <v>138</v>
      </c>
      <c r="B61" s="37">
        <v>5.902280327295E12</v>
      </c>
      <c r="C61" s="9" t="s">
        <v>139</v>
      </c>
      <c r="D61" s="15" t="s">
        <v>137</v>
      </c>
      <c r="E61" s="16">
        <v>56.9</v>
      </c>
      <c r="F61" s="12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</row>
    <row r="62">
      <c r="A62" s="36" t="s">
        <v>140</v>
      </c>
      <c r="B62" s="37">
        <v>5.902280327301E12</v>
      </c>
      <c r="C62" s="9" t="s">
        <v>141</v>
      </c>
      <c r="D62" s="15" t="s">
        <v>137</v>
      </c>
      <c r="E62" s="16">
        <v>85.3</v>
      </c>
      <c r="F62" s="12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</row>
    <row r="63">
      <c r="A63" s="23" t="s">
        <v>142</v>
      </c>
      <c r="B63" s="24">
        <v>5.906660785262E12</v>
      </c>
      <c r="C63" s="9" t="s">
        <v>143</v>
      </c>
      <c r="D63" s="15" t="s">
        <v>144</v>
      </c>
      <c r="E63" s="16">
        <v>8.0</v>
      </c>
      <c r="F63" s="12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</row>
    <row r="64">
      <c r="A64" s="23" t="s">
        <v>145</v>
      </c>
      <c r="B64" s="24">
        <v>5.906660785255E12</v>
      </c>
      <c r="C64" s="9" t="s">
        <v>146</v>
      </c>
      <c r="D64" s="15" t="s">
        <v>144</v>
      </c>
      <c r="E64" s="16">
        <v>16.0</v>
      </c>
      <c r="F64" s="12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</row>
    <row r="65">
      <c r="A65" s="23" t="s">
        <v>147</v>
      </c>
      <c r="B65" s="24">
        <v>5.902280301721E12</v>
      </c>
      <c r="C65" s="9" t="s">
        <v>148</v>
      </c>
      <c r="D65" s="15" t="s">
        <v>144</v>
      </c>
      <c r="E65" s="16">
        <v>24.0</v>
      </c>
      <c r="F65" s="12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</row>
    <row r="66">
      <c r="A66" s="27" t="s">
        <v>149</v>
      </c>
      <c r="B66" s="28">
        <v>5.902280305002E12</v>
      </c>
      <c r="C66" s="9" t="s">
        <v>150</v>
      </c>
      <c r="D66" s="15" t="s">
        <v>151</v>
      </c>
      <c r="E66" s="16">
        <v>23.1</v>
      </c>
      <c r="F66" s="12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</row>
    <row r="67">
      <c r="A67" s="27" t="s">
        <v>152</v>
      </c>
      <c r="B67" s="28">
        <v>5.902280305019E12</v>
      </c>
      <c r="C67" s="9" t="s">
        <v>153</v>
      </c>
      <c r="D67" s="15" t="s">
        <v>151</v>
      </c>
      <c r="E67" s="16">
        <v>46.3</v>
      </c>
      <c r="F67" s="12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</row>
    <row r="68">
      <c r="A68" s="27" t="s">
        <v>154</v>
      </c>
      <c r="B68" s="28">
        <v>5.902280305026E12</v>
      </c>
      <c r="C68" s="9" t="s">
        <v>155</v>
      </c>
      <c r="D68" s="15" t="s">
        <v>151</v>
      </c>
      <c r="E68" s="16">
        <v>69.4</v>
      </c>
      <c r="F68" s="12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</row>
    <row r="69">
      <c r="A69" s="38" t="s">
        <v>156</v>
      </c>
      <c r="B69" s="39">
        <v>5.902280336969E12</v>
      </c>
      <c r="C69" s="9" t="s">
        <v>157</v>
      </c>
      <c r="D69" s="15" t="s">
        <v>158</v>
      </c>
      <c r="E69" s="16">
        <v>23.7</v>
      </c>
      <c r="F69" s="12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</row>
    <row r="70">
      <c r="A70" s="38" t="s">
        <v>159</v>
      </c>
      <c r="B70" s="39">
        <v>5.902280332206E12</v>
      </c>
      <c r="C70" s="9" t="s">
        <v>160</v>
      </c>
      <c r="D70" s="15" t="s">
        <v>158</v>
      </c>
      <c r="E70" s="16">
        <v>47.4</v>
      </c>
      <c r="F70" s="12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</row>
    <row r="71">
      <c r="A71" s="38" t="s">
        <v>161</v>
      </c>
      <c r="B71" s="39">
        <v>5.902280332213E12</v>
      </c>
      <c r="C71" s="9" t="s">
        <v>162</v>
      </c>
      <c r="D71" s="15" t="s">
        <v>158</v>
      </c>
      <c r="E71" s="16">
        <v>71.1</v>
      </c>
      <c r="F71" s="12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</row>
    <row r="72">
      <c r="A72" s="38" t="s">
        <v>163</v>
      </c>
      <c r="B72" s="39">
        <v>5.902280336976E12</v>
      </c>
      <c r="C72" s="9" t="s">
        <v>164</v>
      </c>
      <c r="D72" s="15" t="s">
        <v>158</v>
      </c>
      <c r="E72" s="16">
        <v>26.0</v>
      </c>
      <c r="F72" s="12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</row>
    <row r="73">
      <c r="A73" s="38" t="s">
        <v>165</v>
      </c>
      <c r="B73" s="39">
        <v>5.9022803342E12</v>
      </c>
      <c r="C73" s="9" t="s">
        <v>166</v>
      </c>
      <c r="D73" s="15" t="s">
        <v>158</v>
      </c>
      <c r="E73" s="16">
        <v>52.0</v>
      </c>
      <c r="F73" s="12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</row>
    <row r="74">
      <c r="A74" s="38" t="s">
        <v>167</v>
      </c>
      <c r="B74" s="39">
        <v>5.902280334217E12</v>
      </c>
      <c r="C74" s="9" t="s">
        <v>168</v>
      </c>
      <c r="D74" s="15" t="s">
        <v>158</v>
      </c>
      <c r="E74" s="16">
        <v>78.1</v>
      </c>
      <c r="F74" s="12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</row>
    <row r="75">
      <c r="A75" s="38" t="s">
        <v>169</v>
      </c>
      <c r="B75" s="39">
        <v>5.902280348399E12</v>
      </c>
      <c r="C75" s="9" t="s">
        <v>170</v>
      </c>
      <c r="D75" s="15" t="s">
        <v>158</v>
      </c>
      <c r="E75" s="16">
        <v>35.4</v>
      </c>
      <c r="F75" s="12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</row>
    <row r="76">
      <c r="A76" s="38" t="s">
        <v>171</v>
      </c>
      <c r="B76" s="39">
        <v>5.902280348382E12</v>
      </c>
      <c r="C76" s="9" t="s">
        <v>172</v>
      </c>
      <c r="D76" s="15" t="s">
        <v>158</v>
      </c>
      <c r="E76" s="16">
        <v>70.7</v>
      </c>
      <c r="F76" s="12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</row>
    <row r="77">
      <c r="A77" s="32" t="s">
        <v>173</v>
      </c>
      <c r="B77" s="40">
        <v>5.902280311201E12</v>
      </c>
      <c r="C77" s="9" t="s">
        <v>174</v>
      </c>
      <c r="D77" s="15" t="s">
        <v>175</v>
      </c>
      <c r="E77" s="16">
        <v>21.3</v>
      </c>
      <c r="F77" s="12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</row>
    <row r="78">
      <c r="A78" s="32" t="s">
        <v>176</v>
      </c>
      <c r="B78" s="40">
        <v>5.902280309567E12</v>
      </c>
      <c r="C78" s="9" t="s">
        <v>177</v>
      </c>
      <c r="D78" s="15" t="s">
        <v>175</v>
      </c>
      <c r="E78" s="16">
        <v>42.6</v>
      </c>
      <c r="F78" s="12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</row>
    <row r="79">
      <c r="A79" s="32" t="s">
        <v>178</v>
      </c>
      <c r="B79" s="40">
        <v>5.902280310792E12</v>
      </c>
      <c r="C79" s="9" t="s">
        <v>179</v>
      </c>
      <c r="D79" s="15" t="s">
        <v>175</v>
      </c>
      <c r="E79" s="16">
        <v>63.9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</row>
    <row r="80">
      <c r="A80" s="32" t="s">
        <v>180</v>
      </c>
      <c r="B80" s="39">
        <v>5.902280327691E12</v>
      </c>
      <c r="C80" s="9" t="s">
        <v>181</v>
      </c>
      <c r="D80" s="15" t="s">
        <v>182</v>
      </c>
      <c r="E80" s="16">
        <v>31.0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</row>
    <row r="81">
      <c r="A81" s="32" t="s">
        <v>183</v>
      </c>
      <c r="B81" s="39">
        <v>5.902280326137E12</v>
      </c>
      <c r="C81" s="9" t="s">
        <v>184</v>
      </c>
      <c r="D81" s="15" t="s">
        <v>182</v>
      </c>
      <c r="E81" s="16">
        <v>61.9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</row>
    <row r="82">
      <c r="A82" s="32" t="s">
        <v>185</v>
      </c>
      <c r="B82" s="39">
        <v>5.902280326144E12</v>
      </c>
      <c r="C82" s="9" t="s">
        <v>186</v>
      </c>
      <c r="D82" s="15" t="s">
        <v>182</v>
      </c>
      <c r="E82" s="16">
        <v>92.9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</row>
    <row r="83">
      <c r="A83" s="32" t="s">
        <v>187</v>
      </c>
      <c r="B83" s="40">
        <v>5.902280323778E12</v>
      </c>
      <c r="C83" s="9" t="s">
        <v>188</v>
      </c>
      <c r="D83" s="15" t="s">
        <v>189</v>
      </c>
      <c r="E83" s="16">
        <v>32.9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</row>
    <row r="84">
      <c r="A84" s="32" t="s">
        <v>190</v>
      </c>
      <c r="B84" s="40">
        <v>5.902280323785E12</v>
      </c>
      <c r="C84" s="9" t="s">
        <v>191</v>
      </c>
      <c r="D84" s="15" t="s">
        <v>189</v>
      </c>
      <c r="E84" s="16">
        <v>65.8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</row>
    <row r="85">
      <c r="A85" s="32" t="s">
        <v>192</v>
      </c>
      <c r="B85" s="40">
        <v>5.902280326151E12</v>
      </c>
      <c r="C85" s="9" t="s">
        <v>193</v>
      </c>
      <c r="D85" s="15" t="s">
        <v>189</v>
      </c>
      <c r="E85" s="16">
        <v>98.7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</row>
    <row r="86">
      <c r="A86" s="41" t="s">
        <v>194</v>
      </c>
      <c r="B86" s="33">
        <v>5.906660784692E12</v>
      </c>
      <c r="C86" s="9" t="s">
        <v>195</v>
      </c>
      <c r="D86" s="15" t="s">
        <v>196</v>
      </c>
      <c r="E86" s="16">
        <v>29.0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</row>
    <row r="87">
      <c r="A87" s="41" t="s">
        <v>197</v>
      </c>
      <c r="B87" s="33">
        <v>5.906660784685E12</v>
      </c>
      <c r="C87" s="9" t="s">
        <v>198</v>
      </c>
      <c r="D87" s="15" t="s">
        <v>196</v>
      </c>
      <c r="E87" s="16">
        <v>58.0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</row>
    <row r="88">
      <c r="A88" s="41" t="s">
        <v>199</v>
      </c>
      <c r="B88" s="33">
        <v>5.90666078629E12</v>
      </c>
      <c r="C88" s="9" t="s">
        <v>200</v>
      </c>
      <c r="D88" s="15" t="s">
        <v>196</v>
      </c>
      <c r="E88" s="16">
        <v>86.9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</row>
    <row r="89">
      <c r="A89" s="32" t="s">
        <v>201</v>
      </c>
      <c r="B89" s="40">
        <v>5.902280326311E12</v>
      </c>
      <c r="C89" s="9" t="s">
        <v>202</v>
      </c>
      <c r="D89" s="15" t="s">
        <v>203</v>
      </c>
      <c r="E89" s="16">
        <v>19.2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</row>
    <row r="90">
      <c r="A90" s="32" t="s">
        <v>204</v>
      </c>
      <c r="B90" s="40">
        <v>5.902280320951E12</v>
      </c>
      <c r="C90" s="9" t="s">
        <v>205</v>
      </c>
      <c r="D90" s="15" t="s">
        <v>203</v>
      </c>
      <c r="E90" s="16">
        <v>38.5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</row>
    <row r="91">
      <c r="A91" s="32" t="s">
        <v>206</v>
      </c>
      <c r="B91" s="40">
        <v>5.902280323051E12</v>
      </c>
      <c r="C91" s="9" t="s">
        <v>207</v>
      </c>
      <c r="D91" s="15" t="s">
        <v>203</v>
      </c>
      <c r="E91" s="16">
        <v>57.7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</row>
    <row r="92">
      <c r="A92" s="41" t="s">
        <v>208</v>
      </c>
      <c r="B92" s="33">
        <v>5.902280332527E12</v>
      </c>
      <c r="C92" s="9" t="s">
        <v>209</v>
      </c>
      <c r="D92" s="15" t="s">
        <v>210</v>
      </c>
      <c r="E92" s="16">
        <v>22.8</v>
      </c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</row>
    <row r="93">
      <c r="A93" s="41" t="s">
        <v>211</v>
      </c>
      <c r="B93" s="33">
        <v>5.902280329473E12</v>
      </c>
      <c r="C93" s="9" t="s">
        <v>212</v>
      </c>
      <c r="D93" s="15" t="s">
        <v>210</v>
      </c>
      <c r="E93" s="16">
        <v>45.5</v>
      </c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</row>
    <row r="94">
      <c r="A94" s="41" t="s">
        <v>213</v>
      </c>
      <c r="B94" s="33">
        <v>5.90228032948E12</v>
      </c>
      <c r="C94" s="9" t="s">
        <v>214</v>
      </c>
      <c r="D94" s="15" t="s">
        <v>210</v>
      </c>
      <c r="E94" s="16">
        <v>68.3</v>
      </c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</row>
    <row r="95">
      <c r="A95" s="41" t="s">
        <v>215</v>
      </c>
      <c r="B95" s="33">
        <v>5.902280350644E12</v>
      </c>
      <c r="C95" s="9" t="s">
        <v>216</v>
      </c>
      <c r="D95" s="15" t="s">
        <v>217</v>
      </c>
      <c r="E95" s="16">
        <v>13.3</v>
      </c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</row>
    <row r="96">
      <c r="A96" s="41" t="s">
        <v>218</v>
      </c>
      <c r="B96" s="33">
        <v>5.902280344094E12</v>
      </c>
      <c r="C96" s="9" t="s">
        <v>219</v>
      </c>
      <c r="D96" s="15" t="s">
        <v>217</v>
      </c>
      <c r="E96" s="16">
        <v>26.7</v>
      </c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</row>
    <row r="97">
      <c r="A97" s="41" t="s">
        <v>220</v>
      </c>
      <c r="B97" s="33">
        <v>5.9022803441E12</v>
      </c>
      <c r="C97" s="9" t="s">
        <v>221</v>
      </c>
      <c r="D97" s="15" t="s">
        <v>217</v>
      </c>
      <c r="E97" s="16">
        <v>40.0</v>
      </c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</row>
    <row r="98">
      <c r="A98" s="41" t="s">
        <v>222</v>
      </c>
      <c r="B98" s="33">
        <v>5.90228034861E12</v>
      </c>
      <c r="C98" s="9" t="s">
        <v>223</v>
      </c>
      <c r="D98" s="15" t="s">
        <v>210</v>
      </c>
      <c r="E98" s="16">
        <v>29.7</v>
      </c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</row>
    <row r="99">
      <c r="A99" s="41" t="s">
        <v>224</v>
      </c>
      <c r="B99" s="33">
        <v>5.902280348603E12</v>
      </c>
      <c r="C99" s="9" t="s">
        <v>225</v>
      </c>
      <c r="D99" s="15" t="s">
        <v>210</v>
      </c>
      <c r="E99" s="16">
        <v>59.4</v>
      </c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</row>
    <row r="100">
      <c r="A100" s="41" t="s">
        <v>226</v>
      </c>
      <c r="B100" s="33">
        <v>5.90228034858E12</v>
      </c>
      <c r="C100" s="9" t="s">
        <v>227</v>
      </c>
      <c r="D100" s="15" t="s">
        <v>210</v>
      </c>
      <c r="E100" s="16">
        <v>20.8</v>
      </c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</row>
    <row r="101">
      <c r="A101" s="41" t="s">
        <v>228</v>
      </c>
      <c r="B101" s="33">
        <v>5.902280348573E12</v>
      </c>
      <c r="C101" s="9" t="s">
        <v>229</v>
      </c>
      <c r="D101" s="15" t="s">
        <v>210</v>
      </c>
      <c r="E101" s="16">
        <v>43.5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</row>
    <row r="102">
      <c r="A102" s="32" t="s">
        <v>230</v>
      </c>
      <c r="B102" s="40">
        <v>5.90228031127E12</v>
      </c>
      <c r="C102" s="9" t="s">
        <v>231</v>
      </c>
      <c r="D102" s="15" t="s">
        <v>232</v>
      </c>
      <c r="E102" s="16">
        <v>18.1</v>
      </c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</row>
    <row r="103">
      <c r="A103" s="32" t="s">
        <v>233</v>
      </c>
      <c r="B103" s="40">
        <v>5.902280311287E12</v>
      </c>
      <c r="C103" s="9" t="s">
        <v>234</v>
      </c>
      <c r="D103" s="15" t="s">
        <v>232</v>
      </c>
      <c r="E103" s="16">
        <v>36.2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</row>
    <row r="104">
      <c r="A104" s="32" t="s">
        <v>235</v>
      </c>
      <c r="B104" s="40">
        <v>5.902280311294E12</v>
      </c>
      <c r="C104" s="9" t="s">
        <v>236</v>
      </c>
      <c r="D104" s="15" t="s">
        <v>232</v>
      </c>
      <c r="E104" s="16">
        <v>54.4</v>
      </c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</row>
    <row r="105">
      <c r="A105" s="32" t="s">
        <v>237</v>
      </c>
      <c r="B105" s="40">
        <v>5.902280338017E12</v>
      </c>
      <c r="C105" s="9" t="s">
        <v>238</v>
      </c>
      <c r="D105" s="15" t="s">
        <v>239</v>
      </c>
      <c r="E105" s="16">
        <v>23.9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</row>
    <row r="106">
      <c r="A106" s="32" t="s">
        <v>240</v>
      </c>
      <c r="B106" s="40">
        <v>5.902280338E12</v>
      </c>
      <c r="C106" s="9" t="s">
        <v>241</v>
      </c>
      <c r="D106" s="15" t="s">
        <v>239</v>
      </c>
      <c r="E106" s="16">
        <v>47.8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</row>
    <row r="107">
      <c r="A107" s="32" t="s">
        <v>242</v>
      </c>
      <c r="B107" s="40">
        <v>5.902280338024E12</v>
      </c>
      <c r="C107" s="9" t="s">
        <v>243</v>
      </c>
      <c r="D107" s="15" t="s">
        <v>239</v>
      </c>
      <c r="E107" s="16">
        <v>71.7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</row>
    <row r="108">
      <c r="A108" s="32" t="s">
        <v>244</v>
      </c>
      <c r="B108" s="40">
        <v>5.902280348429E12</v>
      </c>
      <c r="C108" s="9" t="s">
        <v>245</v>
      </c>
      <c r="D108" s="15" t="s">
        <v>246</v>
      </c>
      <c r="E108" s="16">
        <v>30.7</v>
      </c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</row>
    <row r="109">
      <c r="A109" s="32" t="s">
        <v>247</v>
      </c>
      <c r="B109" s="40">
        <v>5.902280348412E12</v>
      </c>
      <c r="C109" s="9" t="s">
        <v>248</v>
      </c>
      <c r="D109" s="15" t="s">
        <v>246</v>
      </c>
      <c r="E109" s="16">
        <v>61.4</v>
      </c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</row>
    <row r="110">
      <c r="A110" s="42" t="s">
        <v>249</v>
      </c>
      <c r="B110" s="43">
        <v>5.906660780038E12</v>
      </c>
      <c r="C110" s="9" t="s">
        <v>250</v>
      </c>
      <c r="D110" s="15"/>
      <c r="E110" s="16">
        <v>23.9</v>
      </c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</row>
    <row r="111">
      <c r="A111" s="25"/>
      <c r="B111" s="26"/>
      <c r="C111" s="9"/>
      <c r="D111" s="15"/>
      <c r="E111" s="16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</row>
    <row r="112">
      <c r="A112" s="25"/>
      <c r="B112" s="26"/>
      <c r="C112" s="9"/>
      <c r="D112" s="15"/>
      <c r="E112" s="16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</row>
    <row r="113">
      <c r="A113" s="25" t="s">
        <v>251</v>
      </c>
      <c r="B113" s="26">
        <v>5.902280330059E12</v>
      </c>
      <c r="C113" s="9" t="s">
        <v>252</v>
      </c>
      <c r="D113" s="15" t="s">
        <v>253</v>
      </c>
      <c r="E113" s="16">
        <v>19.3</v>
      </c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</row>
    <row r="114">
      <c r="A114" s="25" t="s">
        <v>254</v>
      </c>
      <c r="B114" s="26">
        <v>5.902280327059E12</v>
      </c>
      <c r="C114" s="9" t="s">
        <v>255</v>
      </c>
      <c r="D114" s="15" t="s">
        <v>253</v>
      </c>
      <c r="E114" s="16">
        <v>37.6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</row>
    <row r="115">
      <c r="A115" s="25" t="s">
        <v>256</v>
      </c>
      <c r="B115" s="26">
        <v>5.902280328094E12</v>
      </c>
      <c r="C115" s="9" t="s">
        <v>257</v>
      </c>
      <c r="D115" s="15" t="s">
        <v>253</v>
      </c>
      <c r="E115" s="16">
        <v>57.8</v>
      </c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</row>
    <row r="116">
      <c r="A116" s="25" t="s">
        <v>258</v>
      </c>
      <c r="B116" s="26">
        <v>5.902280334484E12</v>
      </c>
      <c r="C116" s="9" t="s">
        <v>259</v>
      </c>
      <c r="D116" s="15" t="s">
        <v>260</v>
      </c>
      <c r="E116" s="16">
        <v>21.4</v>
      </c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</row>
    <row r="117">
      <c r="A117" s="25" t="s">
        <v>261</v>
      </c>
      <c r="B117" s="26">
        <v>5.902280332602E12</v>
      </c>
      <c r="C117" s="9" t="s">
        <v>262</v>
      </c>
      <c r="D117" s="15" t="s">
        <v>260</v>
      </c>
      <c r="E117" s="16">
        <v>42.7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</row>
    <row r="118">
      <c r="A118" s="25" t="s">
        <v>263</v>
      </c>
      <c r="B118" s="26">
        <v>5.902280333807E12</v>
      </c>
      <c r="C118" s="9" t="s">
        <v>264</v>
      </c>
      <c r="D118" s="15" t="s">
        <v>260</v>
      </c>
      <c r="E118" s="16">
        <v>64.1</v>
      </c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</row>
    <row r="119">
      <c r="A119" s="25" t="s">
        <v>265</v>
      </c>
      <c r="B119" s="26">
        <v>5.902280348733E12</v>
      </c>
      <c r="C119" s="9" t="s">
        <v>266</v>
      </c>
      <c r="D119" s="15" t="s">
        <v>267</v>
      </c>
      <c r="E119" s="16">
        <v>22.6</v>
      </c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</row>
    <row r="120">
      <c r="A120" s="25" t="s">
        <v>268</v>
      </c>
      <c r="B120" s="26">
        <v>5.902280348726E12</v>
      </c>
      <c r="C120" s="9" t="s">
        <v>269</v>
      </c>
      <c r="D120" s="15" t="s">
        <v>267</v>
      </c>
      <c r="E120" s="16">
        <v>45.2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</row>
    <row r="121">
      <c r="A121" s="25" t="s">
        <v>270</v>
      </c>
      <c r="B121" s="26">
        <v>5.902280330035E12</v>
      </c>
      <c r="C121" s="9" t="s">
        <v>271</v>
      </c>
      <c r="D121" s="15" t="s">
        <v>272</v>
      </c>
      <c r="E121" s="16">
        <v>19.3</v>
      </c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</row>
    <row r="122">
      <c r="A122" s="25" t="s">
        <v>273</v>
      </c>
      <c r="B122" s="26">
        <v>5.902280327066E12</v>
      </c>
      <c r="C122" s="9" t="s">
        <v>274</v>
      </c>
      <c r="D122" s="15" t="s">
        <v>272</v>
      </c>
      <c r="E122" s="16">
        <v>38.5</v>
      </c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</row>
    <row r="123">
      <c r="A123" s="25" t="s">
        <v>275</v>
      </c>
      <c r="B123" s="26">
        <v>5.902280328087E12</v>
      </c>
      <c r="C123" s="9" t="s">
        <v>276</v>
      </c>
      <c r="D123" s="15" t="s">
        <v>272</v>
      </c>
      <c r="E123" s="16">
        <v>57.8</v>
      </c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</row>
    <row r="124">
      <c r="A124" s="25" t="s">
        <v>277</v>
      </c>
      <c r="B124" s="26">
        <v>5.902280330042E12</v>
      </c>
      <c r="C124" s="9" t="s">
        <v>278</v>
      </c>
      <c r="D124" s="15" t="s">
        <v>279</v>
      </c>
      <c r="E124" s="16">
        <v>22.8</v>
      </c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</row>
    <row r="125">
      <c r="A125" s="25" t="s">
        <v>280</v>
      </c>
      <c r="B125" s="26">
        <v>5.902280329497E12</v>
      </c>
      <c r="C125" s="9" t="s">
        <v>281</v>
      </c>
      <c r="D125" s="15" t="s">
        <v>279</v>
      </c>
      <c r="E125" s="16">
        <v>45.7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</row>
    <row r="126">
      <c r="A126" s="25" t="s">
        <v>282</v>
      </c>
      <c r="B126" s="26">
        <v>5.902280329503E12</v>
      </c>
      <c r="C126" s="9" t="s">
        <v>283</v>
      </c>
      <c r="D126" s="15" t="s">
        <v>279</v>
      </c>
      <c r="E126" s="16">
        <v>68.5</v>
      </c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</row>
    <row r="127">
      <c r="A127" s="45" t="s">
        <v>284</v>
      </c>
      <c r="B127" s="46">
        <v>5.902280348337E12</v>
      </c>
      <c r="C127" s="9" t="s">
        <v>285</v>
      </c>
      <c r="D127" s="15" t="s">
        <v>286</v>
      </c>
      <c r="E127" s="16">
        <v>30.9</v>
      </c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</row>
    <row r="128">
      <c r="A128" s="45" t="s">
        <v>287</v>
      </c>
      <c r="B128" s="46">
        <v>5.90228034832E12</v>
      </c>
      <c r="C128" s="9" t="s">
        <v>288</v>
      </c>
      <c r="D128" s="15" t="s">
        <v>286</v>
      </c>
      <c r="E128" s="16">
        <v>61.9</v>
      </c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</row>
    <row r="129">
      <c r="A129" s="23" t="s">
        <v>289</v>
      </c>
      <c r="B129" s="24">
        <v>5.902280338352E12</v>
      </c>
      <c r="C129" s="9" t="s">
        <v>290</v>
      </c>
      <c r="D129" s="15" t="s">
        <v>291</v>
      </c>
      <c r="E129" s="16">
        <v>28.9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</row>
    <row r="130">
      <c r="A130" s="23" t="s">
        <v>292</v>
      </c>
      <c r="B130" s="24">
        <v>5.902280337256E12</v>
      </c>
      <c r="C130" s="9" t="s">
        <v>293</v>
      </c>
      <c r="D130" s="15" t="s">
        <v>291</v>
      </c>
      <c r="E130" s="16">
        <v>57.9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</row>
    <row r="131">
      <c r="A131" s="23" t="s">
        <v>294</v>
      </c>
      <c r="B131" s="24">
        <v>5.902280338338E12</v>
      </c>
      <c r="C131" s="9" t="s">
        <v>295</v>
      </c>
      <c r="D131" s="15" t="s">
        <v>291</v>
      </c>
      <c r="E131" s="16">
        <v>86.8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</row>
    <row r="132">
      <c r="A132" s="23" t="s">
        <v>296</v>
      </c>
      <c r="B132" s="24">
        <v>5.902280335955E12</v>
      </c>
      <c r="C132" s="9" t="s">
        <v>297</v>
      </c>
      <c r="D132" s="15" t="s">
        <v>298</v>
      </c>
      <c r="E132" s="16">
        <v>27.0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</row>
    <row r="133">
      <c r="A133" s="23" t="s">
        <v>299</v>
      </c>
      <c r="B133" s="48">
        <v>5.902280331872E12</v>
      </c>
      <c r="C133" s="9" t="s">
        <v>300</v>
      </c>
      <c r="D133" s="15" t="s">
        <v>298</v>
      </c>
      <c r="E133" s="16">
        <v>53.9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</row>
    <row r="134">
      <c r="A134" s="23" t="s">
        <v>301</v>
      </c>
      <c r="B134" s="24">
        <v>5.902280334194E12</v>
      </c>
      <c r="C134" s="9" t="s">
        <v>302</v>
      </c>
      <c r="D134" s="15" t="s">
        <v>298</v>
      </c>
      <c r="E134" s="16">
        <v>80.9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</row>
    <row r="135">
      <c r="A135" s="49" t="s">
        <v>303</v>
      </c>
      <c r="B135" s="24">
        <v>5.902280310396E12</v>
      </c>
      <c r="C135" s="9" t="s">
        <v>304</v>
      </c>
      <c r="D135" s="15" t="s">
        <v>298</v>
      </c>
      <c r="E135" s="16">
        <v>39.4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</row>
    <row r="136">
      <c r="A136" s="49" t="s">
        <v>305</v>
      </c>
      <c r="B136" s="24">
        <v>5.902280310402E12</v>
      </c>
      <c r="C136" s="9" t="s">
        <v>306</v>
      </c>
      <c r="D136" s="15" t="s">
        <v>298</v>
      </c>
      <c r="E136" s="16">
        <v>78.7</v>
      </c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</row>
    <row r="137">
      <c r="A137" s="49" t="s">
        <v>307</v>
      </c>
      <c r="B137" s="24">
        <v>5.902280310419E12</v>
      </c>
      <c r="C137" s="9" t="s">
        <v>308</v>
      </c>
      <c r="D137" s="15" t="s">
        <v>298</v>
      </c>
      <c r="E137" s="16">
        <v>118.1</v>
      </c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</row>
    <row r="138">
      <c r="A138" s="49" t="s">
        <v>309</v>
      </c>
      <c r="B138" s="24">
        <v>5.902280320005E12</v>
      </c>
      <c r="C138" s="9" t="s">
        <v>310</v>
      </c>
      <c r="D138" s="15" t="s">
        <v>311</v>
      </c>
      <c r="E138" s="16">
        <v>55.6</v>
      </c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</row>
    <row r="139">
      <c r="A139" s="49" t="s">
        <v>312</v>
      </c>
      <c r="B139" s="24">
        <v>5.90228031987E12</v>
      </c>
      <c r="C139" s="9" t="s">
        <v>313</v>
      </c>
      <c r="D139" s="15" t="s">
        <v>311</v>
      </c>
      <c r="E139" s="16">
        <v>111.2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</row>
    <row r="140">
      <c r="A140" s="49" t="s">
        <v>314</v>
      </c>
      <c r="B140" s="24">
        <v>5.902280319993E12</v>
      </c>
      <c r="C140" s="9" t="s">
        <v>315</v>
      </c>
      <c r="D140" s="15" t="s">
        <v>311</v>
      </c>
      <c r="E140" s="16">
        <v>166.8</v>
      </c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</row>
    <row r="141">
      <c r="A141" s="49" t="s">
        <v>316</v>
      </c>
      <c r="B141" s="24">
        <v>5.902280319788E12</v>
      </c>
      <c r="C141" s="9" t="s">
        <v>317</v>
      </c>
      <c r="D141" s="15" t="s">
        <v>318</v>
      </c>
      <c r="E141" s="16">
        <v>30.8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</row>
    <row r="142">
      <c r="A142" s="49" t="s">
        <v>319</v>
      </c>
      <c r="B142" s="24">
        <v>5.902280315032E12</v>
      </c>
      <c r="C142" s="9" t="s">
        <v>320</v>
      </c>
      <c r="D142" s="15" t="s">
        <v>318</v>
      </c>
      <c r="E142" s="16">
        <v>61.5</v>
      </c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</row>
    <row r="143">
      <c r="A143" s="49" t="s">
        <v>321</v>
      </c>
      <c r="B143" s="24">
        <v>5.902280317982E12</v>
      </c>
      <c r="C143" s="9" t="s">
        <v>322</v>
      </c>
      <c r="D143" s="15" t="s">
        <v>318</v>
      </c>
      <c r="E143" s="16">
        <v>92.3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</row>
    <row r="144">
      <c r="A144" s="25" t="s">
        <v>323</v>
      </c>
      <c r="B144" s="24">
        <v>5.90666078306E12</v>
      </c>
      <c r="C144" s="9" t="s">
        <v>324</v>
      </c>
      <c r="D144" s="15" t="s">
        <v>325</v>
      </c>
      <c r="E144" s="16">
        <v>21.5</v>
      </c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</row>
    <row r="145">
      <c r="A145" s="25" t="s">
        <v>326</v>
      </c>
      <c r="B145" s="24">
        <v>5.906660780175E12</v>
      </c>
      <c r="C145" s="9" t="s">
        <v>327</v>
      </c>
      <c r="D145" s="15" t="s">
        <v>325</v>
      </c>
      <c r="E145" s="16">
        <v>42.9</v>
      </c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</row>
    <row r="146">
      <c r="A146" s="25" t="s">
        <v>328</v>
      </c>
      <c r="B146" s="24">
        <v>5.906660784166E12</v>
      </c>
      <c r="C146" s="9" t="s">
        <v>329</v>
      </c>
      <c r="D146" s="15" t="s">
        <v>325</v>
      </c>
      <c r="E146" s="16">
        <v>64.3</v>
      </c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</row>
    <row r="147">
      <c r="A147" s="45" t="s">
        <v>330</v>
      </c>
      <c r="B147" s="24">
        <v>5.902280311195E12</v>
      </c>
      <c r="C147" s="9" t="s">
        <v>331</v>
      </c>
      <c r="D147" s="15" t="s">
        <v>332</v>
      </c>
      <c r="E147" s="16">
        <v>18.5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</row>
    <row r="148">
      <c r="A148" s="45" t="s">
        <v>333</v>
      </c>
      <c r="B148" s="24">
        <v>5.902280311126E12</v>
      </c>
      <c r="C148" s="9" t="s">
        <v>334</v>
      </c>
      <c r="D148" s="15" t="s">
        <v>332</v>
      </c>
      <c r="E148" s="16">
        <v>37.1</v>
      </c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</row>
    <row r="149">
      <c r="A149" s="45" t="s">
        <v>335</v>
      </c>
      <c r="B149" s="24">
        <v>5.902280311188E12</v>
      </c>
      <c r="C149" s="9" t="s">
        <v>336</v>
      </c>
      <c r="D149" s="15" t="s">
        <v>332</v>
      </c>
      <c r="E149" s="16">
        <v>55.6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</row>
    <row r="150">
      <c r="A150" s="45" t="s">
        <v>337</v>
      </c>
      <c r="B150" s="24">
        <v>5.902280337935E12</v>
      </c>
      <c r="C150" s="9" t="s">
        <v>338</v>
      </c>
      <c r="D150" s="15" t="s">
        <v>339</v>
      </c>
      <c r="E150" s="16">
        <v>22.3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</row>
    <row r="151">
      <c r="A151" s="45" t="s">
        <v>340</v>
      </c>
      <c r="B151" s="24">
        <v>5.902280337911E12</v>
      </c>
      <c r="C151" s="9" t="s">
        <v>341</v>
      </c>
      <c r="D151" s="15" t="s">
        <v>339</v>
      </c>
      <c r="E151" s="16">
        <v>44.5</v>
      </c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</row>
    <row r="152">
      <c r="A152" s="45" t="s">
        <v>342</v>
      </c>
      <c r="B152" s="24">
        <v>5.902280337928E12</v>
      </c>
      <c r="C152" s="9" t="s">
        <v>343</v>
      </c>
      <c r="D152" s="15" t="s">
        <v>339</v>
      </c>
      <c r="E152" s="16">
        <v>66.8</v>
      </c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</row>
    <row r="153">
      <c r="A153" s="45" t="s">
        <v>344</v>
      </c>
      <c r="B153" s="50">
        <v>5.902280348306E12</v>
      </c>
      <c r="C153" s="9" t="s">
        <v>345</v>
      </c>
      <c r="D153" s="15" t="s">
        <v>339</v>
      </c>
      <c r="E153" s="16">
        <v>29.3</v>
      </c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</row>
    <row r="154">
      <c r="A154" s="45" t="s">
        <v>346</v>
      </c>
      <c r="B154" s="50">
        <v>5.90228034829E12</v>
      </c>
      <c r="C154" s="9" t="s">
        <v>347</v>
      </c>
      <c r="D154" s="15" t="s">
        <v>339</v>
      </c>
      <c r="E154" s="16">
        <v>58.7</v>
      </c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</row>
    <row r="155">
      <c r="A155" s="49" t="s">
        <v>348</v>
      </c>
      <c r="B155" s="24">
        <v>5.902280309031E12</v>
      </c>
      <c r="C155" s="9" t="s">
        <v>349</v>
      </c>
      <c r="D155" s="15" t="s">
        <v>350</v>
      </c>
      <c r="E155" s="16">
        <v>20.8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</row>
    <row r="156">
      <c r="A156" s="49" t="s">
        <v>351</v>
      </c>
      <c r="B156" s="24">
        <v>5.902280309048E12</v>
      </c>
      <c r="C156" s="9" t="s">
        <v>352</v>
      </c>
      <c r="D156" s="15" t="s">
        <v>350</v>
      </c>
      <c r="E156" s="16">
        <v>41.7</v>
      </c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</row>
    <row r="157">
      <c r="A157" s="49" t="s">
        <v>353</v>
      </c>
      <c r="B157" s="24">
        <v>5.902280309055E12</v>
      </c>
      <c r="C157" s="9" t="s">
        <v>354</v>
      </c>
      <c r="D157" s="15" t="s">
        <v>350</v>
      </c>
      <c r="E157" s="16">
        <v>62.5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</row>
    <row r="158">
      <c r="A158" s="23" t="s">
        <v>355</v>
      </c>
      <c r="B158" s="24">
        <v>5.902280327684E12</v>
      </c>
      <c r="C158" s="9" t="s">
        <v>356</v>
      </c>
      <c r="D158" s="15" t="s">
        <v>357</v>
      </c>
      <c r="E158" s="16">
        <v>19.4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</row>
    <row r="159">
      <c r="A159" s="23" t="s">
        <v>358</v>
      </c>
      <c r="B159" s="24">
        <v>5.90228031888E12</v>
      </c>
      <c r="C159" s="9" t="s">
        <v>359</v>
      </c>
      <c r="D159" s="15" t="s">
        <v>357</v>
      </c>
      <c r="E159" s="16">
        <v>38.7</v>
      </c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</row>
    <row r="160">
      <c r="A160" s="23" t="s">
        <v>360</v>
      </c>
      <c r="B160" s="24">
        <v>5.902280320968E12</v>
      </c>
      <c r="C160" s="9" t="s">
        <v>361</v>
      </c>
      <c r="D160" s="15" t="s">
        <v>357</v>
      </c>
      <c r="E160" s="16">
        <v>58.1</v>
      </c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</row>
    <row r="161">
      <c r="A161" s="51" t="s">
        <v>362</v>
      </c>
      <c r="B161" s="24">
        <v>5.90228031086E12</v>
      </c>
      <c r="C161" s="9" t="s">
        <v>363</v>
      </c>
      <c r="D161" s="15" t="s">
        <v>364</v>
      </c>
      <c r="E161" s="16">
        <v>80.1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</row>
    <row r="162">
      <c r="A162" s="51" t="s">
        <v>365</v>
      </c>
      <c r="B162" s="24">
        <v>5.902280310464E12</v>
      </c>
      <c r="C162" s="9" t="s">
        <v>366</v>
      </c>
      <c r="D162" s="15" t="s">
        <v>364</v>
      </c>
      <c r="E162" s="16">
        <v>160.2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</row>
    <row r="163">
      <c r="A163" s="51" t="s">
        <v>367</v>
      </c>
      <c r="B163" s="24">
        <v>5.902280312802E12</v>
      </c>
      <c r="C163" s="9" t="s">
        <v>368</v>
      </c>
      <c r="D163" s="15" t="s">
        <v>364</v>
      </c>
      <c r="E163" s="16">
        <v>240.3</v>
      </c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</row>
    <row r="164">
      <c r="A164" s="51" t="s">
        <v>369</v>
      </c>
      <c r="B164" s="24">
        <v>5.902280318279E12</v>
      </c>
      <c r="C164" s="9" t="s">
        <v>370</v>
      </c>
      <c r="D164" s="15" t="s">
        <v>371</v>
      </c>
      <c r="E164" s="16">
        <v>49.7</v>
      </c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</row>
    <row r="165">
      <c r="A165" s="51" t="s">
        <v>372</v>
      </c>
      <c r="B165" s="24">
        <v>5.902280312109E12</v>
      </c>
      <c r="C165" s="9" t="s">
        <v>373</v>
      </c>
      <c r="D165" s="15" t="s">
        <v>371</v>
      </c>
      <c r="E165" s="16">
        <v>99.3</v>
      </c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</row>
    <row r="166">
      <c r="A166" s="51" t="s">
        <v>374</v>
      </c>
      <c r="B166" s="24">
        <v>5.902280315018E12</v>
      </c>
      <c r="C166" s="9" t="s">
        <v>375</v>
      </c>
      <c r="D166" s="15" t="s">
        <v>371</v>
      </c>
      <c r="E166" s="16">
        <v>149.0</v>
      </c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</row>
    <row r="167">
      <c r="A167" s="45" t="s">
        <v>376</v>
      </c>
      <c r="B167" s="24">
        <v>5.902280311317E12</v>
      </c>
      <c r="C167" s="9" t="s">
        <v>377</v>
      </c>
      <c r="D167" s="15" t="s">
        <v>378</v>
      </c>
      <c r="E167" s="16">
        <v>16.5</v>
      </c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</row>
    <row r="168">
      <c r="A168" s="45" t="s">
        <v>379</v>
      </c>
      <c r="B168" s="24">
        <v>5.902280311324E12</v>
      </c>
      <c r="C168" s="9" t="s">
        <v>380</v>
      </c>
      <c r="D168" s="15" t="s">
        <v>378</v>
      </c>
      <c r="E168" s="16">
        <v>33.0</v>
      </c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</row>
    <row r="169">
      <c r="A169" s="45" t="s">
        <v>381</v>
      </c>
      <c r="B169" s="24">
        <v>5.902280311331E12</v>
      </c>
      <c r="C169" s="9" t="s">
        <v>382</v>
      </c>
      <c r="D169" s="15" t="s">
        <v>378</v>
      </c>
      <c r="E169" s="16">
        <v>49.4</v>
      </c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</row>
    <row r="170">
      <c r="A170" s="25" t="s">
        <v>383</v>
      </c>
      <c r="B170" s="24">
        <v>5.906660782971E12</v>
      </c>
      <c r="C170" s="9" t="s">
        <v>384</v>
      </c>
      <c r="D170" s="15" t="s">
        <v>385</v>
      </c>
      <c r="E170" s="16">
        <v>21.7</v>
      </c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</row>
    <row r="171">
      <c r="A171" s="25" t="s">
        <v>386</v>
      </c>
      <c r="B171" s="24">
        <v>5.906660780199E12</v>
      </c>
      <c r="C171" s="9" t="s">
        <v>387</v>
      </c>
      <c r="D171" s="15" t="s">
        <v>385</v>
      </c>
      <c r="E171" s="16">
        <v>43.4</v>
      </c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</row>
    <row r="172">
      <c r="A172" s="25" t="s">
        <v>388</v>
      </c>
      <c r="B172" s="24">
        <v>5.906660782964E12</v>
      </c>
      <c r="C172" s="9" t="s">
        <v>389</v>
      </c>
      <c r="D172" s="15" t="s">
        <v>385</v>
      </c>
      <c r="E172" s="16">
        <v>65.0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</row>
    <row r="173">
      <c r="A173" s="25" t="s">
        <v>390</v>
      </c>
      <c r="B173" s="24">
        <v>5.906660782988E12</v>
      </c>
      <c r="C173" s="9" t="s">
        <v>391</v>
      </c>
      <c r="D173" s="15" t="s">
        <v>385</v>
      </c>
      <c r="E173" s="16">
        <v>24.8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</row>
    <row r="174">
      <c r="A174" s="25" t="s">
        <v>392</v>
      </c>
      <c r="B174" s="24">
        <v>5.906660780212E12</v>
      </c>
      <c r="C174" s="9" t="s">
        <v>393</v>
      </c>
      <c r="D174" s="15" t="s">
        <v>385</v>
      </c>
      <c r="E174" s="16">
        <v>49.7</v>
      </c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</row>
    <row r="175">
      <c r="A175" s="25" t="s">
        <v>394</v>
      </c>
      <c r="B175" s="24">
        <v>5.906660783978E12</v>
      </c>
      <c r="C175" s="9" t="s">
        <v>395</v>
      </c>
      <c r="D175" s="15" t="s">
        <v>385</v>
      </c>
      <c r="E175" s="16">
        <v>74.5</v>
      </c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</row>
    <row r="176">
      <c r="A176" s="27" t="s">
        <v>396</v>
      </c>
      <c r="B176" s="24">
        <v>5.902280303824E12</v>
      </c>
      <c r="C176" s="9" t="s">
        <v>397</v>
      </c>
      <c r="D176" s="15" t="s">
        <v>398</v>
      </c>
      <c r="E176" s="16">
        <v>28.9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</row>
    <row r="177">
      <c r="A177" s="27" t="s">
        <v>399</v>
      </c>
      <c r="B177" s="24">
        <v>5.902280300878E12</v>
      </c>
      <c r="C177" s="9" t="s">
        <v>400</v>
      </c>
      <c r="D177" s="15" t="s">
        <v>398</v>
      </c>
      <c r="E177" s="16">
        <v>57.8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</row>
    <row r="178">
      <c r="A178" s="27" t="s">
        <v>401</v>
      </c>
      <c r="B178" s="24">
        <v>5.902280329145E12</v>
      </c>
      <c r="C178" s="9" t="s">
        <v>402</v>
      </c>
      <c r="D178" s="15" t="s">
        <v>398</v>
      </c>
      <c r="E178" s="16">
        <v>86.7</v>
      </c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</row>
    <row r="179">
      <c r="A179" s="29" t="s">
        <v>403</v>
      </c>
      <c r="B179" s="50">
        <v>5.902280348559E12</v>
      </c>
      <c r="C179" s="9" t="s">
        <v>404</v>
      </c>
      <c r="D179" s="15" t="s">
        <v>385</v>
      </c>
      <c r="E179" s="16">
        <v>45.6</v>
      </c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</row>
    <row r="180">
      <c r="A180" s="29" t="s">
        <v>405</v>
      </c>
      <c r="B180" s="50">
        <v>5.902280348542E12</v>
      </c>
      <c r="C180" s="9" t="s">
        <v>406</v>
      </c>
      <c r="D180" s="15" t="s">
        <v>385</v>
      </c>
      <c r="E180" s="16">
        <v>91.1</v>
      </c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</row>
    <row r="181">
      <c r="A181" s="27" t="s">
        <v>407</v>
      </c>
      <c r="B181" s="24">
        <v>5.902280305897E12</v>
      </c>
      <c r="C181" s="9" t="s">
        <v>408</v>
      </c>
      <c r="D181" s="15" t="s">
        <v>409</v>
      </c>
      <c r="E181" s="16">
        <v>33.5</v>
      </c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</row>
    <row r="182">
      <c r="A182" s="27" t="s">
        <v>410</v>
      </c>
      <c r="B182" s="24">
        <v>5.90228030575E12</v>
      </c>
      <c r="C182" s="9" t="s">
        <v>411</v>
      </c>
      <c r="D182" s="15" t="s">
        <v>409</v>
      </c>
      <c r="E182" s="16">
        <v>67.1</v>
      </c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</row>
    <row r="183">
      <c r="A183" s="27" t="s">
        <v>412</v>
      </c>
      <c r="B183" s="24">
        <v>5.902280305873E12</v>
      </c>
      <c r="C183" s="9" t="s">
        <v>413</v>
      </c>
      <c r="D183" s="15" t="s">
        <v>409</v>
      </c>
      <c r="E183" s="16">
        <v>100.6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</row>
    <row r="184">
      <c r="A184" s="27" t="s">
        <v>414</v>
      </c>
      <c r="B184" s="24">
        <v>5.902280306542E12</v>
      </c>
      <c r="C184" s="9" t="s">
        <v>415</v>
      </c>
      <c r="D184" s="15" t="s">
        <v>416</v>
      </c>
      <c r="E184" s="16">
        <v>31.1</v>
      </c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</row>
    <row r="185">
      <c r="A185" s="27" t="s">
        <v>417</v>
      </c>
      <c r="B185" s="24">
        <v>5.902280305866E12</v>
      </c>
      <c r="C185" s="9" t="s">
        <v>418</v>
      </c>
      <c r="D185" s="15" t="s">
        <v>416</v>
      </c>
      <c r="E185" s="16">
        <v>62.2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</row>
    <row r="186">
      <c r="A186" s="27" t="s">
        <v>419</v>
      </c>
      <c r="B186" s="24">
        <v>5.90228030661E12</v>
      </c>
      <c r="C186" s="9" t="s">
        <v>420</v>
      </c>
      <c r="D186" s="15" t="s">
        <v>416</v>
      </c>
      <c r="E186" s="16">
        <v>93.3</v>
      </c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</row>
    <row r="187">
      <c r="A187" s="34" t="s">
        <v>421</v>
      </c>
      <c r="B187" s="24">
        <v>5.906660786368E12</v>
      </c>
      <c r="C187" s="9" t="s">
        <v>422</v>
      </c>
      <c r="D187" s="15" t="s">
        <v>423</v>
      </c>
      <c r="E187" s="16">
        <v>12.6</v>
      </c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  <c r="BM187" s="44"/>
      <c r="BN187" s="44"/>
      <c r="BO187" s="44"/>
      <c r="BP187" s="44"/>
      <c r="BQ187" s="44"/>
    </row>
    <row r="188">
      <c r="A188" s="52" t="s">
        <v>424</v>
      </c>
      <c r="B188" s="24">
        <v>5.906660786306E12</v>
      </c>
      <c r="C188" s="9" t="s">
        <v>425</v>
      </c>
      <c r="D188" s="15" t="s">
        <v>423</v>
      </c>
      <c r="E188" s="16">
        <v>25.2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</row>
    <row r="189">
      <c r="A189" s="52" t="s">
        <v>426</v>
      </c>
      <c r="B189" s="24">
        <v>5.906660786351E12</v>
      </c>
      <c r="C189" s="9" t="s">
        <v>427</v>
      </c>
      <c r="D189" s="15" t="s">
        <v>428</v>
      </c>
      <c r="E189" s="16">
        <v>16.2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</row>
    <row r="190">
      <c r="A190" s="52" t="s">
        <v>429</v>
      </c>
      <c r="B190" s="24">
        <v>5.906660786344E12</v>
      </c>
      <c r="C190" s="9" t="s">
        <v>430</v>
      </c>
      <c r="D190" s="15" t="s">
        <v>428</v>
      </c>
      <c r="E190" s="16">
        <v>32.3</v>
      </c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</row>
    <row r="191">
      <c r="A191" s="52" t="s">
        <v>431</v>
      </c>
      <c r="B191" s="26">
        <v>5.902280334538E12</v>
      </c>
      <c r="C191" s="9" t="s">
        <v>432</v>
      </c>
      <c r="D191" s="15" t="s">
        <v>433</v>
      </c>
      <c r="E191" s="16">
        <v>17.0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</row>
    <row r="192">
      <c r="A192" s="52" t="s">
        <v>434</v>
      </c>
      <c r="B192" s="26">
        <v>5.902280330172E12</v>
      </c>
      <c r="C192" s="9" t="s">
        <v>435</v>
      </c>
      <c r="D192" s="15" t="s">
        <v>433</v>
      </c>
      <c r="E192" s="16">
        <v>34.1</v>
      </c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</row>
    <row r="193">
      <c r="A193" s="52" t="s">
        <v>436</v>
      </c>
      <c r="B193" s="24">
        <v>5.906660786399E12</v>
      </c>
      <c r="C193" s="9" t="s">
        <v>437</v>
      </c>
      <c r="D193" s="15" t="s">
        <v>438</v>
      </c>
      <c r="E193" s="16">
        <v>18.5</v>
      </c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4"/>
      <c r="BK193" s="44"/>
      <c r="BL193" s="44"/>
      <c r="BM193" s="44"/>
      <c r="BN193" s="44"/>
      <c r="BO193" s="44"/>
      <c r="BP193" s="44"/>
      <c r="BQ193" s="44"/>
    </row>
    <row r="194">
      <c r="A194" s="52" t="s">
        <v>439</v>
      </c>
      <c r="B194" s="24">
        <v>5.906660786382E12</v>
      </c>
      <c r="C194" s="9" t="s">
        <v>440</v>
      </c>
      <c r="D194" s="15" t="s">
        <v>438</v>
      </c>
      <c r="E194" s="16">
        <v>37.1</v>
      </c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  <c r="BI194" s="44"/>
      <c r="BJ194" s="44"/>
      <c r="BK194" s="44"/>
      <c r="BL194" s="44"/>
      <c r="BM194" s="44"/>
      <c r="BN194" s="44"/>
      <c r="BO194" s="44"/>
      <c r="BP194" s="44"/>
      <c r="BQ194" s="44"/>
    </row>
    <row r="195">
      <c r="A195" s="52" t="s">
        <v>441</v>
      </c>
      <c r="B195" s="24">
        <v>5.906660786412E12</v>
      </c>
      <c r="C195" s="9" t="s">
        <v>442</v>
      </c>
      <c r="D195" s="15" t="s">
        <v>443</v>
      </c>
      <c r="E195" s="16">
        <v>23.6</v>
      </c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</row>
    <row r="196">
      <c r="A196" s="52" t="s">
        <v>444</v>
      </c>
      <c r="B196" s="24">
        <v>5.906660786405E12</v>
      </c>
      <c r="C196" s="9" t="s">
        <v>445</v>
      </c>
      <c r="D196" s="15" t="s">
        <v>443</v>
      </c>
      <c r="E196" s="16">
        <v>47.2</v>
      </c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</row>
    <row r="197">
      <c r="A197" s="52" t="s">
        <v>446</v>
      </c>
      <c r="B197" s="24">
        <v>5.906660786337E12</v>
      </c>
      <c r="C197" s="9" t="s">
        <v>447</v>
      </c>
      <c r="D197" s="15" t="s">
        <v>448</v>
      </c>
      <c r="E197" s="16">
        <v>19.5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</row>
    <row r="198">
      <c r="A198" s="52" t="s">
        <v>449</v>
      </c>
      <c r="B198" s="24">
        <v>5.906660786313E12</v>
      </c>
      <c r="C198" s="9" t="s">
        <v>450</v>
      </c>
      <c r="D198" s="15" t="s">
        <v>448</v>
      </c>
      <c r="E198" s="16">
        <v>39.1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</row>
    <row r="199">
      <c r="A199" s="52" t="s">
        <v>451</v>
      </c>
      <c r="B199" s="24">
        <v>5.906660786443E12</v>
      </c>
      <c r="C199" s="9" t="s">
        <v>452</v>
      </c>
      <c r="D199" s="15" t="s">
        <v>453</v>
      </c>
      <c r="E199" s="16">
        <v>25.5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</row>
    <row r="200">
      <c r="A200" s="52" t="s">
        <v>454</v>
      </c>
      <c r="B200" s="24">
        <v>5.906660786436E12</v>
      </c>
      <c r="C200" s="9" t="s">
        <v>455</v>
      </c>
      <c r="D200" s="15" t="s">
        <v>453</v>
      </c>
      <c r="E200" s="16">
        <v>51.0</v>
      </c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</row>
    <row r="201">
      <c r="A201" s="23" t="s">
        <v>456</v>
      </c>
      <c r="B201" s="24">
        <v>5.906660783046E12</v>
      </c>
      <c r="C201" s="9" t="s">
        <v>457</v>
      </c>
      <c r="D201" s="15" t="s">
        <v>458</v>
      </c>
      <c r="E201" s="16">
        <v>26.9</v>
      </c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</row>
    <row r="202">
      <c r="A202" s="23" t="s">
        <v>459</v>
      </c>
      <c r="B202" s="24">
        <v>5.906660780267E12</v>
      </c>
      <c r="C202" s="9" t="s">
        <v>460</v>
      </c>
      <c r="D202" s="15" t="s">
        <v>458</v>
      </c>
      <c r="E202" s="16">
        <v>53.9</v>
      </c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</row>
    <row r="203">
      <c r="A203" s="23" t="s">
        <v>461</v>
      </c>
      <c r="B203" s="24">
        <v>5.906660784081E12</v>
      </c>
      <c r="C203" s="9" t="s">
        <v>462</v>
      </c>
      <c r="D203" s="15" t="s">
        <v>458</v>
      </c>
      <c r="E203" s="16">
        <v>80.8</v>
      </c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</row>
    <row r="204">
      <c r="A204" s="53" t="s">
        <v>463</v>
      </c>
      <c r="B204" s="24">
        <v>5.902280303985E12</v>
      </c>
      <c r="C204" s="9" t="s">
        <v>464</v>
      </c>
      <c r="D204" s="15" t="s">
        <v>458</v>
      </c>
      <c r="E204" s="16">
        <v>43.0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</row>
    <row r="205">
      <c r="A205" s="53" t="s">
        <v>465</v>
      </c>
      <c r="B205" s="24">
        <v>5.906660788577E12</v>
      </c>
      <c r="C205" s="9" t="s">
        <v>466</v>
      </c>
      <c r="D205" s="15" t="s">
        <v>458</v>
      </c>
      <c r="E205" s="16">
        <v>86.0</v>
      </c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</row>
    <row r="206">
      <c r="A206" s="53" t="s">
        <v>467</v>
      </c>
      <c r="B206" s="24">
        <v>5.902280303992E12</v>
      </c>
      <c r="C206" s="9" t="s">
        <v>468</v>
      </c>
      <c r="D206" s="15" t="s">
        <v>458</v>
      </c>
      <c r="E206" s="16">
        <v>129.0</v>
      </c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</row>
    <row r="207">
      <c r="A207" s="23" t="s">
        <v>469</v>
      </c>
      <c r="B207" s="24">
        <v>5.902280310327E12</v>
      </c>
      <c r="C207" s="9" t="s">
        <v>470</v>
      </c>
      <c r="D207" s="15" t="s">
        <v>471</v>
      </c>
      <c r="E207" s="16">
        <v>46.7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</row>
    <row r="208">
      <c r="A208" s="23" t="s">
        <v>472</v>
      </c>
      <c r="B208" s="24">
        <v>5.902280307167E12</v>
      </c>
      <c r="C208" s="9" t="s">
        <v>473</v>
      </c>
      <c r="D208" s="15" t="s">
        <v>471</v>
      </c>
      <c r="E208" s="16">
        <v>93.4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</row>
    <row r="209">
      <c r="A209" s="23" t="s">
        <v>474</v>
      </c>
      <c r="B209" s="24">
        <v>5.902280308034E12</v>
      </c>
      <c r="C209" s="9" t="s">
        <v>475</v>
      </c>
      <c r="D209" s="15" t="s">
        <v>471</v>
      </c>
      <c r="E209" s="16">
        <v>140.1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</row>
    <row r="210">
      <c r="A210" s="23" t="s">
        <v>476</v>
      </c>
      <c r="B210" s="24">
        <v>5.906660788065E12</v>
      </c>
      <c r="C210" s="9" t="s">
        <v>477</v>
      </c>
      <c r="D210" s="15" t="s">
        <v>478</v>
      </c>
      <c r="E210" s="16">
        <v>60.4</v>
      </c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</row>
    <row r="211">
      <c r="A211" s="23" t="s">
        <v>479</v>
      </c>
      <c r="B211" s="24">
        <v>5.906660788072E12</v>
      </c>
      <c r="C211" s="9" t="s">
        <v>480</v>
      </c>
      <c r="D211" s="15" t="s">
        <v>478</v>
      </c>
      <c r="E211" s="16">
        <v>120.8</v>
      </c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</row>
    <row r="212">
      <c r="A212" s="23" t="s">
        <v>481</v>
      </c>
      <c r="B212" s="24">
        <v>5.902280301837E12</v>
      </c>
      <c r="C212" s="9" t="s">
        <v>482</v>
      </c>
      <c r="D212" s="15" t="s">
        <v>478</v>
      </c>
      <c r="E212" s="16">
        <v>181.1</v>
      </c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</row>
    <row r="213">
      <c r="A213" s="23" t="s">
        <v>483</v>
      </c>
      <c r="B213" s="24">
        <v>5.906660785293E12</v>
      </c>
      <c r="C213" s="9" t="s">
        <v>484</v>
      </c>
      <c r="D213" s="15" t="s">
        <v>485</v>
      </c>
      <c r="E213" s="16">
        <v>26.4</v>
      </c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</row>
    <row r="214">
      <c r="A214" s="23" t="s">
        <v>486</v>
      </c>
      <c r="B214" s="24">
        <v>5.906660780243E12</v>
      </c>
      <c r="C214" s="9" t="s">
        <v>487</v>
      </c>
      <c r="D214" s="15" t="s">
        <v>485</v>
      </c>
      <c r="E214" s="16">
        <v>52.8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</row>
    <row r="215">
      <c r="A215" s="23" t="s">
        <v>488</v>
      </c>
      <c r="B215" s="24">
        <v>5.906660784173E12</v>
      </c>
      <c r="C215" s="9" t="s">
        <v>489</v>
      </c>
      <c r="D215" s="15" t="s">
        <v>485</v>
      </c>
      <c r="E215" s="16">
        <v>79.2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</row>
    <row r="216">
      <c r="A216" s="34" t="s">
        <v>490</v>
      </c>
      <c r="B216" s="24">
        <v>5.902280302193E12</v>
      </c>
      <c r="C216" s="9" t="s">
        <v>491</v>
      </c>
      <c r="D216" s="15" t="s">
        <v>492</v>
      </c>
      <c r="E216" s="16">
        <v>18.9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</row>
    <row r="217">
      <c r="A217" s="34" t="s">
        <v>493</v>
      </c>
      <c r="B217" s="24">
        <v>5.902280303817E12</v>
      </c>
      <c r="C217" s="9" t="s">
        <v>494</v>
      </c>
      <c r="D217" s="15" t="s">
        <v>492</v>
      </c>
      <c r="E217" s="16">
        <v>37.8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</row>
    <row r="218">
      <c r="A218" s="34" t="s">
        <v>495</v>
      </c>
      <c r="B218" s="24">
        <v>5.902280302261E12</v>
      </c>
      <c r="C218" s="9" t="s">
        <v>496</v>
      </c>
      <c r="D218" s="15" t="s">
        <v>492</v>
      </c>
      <c r="E218" s="16">
        <v>56.7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</row>
    <row r="219">
      <c r="A219" s="34" t="s">
        <v>497</v>
      </c>
      <c r="B219" s="24">
        <v>5.902280302209E12</v>
      </c>
      <c r="C219" s="9" t="s">
        <v>498</v>
      </c>
      <c r="D219" s="15" t="s">
        <v>499</v>
      </c>
      <c r="E219" s="16">
        <v>26.2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</row>
    <row r="220">
      <c r="A220" s="34" t="s">
        <v>500</v>
      </c>
      <c r="B220" s="24">
        <v>5.902280301318E12</v>
      </c>
      <c r="C220" s="9" t="s">
        <v>501</v>
      </c>
      <c r="D220" s="15" t="s">
        <v>499</v>
      </c>
      <c r="E220" s="16">
        <v>52.5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</row>
    <row r="221">
      <c r="A221" s="34" t="s">
        <v>502</v>
      </c>
      <c r="B221" s="24">
        <v>5.902280303589E12</v>
      </c>
      <c r="C221" s="9" t="s">
        <v>503</v>
      </c>
      <c r="D221" s="15" t="s">
        <v>499</v>
      </c>
      <c r="E221" s="16">
        <v>78.7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</row>
    <row r="222">
      <c r="A222" s="23" t="s">
        <v>504</v>
      </c>
      <c r="B222" s="24">
        <v>5.906660783091E12</v>
      </c>
      <c r="C222" s="9" t="s">
        <v>505</v>
      </c>
      <c r="D222" s="15" t="s">
        <v>506</v>
      </c>
      <c r="E222" s="16">
        <v>57.4</v>
      </c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</row>
    <row r="223">
      <c r="A223" s="23" t="s">
        <v>507</v>
      </c>
      <c r="B223" s="24">
        <v>5.906660780281E12</v>
      </c>
      <c r="C223" s="9" t="s">
        <v>508</v>
      </c>
      <c r="D223" s="15" t="s">
        <v>506</v>
      </c>
      <c r="E223" s="16">
        <v>114.8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</row>
    <row r="224">
      <c r="A224" s="23" t="s">
        <v>509</v>
      </c>
      <c r="B224" s="24">
        <v>5.90666078294E12</v>
      </c>
      <c r="C224" s="9" t="s">
        <v>510</v>
      </c>
      <c r="D224" s="15" t="s">
        <v>506</v>
      </c>
      <c r="E224" s="16">
        <v>172.1</v>
      </c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</row>
    <row r="225">
      <c r="A225" s="34" t="s">
        <v>511</v>
      </c>
      <c r="B225" s="24">
        <v>5.902280302216E12</v>
      </c>
      <c r="C225" s="9" t="s">
        <v>512</v>
      </c>
      <c r="D225" s="15" t="s">
        <v>513</v>
      </c>
      <c r="E225" s="16">
        <v>29.3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</row>
    <row r="226">
      <c r="A226" s="34" t="s">
        <v>514</v>
      </c>
      <c r="B226" s="24">
        <v>5.902280301325E12</v>
      </c>
      <c r="C226" s="9" t="s">
        <v>515</v>
      </c>
      <c r="D226" s="15" t="s">
        <v>513</v>
      </c>
      <c r="E226" s="16">
        <v>58.6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</row>
    <row r="227">
      <c r="A227" s="34" t="s">
        <v>516</v>
      </c>
      <c r="B227" s="24">
        <v>5.90228030393E12</v>
      </c>
      <c r="C227" s="9" t="s">
        <v>517</v>
      </c>
      <c r="D227" s="15" t="s">
        <v>513</v>
      </c>
      <c r="E227" s="16">
        <v>87.9</v>
      </c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</row>
    <row r="228">
      <c r="A228" s="34" t="s">
        <v>518</v>
      </c>
      <c r="B228" s="24">
        <v>5.902280302223E12</v>
      </c>
      <c r="C228" s="9" t="s">
        <v>519</v>
      </c>
      <c r="D228" s="15" t="s">
        <v>520</v>
      </c>
      <c r="E228" s="16">
        <v>35.2</v>
      </c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</row>
    <row r="229">
      <c r="A229" s="34" t="s">
        <v>521</v>
      </c>
      <c r="B229" s="24">
        <v>5.902280301332E12</v>
      </c>
      <c r="C229" s="9" t="s">
        <v>522</v>
      </c>
      <c r="D229" s="15" t="s">
        <v>520</v>
      </c>
      <c r="E229" s="16">
        <v>70.3</v>
      </c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</row>
    <row r="230">
      <c r="A230" s="34" t="s">
        <v>523</v>
      </c>
      <c r="B230" s="24">
        <v>5.9022803038E12</v>
      </c>
      <c r="C230" s="9" t="s">
        <v>524</v>
      </c>
      <c r="D230" s="15" t="s">
        <v>520</v>
      </c>
      <c r="E230" s="16">
        <v>105.5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</row>
    <row r="231">
      <c r="A231" s="23" t="s">
        <v>525</v>
      </c>
      <c r="B231" s="24">
        <v>5.90228030588E12</v>
      </c>
      <c r="C231" s="9" t="s">
        <v>526</v>
      </c>
      <c r="D231" s="15" t="s">
        <v>527</v>
      </c>
      <c r="E231" s="16">
        <v>25.6</v>
      </c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  <c r="BI231" s="44"/>
      <c r="BJ231" s="44"/>
      <c r="BK231" s="44"/>
      <c r="BL231" s="44"/>
      <c r="BM231" s="44"/>
      <c r="BN231" s="44"/>
      <c r="BO231" s="44"/>
      <c r="BP231" s="44"/>
      <c r="BQ231" s="44"/>
    </row>
    <row r="232">
      <c r="A232" s="23" t="s">
        <v>528</v>
      </c>
      <c r="B232" s="24">
        <v>5.902280305781E12</v>
      </c>
      <c r="C232" s="9" t="s">
        <v>529</v>
      </c>
      <c r="D232" s="15" t="s">
        <v>527</v>
      </c>
      <c r="E232" s="16">
        <v>51.2</v>
      </c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</row>
    <row r="233">
      <c r="A233" s="23" t="s">
        <v>530</v>
      </c>
      <c r="B233" s="24">
        <v>5.90228030658E12</v>
      </c>
      <c r="C233" s="9" t="s">
        <v>531</v>
      </c>
      <c r="D233" s="15" t="s">
        <v>527</v>
      </c>
      <c r="E233" s="16">
        <v>76.7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</row>
    <row r="234">
      <c r="A234" s="23" t="s">
        <v>532</v>
      </c>
      <c r="B234" s="24">
        <v>5.902280305125E12</v>
      </c>
      <c r="C234" s="9" t="s">
        <v>533</v>
      </c>
      <c r="D234" s="15" t="s">
        <v>534</v>
      </c>
      <c r="E234" s="16">
        <v>41.5</v>
      </c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  <c r="BP234" s="44"/>
      <c r="BQ234" s="44"/>
    </row>
    <row r="235">
      <c r="A235" s="23" t="s">
        <v>535</v>
      </c>
      <c r="B235" s="24">
        <v>5.902280305095E12</v>
      </c>
      <c r="C235" s="9" t="s">
        <v>536</v>
      </c>
      <c r="D235" s="15" t="s">
        <v>534</v>
      </c>
      <c r="E235" s="16">
        <v>82.9</v>
      </c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</row>
    <row r="236">
      <c r="A236" s="23" t="s">
        <v>537</v>
      </c>
      <c r="B236" s="24">
        <v>5.902280306832E12</v>
      </c>
      <c r="C236" s="9" t="s">
        <v>538</v>
      </c>
      <c r="D236" s="15" t="s">
        <v>534</v>
      </c>
      <c r="E236" s="16">
        <v>47.4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</row>
    <row r="237">
      <c r="A237" s="23" t="s">
        <v>539</v>
      </c>
      <c r="B237" s="24">
        <v>5.902280306559E12</v>
      </c>
      <c r="C237" s="9" t="s">
        <v>540</v>
      </c>
      <c r="D237" s="15" t="s">
        <v>534</v>
      </c>
      <c r="E237" s="16">
        <v>94.8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</row>
    <row r="238">
      <c r="A238" s="23" t="s">
        <v>541</v>
      </c>
      <c r="B238" s="24">
        <v>5.902280318552E12</v>
      </c>
      <c r="C238" s="9" t="s">
        <v>542</v>
      </c>
      <c r="D238" s="15" t="s">
        <v>534</v>
      </c>
      <c r="E238" s="16">
        <v>142.2</v>
      </c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</row>
    <row r="239">
      <c r="A239" s="23" t="s">
        <v>543</v>
      </c>
      <c r="B239" s="24">
        <v>5.902280306764E12</v>
      </c>
      <c r="C239" s="9" t="s">
        <v>544</v>
      </c>
      <c r="D239" s="15" t="s">
        <v>534</v>
      </c>
      <c r="E239" s="16">
        <v>42.1</v>
      </c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</row>
    <row r="240">
      <c r="A240" s="23" t="s">
        <v>545</v>
      </c>
      <c r="B240" s="24">
        <v>5.902280307112E12</v>
      </c>
      <c r="C240" s="9" t="s">
        <v>546</v>
      </c>
      <c r="D240" s="15" t="s">
        <v>534</v>
      </c>
      <c r="E240" s="16">
        <v>84.2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</row>
    <row r="241">
      <c r="A241" s="23" t="s">
        <v>547</v>
      </c>
      <c r="B241" s="24">
        <v>5.902280305118E12</v>
      </c>
      <c r="C241" s="9" t="s">
        <v>548</v>
      </c>
      <c r="D241" s="15" t="s">
        <v>534</v>
      </c>
      <c r="E241" s="16">
        <v>50.7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</row>
    <row r="242">
      <c r="A242" s="23" t="s">
        <v>549</v>
      </c>
      <c r="B242" s="24">
        <v>5.902280305101E12</v>
      </c>
      <c r="C242" s="9" t="s">
        <v>550</v>
      </c>
      <c r="D242" s="15" t="s">
        <v>534</v>
      </c>
      <c r="E242" s="16">
        <v>101.3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</row>
    <row r="243">
      <c r="A243" s="23" t="s">
        <v>551</v>
      </c>
      <c r="B243" s="24">
        <v>5.902280307501E12</v>
      </c>
      <c r="C243" s="9" t="s">
        <v>552</v>
      </c>
      <c r="D243" s="15" t="s">
        <v>534</v>
      </c>
      <c r="E243" s="16">
        <v>152.0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</row>
    <row r="244">
      <c r="A244" s="23" t="s">
        <v>553</v>
      </c>
      <c r="B244" s="24">
        <v>5.902280305071E12</v>
      </c>
      <c r="C244" s="9" t="s">
        <v>554</v>
      </c>
      <c r="D244" s="15" t="s">
        <v>534</v>
      </c>
      <c r="E244" s="16">
        <v>65.7</v>
      </c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</row>
    <row r="245">
      <c r="A245" s="23" t="s">
        <v>555</v>
      </c>
      <c r="B245" s="24">
        <v>5.902280305064E12</v>
      </c>
      <c r="C245" s="9" t="s">
        <v>556</v>
      </c>
      <c r="D245" s="15" t="s">
        <v>534</v>
      </c>
      <c r="E245" s="16">
        <v>131.3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</row>
    <row r="246">
      <c r="A246" s="23" t="s">
        <v>557</v>
      </c>
      <c r="B246" s="24">
        <v>5.90228030517E12</v>
      </c>
      <c r="C246" s="9" t="s">
        <v>558</v>
      </c>
      <c r="D246" s="15" t="s">
        <v>534</v>
      </c>
      <c r="E246" s="16">
        <v>197.0</v>
      </c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</row>
    <row r="247">
      <c r="A247" s="34" t="s">
        <v>559</v>
      </c>
      <c r="B247" s="24">
        <v>5.902280307556E12</v>
      </c>
      <c r="C247" s="9" t="s">
        <v>560</v>
      </c>
      <c r="D247" s="15" t="s">
        <v>561</v>
      </c>
      <c r="E247" s="16">
        <v>58.6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</row>
    <row r="248">
      <c r="A248" s="34" t="s">
        <v>562</v>
      </c>
      <c r="B248" s="24">
        <v>5.902280307044E12</v>
      </c>
      <c r="C248" s="9" t="s">
        <v>563</v>
      </c>
      <c r="D248" s="15" t="s">
        <v>561</v>
      </c>
      <c r="E248" s="16">
        <v>125.6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</row>
    <row r="249">
      <c r="A249" s="34" t="s">
        <v>564</v>
      </c>
      <c r="B249" s="24">
        <v>5.902280307563E12</v>
      </c>
      <c r="C249" s="9" t="s">
        <v>565</v>
      </c>
      <c r="D249" s="15" t="s">
        <v>561</v>
      </c>
      <c r="E249" s="16">
        <v>175.8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</row>
    <row r="250">
      <c r="A250" s="23" t="s">
        <v>566</v>
      </c>
      <c r="B250" s="24">
        <v>5.902280307518E12</v>
      </c>
      <c r="C250" s="9" t="s">
        <v>567</v>
      </c>
      <c r="D250" s="15" t="s">
        <v>568</v>
      </c>
      <c r="E250" s="16">
        <v>187.6</v>
      </c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</row>
    <row r="251">
      <c r="A251" s="23" t="s">
        <v>569</v>
      </c>
      <c r="B251" s="24">
        <v>5.90228030731E12</v>
      </c>
      <c r="C251" s="9" t="s">
        <v>570</v>
      </c>
      <c r="D251" s="15" t="s">
        <v>568</v>
      </c>
      <c r="E251" s="16">
        <v>375.2</v>
      </c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</row>
    <row r="252">
      <c r="A252" s="23" t="s">
        <v>571</v>
      </c>
      <c r="B252" s="24">
        <v>5.902280307525E12</v>
      </c>
      <c r="C252" s="9" t="s">
        <v>572</v>
      </c>
      <c r="D252" s="15" t="s">
        <v>568</v>
      </c>
      <c r="E252" s="16">
        <v>562.8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</row>
    <row r="253">
      <c r="A253" s="23" t="s">
        <v>573</v>
      </c>
      <c r="B253" s="24">
        <v>5.902280307532E12</v>
      </c>
      <c r="C253" s="9" t="s">
        <v>574</v>
      </c>
      <c r="D253" s="15" t="s">
        <v>575</v>
      </c>
      <c r="E253" s="16">
        <v>163.4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</row>
    <row r="254">
      <c r="A254" s="23" t="s">
        <v>576</v>
      </c>
      <c r="B254" s="24">
        <v>5.902280307341E12</v>
      </c>
      <c r="C254" s="9" t="s">
        <v>577</v>
      </c>
      <c r="D254" s="15" t="s">
        <v>575</v>
      </c>
      <c r="E254" s="16">
        <v>326.7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</row>
    <row r="255">
      <c r="A255" s="23" t="s">
        <v>578</v>
      </c>
      <c r="B255" s="24">
        <v>5.902280307549E12</v>
      </c>
      <c r="C255" s="9" t="s">
        <v>579</v>
      </c>
      <c r="D255" s="15" t="s">
        <v>575</v>
      </c>
      <c r="E255" s="16">
        <v>490.1</v>
      </c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</row>
    <row r="256">
      <c r="A256" s="51" t="s">
        <v>580</v>
      </c>
      <c r="B256" s="24">
        <v>5.902280308799E12</v>
      </c>
      <c r="C256" s="9" t="s">
        <v>581</v>
      </c>
      <c r="D256" s="15" t="s">
        <v>582</v>
      </c>
      <c r="E256" s="16">
        <v>81.1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</row>
    <row r="257">
      <c r="A257" s="51" t="s">
        <v>583</v>
      </c>
      <c r="B257" s="24">
        <v>5.902280308775E12</v>
      </c>
      <c r="C257" s="9" t="s">
        <v>584</v>
      </c>
      <c r="D257" s="15" t="s">
        <v>582</v>
      </c>
      <c r="E257" s="16">
        <v>162.1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</row>
    <row r="258">
      <c r="A258" s="51" t="s">
        <v>585</v>
      </c>
      <c r="B258" s="24">
        <v>5.902280308768E12</v>
      </c>
      <c r="C258" s="9" t="s">
        <v>586</v>
      </c>
      <c r="D258" s="15" t="s">
        <v>582</v>
      </c>
      <c r="E258" s="16">
        <v>243.2</v>
      </c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</row>
    <row r="259">
      <c r="A259" s="23" t="s">
        <v>587</v>
      </c>
      <c r="B259" s="24">
        <v>5.902280312338E12</v>
      </c>
      <c r="C259" s="9" t="s">
        <v>588</v>
      </c>
      <c r="D259" s="15" t="s">
        <v>589</v>
      </c>
      <c r="E259" s="16">
        <v>12.6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</row>
    <row r="260">
      <c r="A260" s="23" t="s">
        <v>590</v>
      </c>
      <c r="B260" s="24">
        <v>5.902280311881E12</v>
      </c>
      <c r="C260" s="9" t="s">
        <v>591</v>
      </c>
      <c r="D260" s="15" t="s">
        <v>589</v>
      </c>
      <c r="E260" s="16">
        <v>25.2</v>
      </c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</row>
    <row r="261">
      <c r="A261" s="23" t="s">
        <v>592</v>
      </c>
      <c r="B261" s="24">
        <v>5.902280315001E12</v>
      </c>
      <c r="C261" s="9" t="s">
        <v>593</v>
      </c>
      <c r="D261" s="15" t="s">
        <v>589</v>
      </c>
      <c r="E261" s="16">
        <v>37.8</v>
      </c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</row>
    <row r="262">
      <c r="A262" s="23" t="s">
        <v>594</v>
      </c>
      <c r="B262" s="24">
        <v>5.902280306603E12</v>
      </c>
      <c r="C262" s="9" t="s">
        <v>595</v>
      </c>
      <c r="D262" s="15" t="s">
        <v>596</v>
      </c>
      <c r="E262" s="16">
        <v>156.9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</row>
    <row r="263">
      <c r="A263" s="23" t="s">
        <v>597</v>
      </c>
      <c r="B263" s="24">
        <v>5.902280306573E12</v>
      </c>
      <c r="C263" s="9" t="s">
        <v>598</v>
      </c>
      <c r="D263" s="15" t="s">
        <v>596</v>
      </c>
      <c r="E263" s="16">
        <v>313.7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</row>
    <row r="264">
      <c r="A264" s="23" t="s">
        <v>599</v>
      </c>
      <c r="B264" s="24">
        <v>5.902280306849E12</v>
      </c>
      <c r="C264" s="9" t="s">
        <v>600</v>
      </c>
      <c r="D264" s="15" t="s">
        <v>596</v>
      </c>
      <c r="E264" s="16">
        <v>470.6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</row>
    <row r="265">
      <c r="A265" s="23" t="s">
        <v>601</v>
      </c>
      <c r="B265" s="24">
        <v>5.902280345114E12</v>
      </c>
      <c r="C265" s="9" t="s">
        <v>602</v>
      </c>
      <c r="D265" s="15" t="s">
        <v>603</v>
      </c>
      <c r="E265" s="16">
        <v>206.4</v>
      </c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</row>
    <row r="266">
      <c r="A266" s="23" t="s">
        <v>604</v>
      </c>
      <c r="B266" s="24">
        <v>5.902280329565E12</v>
      </c>
      <c r="C266" s="9" t="s">
        <v>605</v>
      </c>
      <c r="D266" s="15" t="s">
        <v>603</v>
      </c>
      <c r="E266" s="16">
        <v>412.7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</row>
    <row r="267">
      <c r="A267" s="23" t="s">
        <v>606</v>
      </c>
      <c r="B267" s="24">
        <v>5.902280329572E12</v>
      </c>
      <c r="C267" s="9" t="s">
        <v>607</v>
      </c>
      <c r="D267" s="15" t="s">
        <v>603</v>
      </c>
      <c r="E267" s="16">
        <v>619.1</v>
      </c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</row>
    <row r="268">
      <c r="A268" s="23" t="s">
        <v>608</v>
      </c>
      <c r="B268" s="24">
        <v>5.90228031226E12</v>
      </c>
      <c r="C268" s="9" t="s">
        <v>609</v>
      </c>
      <c r="D268" s="15" t="s">
        <v>610</v>
      </c>
      <c r="E268" s="16">
        <v>162.5</v>
      </c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</row>
    <row r="269">
      <c r="A269" s="23" t="s">
        <v>611</v>
      </c>
      <c r="B269" s="24">
        <v>5.902280312178E12</v>
      </c>
      <c r="C269" s="9" t="s">
        <v>612</v>
      </c>
      <c r="D269" s="15" t="s">
        <v>610</v>
      </c>
      <c r="E269" s="16">
        <v>324.9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</row>
    <row r="270">
      <c r="A270" s="23" t="s">
        <v>613</v>
      </c>
      <c r="B270" s="24">
        <v>5.902280312451E12</v>
      </c>
      <c r="C270" s="9" t="s">
        <v>614</v>
      </c>
      <c r="D270" s="15" t="s">
        <v>610</v>
      </c>
      <c r="E270" s="16">
        <v>487.4</v>
      </c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</row>
    <row r="271">
      <c r="A271" s="23" t="s">
        <v>615</v>
      </c>
      <c r="B271" s="24">
        <v>5.902280305132E12</v>
      </c>
      <c r="C271" s="9" t="s">
        <v>616</v>
      </c>
      <c r="D271" s="15" t="s">
        <v>617</v>
      </c>
      <c r="E271" s="16">
        <v>36.7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</row>
    <row r="272">
      <c r="A272" s="23" t="s">
        <v>618</v>
      </c>
      <c r="B272" s="24">
        <v>5.902280305088E12</v>
      </c>
      <c r="C272" s="9" t="s">
        <v>619</v>
      </c>
      <c r="D272" s="15" t="s">
        <v>617</v>
      </c>
      <c r="E272" s="16">
        <v>73.5</v>
      </c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</row>
    <row r="273">
      <c r="A273" s="23" t="s">
        <v>620</v>
      </c>
      <c r="B273" s="24">
        <v>5.902280305149E12</v>
      </c>
      <c r="C273" s="9" t="s">
        <v>621</v>
      </c>
      <c r="D273" s="15" t="s">
        <v>617</v>
      </c>
      <c r="E273" s="16">
        <v>110.2</v>
      </c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</row>
    <row r="274">
      <c r="A274" s="23" t="s">
        <v>622</v>
      </c>
      <c r="B274" s="24">
        <v>5.902280321569E12</v>
      </c>
      <c r="C274" s="9" t="s">
        <v>623</v>
      </c>
      <c r="D274" s="15" t="s">
        <v>624</v>
      </c>
      <c r="E274" s="16">
        <v>53.9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</row>
    <row r="275">
      <c r="A275" s="23" t="s">
        <v>625</v>
      </c>
      <c r="B275" s="24">
        <v>5.902280318897E12</v>
      </c>
      <c r="C275" s="9" t="s">
        <v>626</v>
      </c>
      <c r="D275" s="15" t="s">
        <v>624</v>
      </c>
      <c r="E275" s="16">
        <v>107.8</v>
      </c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</row>
    <row r="276">
      <c r="A276" s="23" t="s">
        <v>627</v>
      </c>
      <c r="B276" s="24">
        <v>5.90228031974E12</v>
      </c>
      <c r="C276" s="9" t="s">
        <v>628</v>
      </c>
      <c r="D276" s="15" t="s">
        <v>624</v>
      </c>
      <c r="E276" s="16">
        <v>161.8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</row>
    <row r="277">
      <c r="A277" s="25" t="s">
        <v>629</v>
      </c>
      <c r="B277" s="24">
        <v>5.90666078111E12</v>
      </c>
      <c r="C277" s="9" t="s">
        <v>630</v>
      </c>
      <c r="D277" s="15" t="s">
        <v>631</v>
      </c>
      <c r="E277" s="16">
        <v>16.6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</row>
    <row r="278">
      <c r="A278" s="25" t="s">
        <v>632</v>
      </c>
      <c r="B278" s="24">
        <v>5.906660780328E12</v>
      </c>
      <c r="C278" s="9" t="s">
        <v>633</v>
      </c>
      <c r="D278" s="15" t="s">
        <v>631</v>
      </c>
      <c r="E278" s="16">
        <v>33.1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</row>
    <row r="279">
      <c r="A279" s="25" t="s">
        <v>634</v>
      </c>
      <c r="B279" s="24">
        <v>5.906660784005E12</v>
      </c>
      <c r="C279" s="9" t="s">
        <v>635</v>
      </c>
      <c r="D279" s="15" t="s">
        <v>631</v>
      </c>
      <c r="E279" s="16">
        <v>49.7</v>
      </c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</row>
    <row r="280">
      <c r="A280" s="23" t="s">
        <v>636</v>
      </c>
      <c r="B280" s="24">
        <v>5.906660786092E12</v>
      </c>
      <c r="C280" s="9" t="s">
        <v>637</v>
      </c>
      <c r="D280" s="15" t="s">
        <v>638</v>
      </c>
      <c r="E280" s="16">
        <v>22.3</v>
      </c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</row>
    <row r="281">
      <c r="A281" s="23" t="s">
        <v>639</v>
      </c>
      <c r="B281" s="24">
        <v>5.906660786085E12</v>
      </c>
      <c r="C281" s="9" t="s">
        <v>640</v>
      </c>
      <c r="D281" s="15" t="s">
        <v>638</v>
      </c>
      <c r="E281" s="16">
        <v>44.6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</row>
    <row r="282">
      <c r="A282" s="23" t="s">
        <v>641</v>
      </c>
      <c r="B282" s="24">
        <v>5.906660786078E12</v>
      </c>
      <c r="C282" s="9" t="s">
        <v>642</v>
      </c>
      <c r="D282" s="15" t="s">
        <v>638</v>
      </c>
      <c r="E282" s="16">
        <v>66.8</v>
      </c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</row>
    <row r="283">
      <c r="A283" s="25" t="s">
        <v>643</v>
      </c>
      <c r="B283" s="24">
        <v>5.906660783015E12</v>
      </c>
      <c r="C283" s="9" t="s">
        <v>644</v>
      </c>
      <c r="D283" s="15" t="s">
        <v>645</v>
      </c>
      <c r="E283" s="16">
        <v>69.7</v>
      </c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</row>
    <row r="284">
      <c r="A284" s="25" t="s">
        <v>646</v>
      </c>
      <c r="B284" s="24">
        <v>5.906660780342E12</v>
      </c>
      <c r="C284" s="9" t="s">
        <v>647</v>
      </c>
      <c r="D284" s="15" t="s">
        <v>645</v>
      </c>
      <c r="E284" s="16">
        <v>139.4</v>
      </c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</row>
    <row r="285">
      <c r="A285" s="25" t="s">
        <v>648</v>
      </c>
      <c r="B285" s="24">
        <v>5.906660784029E12</v>
      </c>
      <c r="C285" s="9" t="s">
        <v>649</v>
      </c>
      <c r="D285" s="15" t="s">
        <v>645</v>
      </c>
      <c r="E285" s="16">
        <v>209.1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</row>
    <row r="286">
      <c r="A286" s="25" t="s">
        <v>650</v>
      </c>
      <c r="B286" s="24">
        <v>5.902280345541E12</v>
      </c>
      <c r="C286" s="9" t="s">
        <v>651</v>
      </c>
      <c r="D286" s="15" t="s">
        <v>645</v>
      </c>
      <c r="E286" s="16">
        <v>101.1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</row>
    <row r="287">
      <c r="A287" s="25" t="s">
        <v>652</v>
      </c>
      <c r="B287" s="24">
        <v>5.902280328674E12</v>
      </c>
      <c r="C287" s="9" t="s">
        <v>653</v>
      </c>
      <c r="D287" s="15" t="s">
        <v>645</v>
      </c>
      <c r="E287" s="16">
        <v>202.2</v>
      </c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</row>
    <row r="288">
      <c r="A288" s="25" t="s">
        <v>654</v>
      </c>
      <c r="B288" s="24">
        <v>5.902280328681E12</v>
      </c>
      <c r="C288" s="9" t="s">
        <v>655</v>
      </c>
      <c r="D288" s="15" t="s">
        <v>645</v>
      </c>
      <c r="E288" s="16">
        <v>303.2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</row>
    <row r="289">
      <c r="A289" s="23" t="s">
        <v>656</v>
      </c>
      <c r="B289" s="24">
        <v>5.902280339151E12</v>
      </c>
      <c r="C289" s="9" t="s">
        <v>657</v>
      </c>
      <c r="D289" s="15" t="s">
        <v>645</v>
      </c>
      <c r="E289" s="16">
        <v>59.5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</row>
    <row r="290">
      <c r="A290" s="23" t="s">
        <v>658</v>
      </c>
      <c r="B290" s="24">
        <v>5.90228032865E12</v>
      </c>
      <c r="C290" s="9" t="s">
        <v>659</v>
      </c>
      <c r="D290" s="15" t="s">
        <v>645</v>
      </c>
      <c r="E290" s="16">
        <v>118.9</v>
      </c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</row>
    <row r="291">
      <c r="A291" s="23" t="s">
        <v>660</v>
      </c>
      <c r="B291" s="24">
        <v>5.902280328667E12</v>
      </c>
      <c r="C291" s="9" t="s">
        <v>661</v>
      </c>
      <c r="D291" s="15" t="s">
        <v>645</v>
      </c>
      <c r="E291" s="16">
        <v>178.4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</row>
    <row r="292">
      <c r="A292" s="25" t="s">
        <v>662</v>
      </c>
      <c r="B292" s="24">
        <v>5.902280345558E12</v>
      </c>
      <c r="C292" s="9" t="s">
        <v>663</v>
      </c>
      <c r="D292" s="15" t="s">
        <v>645</v>
      </c>
      <c r="E292" s="16">
        <v>93.8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</row>
    <row r="293">
      <c r="A293" s="25" t="s">
        <v>664</v>
      </c>
      <c r="B293" s="24">
        <v>5.902280339533E12</v>
      </c>
      <c r="C293" s="9" t="s">
        <v>665</v>
      </c>
      <c r="D293" s="15" t="s">
        <v>645</v>
      </c>
      <c r="E293" s="16">
        <v>187.6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</row>
    <row r="294">
      <c r="A294" s="25" t="s">
        <v>666</v>
      </c>
      <c r="B294" s="24">
        <v>5.902280339557E12</v>
      </c>
      <c r="C294" s="9" t="s">
        <v>667</v>
      </c>
      <c r="D294" s="15" t="s">
        <v>645</v>
      </c>
      <c r="E294" s="16">
        <v>281.4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</row>
    <row r="295">
      <c r="A295" s="23" t="s">
        <v>668</v>
      </c>
      <c r="B295" s="24">
        <v>5.90228034324E12</v>
      </c>
      <c r="C295" s="9" t="s">
        <v>669</v>
      </c>
      <c r="D295" s="15" t="s">
        <v>645</v>
      </c>
      <c r="E295" s="16">
        <v>94.8</v>
      </c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</row>
    <row r="296">
      <c r="A296" s="23" t="s">
        <v>670</v>
      </c>
      <c r="B296" s="24">
        <v>5.902280330882E12</v>
      </c>
      <c r="C296" s="9" t="s">
        <v>671</v>
      </c>
      <c r="D296" s="15" t="s">
        <v>645</v>
      </c>
      <c r="E296" s="16">
        <v>189.7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</row>
    <row r="297">
      <c r="A297" s="23" t="s">
        <v>672</v>
      </c>
      <c r="B297" s="24">
        <v>5.902280330899E12</v>
      </c>
      <c r="C297" s="9" t="s">
        <v>673</v>
      </c>
      <c r="D297" s="15" t="s">
        <v>645</v>
      </c>
      <c r="E297" s="16">
        <v>284.5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</row>
    <row r="298">
      <c r="A298" s="34" t="s">
        <v>674</v>
      </c>
      <c r="B298" s="24">
        <v>5.90228031846E12</v>
      </c>
      <c r="C298" s="9" t="s">
        <v>675</v>
      </c>
      <c r="D298" s="15" t="s">
        <v>676</v>
      </c>
      <c r="E298" s="16">
        <v>140.0</v>
      </c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</row>
    <row r="299">
      <c r="A299" s="34" t="s">
        <v>677</v>
      </c>
      <c r="B299" s="24">
        <v>5.902280318453E12</v>
      </c>
      <c r="C299" s="9" t="s">
        <v>678</v>
      </c>
      <c r="D299" s="15" t="s">
        <v>676</v>
      </c>
      <c r="E299" s="16">
        <v>279.9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</row>
    <row r="300">
      <c r="A300" s="34" t="s">
        <v>679</v>
      </c>
      <c r="B300" s="24">
        <v>5.902280318477E12</v>
      </c>
      <c r="C300" s="9" t="s">
        <v>680</v>
      </c>
      <c r="D300" s="15" t="s">
        <v>676</v>
      </c>
      <c r="E300" s="16">
        <v>419.9</v>
      </c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</row>
    <row r="301">
      <c r="A301" s="34" t="s">
        <v>681</v>
      </c>
      <c r="B301" s="24">
        <v>5.902280319856E12</v>
      </c>
      <c r="C301" s="9" t="s">
        <v>682</v>
      </c>
      <c r="D301" s="15" t="s">
        <v>676</v>
      </c>
      <c r="E301" s="16">
        <v>147.4</v>
      </c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</row>
    <row r="302">
      <c r="A302" s="34" t="s">
        <v>683</v>
      </c>
      <c r="B302" s="24">
        <v>5.902280319849E12</v>
      </c>
      <c r="C302" s="9" t="s">
        <v>684</v>
      </c>
      <c r="D302" s="15" t="s">
        <v>676</v>
      </c>
      <c r="E302" s="16">
        <v>294.8</v>
      </c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</row>
    <row r="303">
      <c r="A303" s="34" t="s">
        <v>685</v>
      </c>
      <c r="B303" s="24">
        <v>5.902280319863E12</v>
      </c>
      <c r="C303" s="9" t="s">
        <v>686</v>
      </c>
      <c r="D303" s="15" t="s">
        <v>676</v>
      </c>
      <c r="E303" s="16">
        <v>442.3</v>
      </c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</row>
    <row r="304">
      <c r="A304" s="25" t="s">
        <v>687</v>
      </c>
      <c r="B304" s="24">
        <v>5.902280311355E12</v>
      </c>
      <c r="C304" s="9" t="s">
        <v>688</v>
      </c>
      <c r="D304" s="15" t="s">
        <v>689</v>
      </c>
      <c r="E304" s="16">
        <v>141.9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</row>
    <row r="305">
      <c r="A305" s="25" t="s">
        <v>690</v>
      </c>
      <c r="B305" s="24">
        <v>5.902280310358E12</v>
      </c>
      <c r="C305" s="9" t="s">
        <v>691</v>
      </c>
      <c r="D305" s="15" t="s">
        <v>689</v>
      </c>
      <c r="E305" s="16">
        <v>283.8</v>
      </c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</row>
    <row r="306">
      <c r="A306" s="25" t="s">
        <v>692</v>
      </c>
      <c r="B306" s="24">
        <v>5.902280310365E12</v>
      </c>
      <c r="C306" s="9" t="s">
        <v>693</v>
      </c>
      <c r="D306" s="15" t="s">
        <v>689</v>
      </c>
      <c r="E306" s="16">
        <v>425.7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</row>
    <row r="307">
      <c r="A307" s="23" t="s">
        <v>694</v>
      </c>
      <c r="B307" s="24">
        <v>5.902280326069E12</v>
      </c>
      <c r="C307" s="9" t="s">
        <v>695</v>
      </c>
      <c r="D307" s="15" t="s">
        <v>689</v>
      </c>
      <c r="E307" s="16">
        <v>151.7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</row>
    <row r="308">
      <c r="A308" s="23" t="s">
        <v>696</v>
      </c>
      <c r="B308" s="24">
        <v>5.902280326045E12</v>
      </c>
      <c r="C308" s="9" t="s">
        <v>697</v>
      </c>
      <c r="D308" s="15" t="s">
        <v>689</v>
      </c>
      <c r="E308" s="16">
        <v>303.5</v>
      </c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</row>
    <row r="309">
      <c r="A309" s="23" t="s">
        <v>698</v>
      </c>
      <c r="B309" s="24">
        <v>5.902280326052E12</v>
      </c>
      <c r="C309" s="9" t="s">
        <v>699</v>
      </c>
      <c r="D309" s="15" t="s">
        <v>689</v>
      </c>
      <c r="E309" s="16">
        <v>455.2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</row>
    <row r="310">
      <c r="A310" s="54" t="s">
        <v>700</v>
      </c>
      <c r="B310" s="24">
        <v>5.906660788232E12</v>
      </c>
      <c r="C310" s="9" t="s">
        <v>701</v>
      </c>
      <c r="D310" s="15" t="s">
        <v>702</v>
      </c>
      <c r="E310" s="16">
        <v>59.8</v>
      </c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</row>
    <row r="311">
      <c r="A311" s="54" t="s">
        <v>703</v>
      </c>
      <c r="B311" s="24">
        <v>5.906660788249E12</v>
      </c>
      <c r="C311" s="9" t="s">
        <v>704</v>
      </c>
      <c r="D311" s="15" t="s">
        <v>702</v>
      </c>
      <c r="E311" s="16">
        <v>119.6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</row>
    <row r="312">
      <c r="A312" s="54" t="s">
        <v>705</v>
      </c>
      <c r="B312" s="24">
        <v>5.902280302285E12</v>
      </c>
      <c r="C312" s="9" t="s">
        <v>706</v>
      </c>
      <c r="D312" s="15" t="s">
        <v>702</v>
      </c>
      <c r="E312" s="16">
        <v>179.4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</row>
    <row r="313">
      <c r="A313" s="54" t="s">
        <v>707</v>
      </c>
      <c r="B313" s="24">
        <v>5.902280323389E12</v>
      </c>
      <c r="C313" s="9" t="s">
        <v>708</v>
      </c>
      <c r="D313" s="15" t="s">
        <v>709</v>
      </c>
      <c r="E313" s="16">
        <v>74.8</v>
      </c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</row>
    <row r="314">
      <c r="A314" s="54" t="s">
        <v>710</v>
      </c>
      <c r="B314" s="24">
        <v>5.902280323396E12</v>
      </c>
      <c r="C314" s="9" t="s">
        <v>711</v>
      </c>
      <c r="D314" s="15" t="s">
        <v>709</v>
      </c>
      <c r="E314" s="16">
        <v>149.7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</row>
    <row r="315">
      <c r="A315" s="54" t="s">
        <v>712</v>
      </c>
      <c r="B315" s="24">
        <v>5.902280323402E12</v>
      </c>
      <c r="C315" s="9" t="s">
        <v>713</v>
      </c>
      <c r="D315" s="15" t="s">
        <v>709</v>
      </c>
      <c r="E315" s="16">
        <v>224.5</v>
      </c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</row>
    <row r="316">
      <c r="A316" s="54" t="s">
        <v>714</v>
      </c>
      <c r="B316" s="24">
        <v>5.902280305835E12</v>
      </c>
      <c r="C316" s="9" t="s">
        <v>715</v>
      </c>
      <c r="D316" s="15" t="s">
        <v>716</v>
      </c>
      <c r="E316" s="16">
        <v>57.0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</row>
    <row r="317">
      <c r="A317" s="54" t="s">
        <v>717</v>
      </c>
      <c r="B317" s="24">
        <v>5.902280305767E12</v>
      </c>
      <c r="C317" s="9" t="s">
        <v>718</v>
      </c>
      <c r="D317" s="15" t="s">
        <v>716</v>
      </c>
      <c r="E317" s="16">
        <v>114.1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</row>
    <row r="318">
      <c r="A318" s="54" t="s">
        <v>719</v>
      </c>
      <c r="B318" s="24">
        <v>5.902280306597E12</v>
      </c>
      <c r="C318" s="9" t="s">
        <v>720</v>
      </c>
      <c r="D318" s="15" t="s">
        <v>716</v>
      </c>
      <c r="E318" s="16">
        <v>171.1</v>
      </c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</row>
    <row r="319">
      <c r="A319" s="27" t="s">
        <v>721</v>
      </c>
      <c r="B319" s="24">
        <v>5.90666078801E12</v>
      </c>
      <c r="C319" s="9" t="s">
        <v>722</v>
      </c>
      <c r="D319" s="15" t="s">
        <v>723</v>
      </c>
      <c r="E319" s="16">
        <v>27.9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</row>
    <row r="320">
      <c r="A320" s="27" t="s">
        <v>724</v>
      </c>
      <c r="B320" s="24">
        <v>5.906660788027E12</v>
      </c>
      <c r="C320" s="9" t="s">
        <v>725</v>
      </c>
      <c r="D320" s="15" t="s">
        <v>723</v>
      </c>
      <c r="E320" s="16">
        <v>55.8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</row>
    <row r="321">
      <c r="A321" s="25" t="s">
        <v>726</v>
      </c>
      <c r="B321" s="24">
        <v>5.902280320913E12</v>
      </c>
      <c r="C321" s="9" t="s">
        <v>727</v>
      </c>
      <c r="D321" s="15" t="s">
        <v>728</v>
      </c>
      <c r="E321" s="16">
        <v>126.0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</row>
    <row r="322">
      <c r="A322" s="25" t="s">
        <v>729</v>
      </c>
      <c r="B322" s="24">
        <v>5.90228032089E12</v>
      </c>
      <c r="C322" s="9" t="s">
        <v>730</v>
      </c>
      <c r="D322" s="15" t="s">
        <v>728</v>
      </c>
      <c r="E322" s="16">
        <v>252.0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</row>
    <row r="323">
      <c r="A323" s="25" t="s">
        <v>731</v>
      </c>
      <c r="B323" s="24">
        <v>5.902280320906E12</v>
      </c>
      <c r="C323" s="9" t="s">
        <v>732</v>
      </c>
      <c r="D323" s="15" t="s">
        <v>728</v>
      </c>
      <c r="E323" s="16">
        <v>378.0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</row>
    <row r="324">
      <c r="A324" s="54" t="s">
        <v>733</v>
      </c>
      <c r="B324" s="24">
        <v>5.906660788119E12</v>
      </c>
      <c r="C324" s="9" t="s">
        <v>734</v>
      </c>
      <c r="D324" s="15" t="s">
        <v>735</v>
      </c>
      <c r="E324" s="16">
        <v>53.6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</row>
    <row r="325">
      <c r="A325" s="54" t="s">
        <v>736</v>
      </c>
      <c r="B325" s="24">
        <v>5.906660788126E12</v>
      </c>
      <c r="C325" s="9" t="s">
        <v>737</v>
      </c>
      <c r="D325" s="15" t="s">
        <v>735</v>
      </c>
      <c r="E325" s="16">
        <v>107.2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</row>
    <row r="326">
      <c r="A326" s="54" t="s">
        <v>738</v>
      </c>
      <c r="B326" s="24">
        <v>5.902280304005E12</v>
      </c>
      <c r="C326" s="9" t="s">
        <v>739</v>
      </c>
      <c r="D326" s="15" t="s">
        <v>735</v>
      </c>
      <c r="E326" s="16">
        <v>160.8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</row>
    <row r="327">
      <c r="A327" s="54" t="s">
        <v>740</v>
      </c>
      <c r="B327" s="24">
        <v>5.906660788096E12</v>
      </c>
      <c r="C327" s="9" t="s">
        <v>741</v>
      </c>
      <c r="D327" s="15" t="s">
        <v>735</v>
      </c>
      <c r="E327" s="16">
        <v>58.8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</row>
    <row r="328">
      <c r="A328" s="54" t="s">
        <v>742</v>
      </c>
      <c r="B328" s="24">
        <v>5.906660788102E12</v>
      </c>
      <c r="C328" s="9" t="s">
        <v>743</v>
      </c>
      <c r="D328" s="15" t="s">
        <v>735</v>
      </c>
      <c r="E328" s="16">
        <v>117.7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</row>
    <row r="329">
      <c r="A329" s="54" t="s">
        <v>744</v>
      </c>
      <c r="B329" s="24">
        <v>5.902280304029E12</v>
      </c>
      <c r="C329" s="9" t="s">
        <v>745</v>
      </c>
      <c r="D329" s="15" t="s">
        <v>735</v>
      </c>
      <c r="E329" s="16">
        <v>176.5</v>
      </c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</row>
    <row r="330">
      <c r="A330" s="54" t="s">
        <v>746</v>
      </c>
      <c r="B330" s="24">
        <v>5.902280325697E12</v>
      </c>
      <c r="C330" s="9" t="s">
        <v>747</v>
      </c>
      <c r="D330" s="15" t="s">
        <v>748</v>
      </c>
      <c r="E330" s="16">
        <v>81.4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</row>
    <row r="331">
      <c r="A331" s="54" t="s">
        <v>749</v>
      </c>
      <c r="B331" s="24">
        <v>5.902280319917E12</v>
      </c>
      <c r="C331" s="9" t="s">
        <v>750</v>
      </c>
      <c r="D331" s="15" t="s">
        <v>748</v>
      </c>
      <c r="E331" s="16">
        <v>162.8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</row>
    <row r="332">
      <c r="A332" s="54" t="s">
        <v>751</v>
      </c>
      <c r="B332" s="24">
        <v>5.902280326274E12</v>
      </c>
      <c r="C332" s="9" t="s">
        <v>752</v>
      </c>
      <c r="D332" s="15" t="s">
        <v>748</v>
      </c>
      <c r="E332" s="16">
        <v>244.2</v>
      </c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</row>
    <row r="333">
      <c r="A333" s="23" t="s">
        <v>753</v>
      </c>
      <c r="B333" s="24">
        <v>5.90228030898E12</v>
      </c>
      <c r="C333" s="9" t="s">
        <v>754</v>
      </c>
      <c r="D333" s="15" t="s">
        <v>755</v>
      </c>
      <c r="E333" s="16">
        <v>149.5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</row>
    <row r="334">
      <c r="A334" s="23" t="s">
        <v>756</v>
      </c>
      <c r="B334" s="24">
        <v>5.902280307051E12</v>
      </c>
      <c r="C334" s="9" t="s">
        <v>757</v>
      </c>
      <c r="D334" s="15" t="s">
        <v>755</v>
      </c>
      <c r="E334" s="16">
        <v>299.0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</row>
    <row r="335">
      <c r="A335" s="23" t="s">
        <v>758</v>
      </c>
      <c r="B335" s="24">
        <v>5.902280308973E12</v>
      </c>
      <c r="C335" s="9" t="s">
        <v>759</v>
      </c>
      <c r="D335" s="15" t="s">
        <v>755</v>
      </c>
      <c r="E335" s="16">
        <v>448.5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</row>
    <row r="336">
      <c r="A336" s="27" t="s">
        <v>760</v>
      </c>
      <c r="B336" s="24">
        <v>5.906660787006E12</v>
      </c>
      <c r="C336" s="9" t="s">
        <v>761</v>
      </c>
      <c r="D336" s="15" t="s">
        <v>762</v>
      </c>
      <c r="E336" s="16">
        <v>54.3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</row>
    <row r="337">
      <c r="A337" s="27" t="s">
        <v>763</v>
      </c>
      <c r="B337" s="24">
        <v>5.906660786993E12</v>
      </c>
      <c r="C337" s="9" t="s">
        <v>764</v>
      </c>
      <c r="D337" s="15" t="s">
        <v>762</v>
      </c>
      <c r="E337" s="16">
        <v>108.6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</row>
    <row r="338">
      <c r="A338" s="27" t="s">
        <v>765</v>
      </c>
      <c r="B338" s="24">
        <v>5.906660786986E12</v>
      </c>
      <c r="C338" s="9" t="s">
        <v>766</v>
      </c>
      <c r="D338" s="15" t="s">
        <v>762</v>
      </c>
      <c r="E338" s="16">
        <v>162.8</v>
      </c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</row>
    <row r="339">
      <c r="A339" s="27" t="s">
        <v>767</v>
      </c>
      <c r="B339" s="24">
        <v>5.90228034845E12</v>
      </c>
      <c r="C339" s="9" t="s">
        <v>768</v>
      </c>
      <c r="D339" s="15" t="s">
        <v>762</v>
      </c>
      <c r="E339" s="16">
        <v>54.3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</row>
    <row r="340">
      <c r="A340" s="27" t="s">
        <v>769</v>
      </c>
      <c r="B340" s="24">
        <v>5.902280348443E12</v>
      </c>
      <c r="C340" s="9" t="s">
        <v>770</v>
      </c>
      <c r="D340" s="15" t="s">
        <v>762</v>
      </c>
      <c r="E340" s="16">
        <v>108.6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</row>
    <row r="341">
      <c r="A341" s="27" t="s">
        <v>771</v>
      </c>
      <c r="B341" s="24">
        <v>5.902280320791E12</v>
      </c>
      <c r="C341" s="9" t="s">
        <v>772</v>
      </c>
      <c r="D341" s="15" t="s">
        <v>773</v>
      </c>
      <c r="E341" s="16">
        <v>90.8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</row>
    <row r="342">
      <c r="A342" s="27" t="s">
        <v>774</v>
      </c>
      <c r="B342" s="24">
        <v>5.902280318859E12</v>
      </c>
      <c r="C342" s="9" t="s">
        <v>775</v>
      </c>
      <c r="D342" s="15" t="s">
        <v>773</v>
      </c>
      <c r="E342" s="16">
        <v>181.6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</row>
    <row r="343">
      <c r="A343" s="27" t="s">
        <v>776</v>
      </c>
      <c r="B343" s="24">
        <v>5.902280319733E12</v>
      </c>
      <c r="C343" s="9" t="s">
        <v>777</v>
      </c>
      <c r="D343" s="15" t="s">
        <v>773</v>
      </c>
      <c r="E343" s="16">
        <v>272.3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</row>
    <row r="344">
      <c r="A344" s="27" t="s">
        <v>778</v>
      </c>
      <c r="B344" s="24">
        <v>5.906660786979E12</v>
      </c>
      <c r="C344" s="9" t="s">
        <v>779</v>
      </c>
      <c r="D344" s="15" t="s">
        <v>780</v>
      </c>
      <c r="E344" s="16">
        <v>45.0</v>
      </c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</row>
    <row r="345">
      <c r="A345" s="27" t="s">
        <v>781</v>
      </c>
      <c r="B345" s="24">
        <v>5.906660786962E12</v>
      </c>
      <c r="C345" s="9" t="s">
        <v>782</v>
      </c>
      <c r="D345" s="15" t="s">
        <v>780</v>
      </c>
      <c r="E345" s="16">
        <v>90.0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</row>
    <row r="346">
      <c r="A346" s="27" t="s">
        <v>783</v>
      </c>
      <c r="B346" s="24">
        <v>5.906660786955E12</v>
      </c>
      <c r="C346" s="9" t="s">
        <v>784</v>
      </c>
      <c r="D346" s="15" t="s">
        <v>780</v>
      </c>
      <c r="E346" s="16">
        <v>135.1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</row>
    <row r="347">
      <c r="A347" s="27" t="s">
        <v>785</v>
      </c>
      <c r="B347" s="24">
        <v>5.902280338178E12</v>
      </c>
      <c r="C347" s="9" t="s">
        <v>786</v>
      </c>
      <c r="D347" s="15" t="s">
        <v>780</v>
      </c>
      <c r="E347" s="16">
        <v>52.5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</row>
    <row r="348">
      <c r="A348" s="27" t="s">
        <v>787</v>
      </c>
      <c r="B348" s="24">
        <v>5.902280336907E12</v>
      </c>
      <c r="C348" s="9" t="s">
        <v>788</v>
      </c>
      <c r="D348" s="15" t="s">
        <v>780</v>
      </c>
      <c r="E348" s="16">
        <v>105.1</v>
      </c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</row>
    <row r="349">
      <c r="A349" s="27" t="s">
        <v>789</v>
      </c>
      <c r="B349" s="24">
        <v>5.902280338161E12</v>
      </c>
      <c r="C349" s="9" t="s">
        <v>790</v>
      </c>
      <c r="D349" s="15" t="s">
        <v>780</v>
      </c>
      <c r="E349" s="16">
        <v>157.6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</row>
    <row r="350">
      <c r="A350" s="27" t="s">
        <v>791</v>
      </c>
      <c r="B350" s="50">
        <v>5.902280348788E12</v>
      </c>
      <c r="C350" s="9" t="s">
        <v>792</v>
      </c>
      <c r="D350" s="15" t="s">
        <v>780</v>
      </c>
      <c r="E350" s="16">
        <v>44.4</v>
      </c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</row>
    <row r="351">
      <c r="A351" s="27" t="s">
        <v>793</v>
      </c>
      <c r="B351" s="50">
        <v>5.902280348771E12</v>
      </c>
      <c r="C351" s="9" t="s">
        <v>794</v>
      </c>
      <c r="D351" s="15" t="s">
        <v>780</v>
      </c>
      <c r="E351" s="16">
        <v>88.9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</row>
    <row r="352">
      <c r="A352" s="27" t="s">
        <v>795</v>
      </c>
      <c r="B352" s="50">
        <v>5.902280348764E12</v>
      </c>
      <c r="C352" s="9" t="s">
        <v>796</v>
      </c>
      <c r="D352" s="15" t="s">
        <v>780</v>
      </c>
      <c r="E352" s="16">
        <v>50.5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</row>
    <row r="353">
      <c r="A353" s="27" t="s">
        <v>797</v>
      </c>
      <c r="B353" s="50">
        <v>5.902280348757E12</v>
      </c>
      <c r="C353" s="9" t="s">
        <v>798</v>
      </c>
      <c r="D353" s="15" t="s">
        <v>780</v>
      </c>
      <c r="E353" s="16">
        <v>103.1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</row>
    <row r="354">
      <c r="A354" s="27" t="s">
        <v>799</v>
      </c>
      <c r="B354" s="24">
        <v>5.906660786948E12</v>
      </c>
      <c r="C354" s="9" t="s">
        <v>800</v>
      </c>
      <c r="D354" s="15" t="s">
        <v>801</v>
      </c>
      <c r="E354" s="16">
        <v>45.0</v>
      </c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</row>
    <row r="355">
      <c r="A355" s="27" t="s">
        <v>802</v>
      </c>
      <c r="B355" s="24">
        <v>5.906660786931E12</v>
      </c>
      <c r="C355" s="9" t="s">
        <v>803</v>
      </c>
      <c r="D355" s="15" t="s">
        <v>801</v>
      </c>
      <c r="E355" s="16">
        <v>90.1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</row>
    <row r="356">
      <c r="A356" s="27" t="s">
        <v>804</v>
      </c>
      <c r="B356" s="24">
        <v>5.906660786924E12</v>
      </c>
      <c r="C356" s="9" t="s">
        <v>805</v>
      </c>
      <c r="D356" s="15" t="s">
        <v>801</v>
      </c>
      <c r="E356" s="16">
        <v>135.1</v>
      </c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</row>
    <row r="357">
      <c r="A357" s="27" t="s">
        <v>806</v>
      </c>
      <c r="B357" s="24">
        <v>5.902280326212E12</v>
      </c>
      <c r="C357" s="9" t="s">
        <v>807</v>
      </c>
      <c r="D357" s="15" t="s">
        <v>801</v>
      </c>
      <c r="E357" s="16">
        <v>64.8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</row>
    <row r="358">
      <c r="A358" s="27" t="s">
        <v>808</v>
      </c>
      <c r="B358" s="24">
        <v>5.902280318699E12</v>
      </c>
      <c r="C358" s="9" t="s">
        <v>809</v>
      </c>
      <c r="D358" s="15" t="s">
        <v>801</v>
      </c>
      <c r="E358" s="16">
        <v>123.6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</row>
    <row r="359">
      <c r="A359" s="27" t="s">
        <v>810</v>
      </c>
      <c r="B359" s="24">
        <v>5.90228031156E12</v>
      </c>
      <c r="C359" s="9" t="s">
        <v>811</v>
      </c>
      <c r="D359" s="15" t="s">
        <v>801</v>
      </c>
      <c r="E359" s="16">
        <v>194.3</v>
      </c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</row>
    <row r="360">
      <c r="A360" s="27" t="s">
        <v>812</v>
      </c>
      <c r="B360" s="24">
        <v>5.902280348641E12</v>
      </c>
      <c r="C360" s="9" t="s">
        <v>813</v>
      </c>
      <c r="D360" s="15" t="s">
        <v>801</v>
      </c>
      <c r="E360" s="16">
        <v>47.9</v>
      </c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</row>
    <row r="361">
      <c r="A361" s="27" t="s">
        <v>814</v>
      </c>
      <c r="B361" s="24">
        <v>5.902280348634E12</v>
      </c>
      <c r="C361" s="9" t="s">
        <v>815</v>
      </c>
      <c r="D361" s="15" t="s">
        <v>801</v>
      </c>
      <c r="E361" s="16">
        <v>95.8</v>
      </c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</row>
    <row r="362">
      <c r="A362" s="27" t="s">
        <v>816</v>
      </c>
      <c r="B362" s="24">
        <v>5.902280348672E12</v>
      </c>
      <c r="C362" s="9" t="s">
        <v>817</v>
      </c>
      <c r="D362" s="15" t="s">
        <v>801</v>
      </c>
      <c r="E362" s="16">
        <v>62.8</v>
      </c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</row>
    <row r="363">
      <c r="A363" s="27" t="s">
        <v>818</v>
      </c>
      <c r="B363" s="24">
        <v>5.902280348665E12</v>
      </c>
      <c r="C363" s="9" t="s">
        <v>819</v>
      </c>
      <c r="D363" s="15" t="s">
        <v>801</v>
      </c>
      <c r="E363" s="16">
        <v>121.6</v>
      </c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</row>
    <row r="364">
      <c r="A364" s="38" t="s">
        <v>820</v>
      </c>
      <c r="B364" s="26">
        <v>5.902280339946E12</v>
      </c>
      <c r="C364" s="9" t="s">
        <v>821</v>
      </c>
      <c r="D364" s="15" t="s">
        <v>822</v>
      </c>
      <c r="E364" s="16">
        <v>95.2</v>
      </c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</row>
    <row r="365">
      <c r="A365" s="38" t="s">
        <v>823</v>
      </c>
      <c r="B365" s="26">
        <v>5.902280336112E12</v>
      </c>
      <c r="C365" s="9" t="s">
        <v>824</v>
      </c>
      <c r="D365" s="15" t="s">
        <v>822</v>
      </c>
      <c r="E365" s="16">
        <v>190.4</v>
      </c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</row>
    <row r="366">
      <c r="A366" s="38" t="s">
        <v>825</v>
      </c>
      <c r="B366" s="26">
        <v>5.902280339519E12</v>
      </c>
      <c r="C366" s="9" t="s">
        <v>826</v>
      </c>
      <c r="D366" s="15" t="s">
        <v>822</v>
      </c>
      <c r="E366" s="16">
        <v>285.6</v>
      </c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</row>
    <row r="367">
      <c r="A367" s="38" t="s">
        <v>827</v>
      </c>
      <c r="B367" s="26">
        <v>5.90228034551E12</v>
      </c>
      <c r="C367" s="9" t="s">
        <v>828</v>
      </c>
      <c r="D367" s="15" t="s">
        <v>829</v>
      </c>
      <c r="E367" s="16">
        <v>105.0</v>
      </c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</row>
    <row r="368">
      <c r="A368" s="38" t="s">
        <v>830</v>
      </c>
      <c r="B368" s="26">
        <v>5.902280345497E12</v>
      </c>
      <c r="C368" s="9" t="s">
        <v>831</v>
      </c>
      <c r="D368" s="15" t="s">
        <v>829</v>
      </c>
      <c r="E368" s="16">
        <v>210.0</v>
      </c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</row>
    <row r="369">
      <c r="A369" s="38" t="s">
        <v>832</v>
      </c>
      <c r="B369" s="26">
        <v>5.902280345503E12</v>
      </c>
      <c r="C369" s="9" t="s">
        <v>833</v>
      </c>
      <c r="D369" s="15" t="s">
        <v>829</v>
      </c>
      <c r="E369" s="16">
        <v>315.0</v>
      </c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</row>
    <row r="370">
      <c r="A370" s="34" t="s">
        <v>834</v>
      </c>
      <c r="B370" s="24">
        <v>5.90666078856E12</v>
      </c>
      <c r="C370" s="9" t="s">
        <v>835</v>
      </c>
      <c r="D370" s="15" t="s">
        <v>67</v>
      </c>
      <c r="E370" s="16">
        <v>41.4</v>
      </c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</row>
    <row r="371">
      <c r="A371" s="34" t="s">
        <v>836</v>
      </c>
      <c r="B371" s="24">
        <v>5.906660788584E12</v>
      </c>
      <c r="C371" s="9" t="s">
        <v>837</v>
      </c>
      <c r="D371" s="15" t="s">
        <v>67</v>
      </c>
      <c r="E371" s="16">
        <v>82.8</v>
      </c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</row>
    <row r="372">
      <c r="A372" s="34" t="s">
        <v>838</v>
      </c>
      <c r="B372" s="24">
        <v>5.902280303862E12</v>
      </c>
      <c r="C372" s="9" t="s">
        <v>839</v>
      </c>
      <c r="D372" s="15" t="s">
        <v>67</v>
      </c>
      <c r="E372" s="16">
        <v>124.2</v>
      </c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</row>
    <row r="373">
      <c r="A373" s="34" t="s">
        <v>840</v>
      </c>
      <c r="B373" s="24">
        <v>5.902280321552E12</v>
      </c>
      <c r="C373" s="9" t="s">
        <v>841</v>
      </c>
      <c r="D373" s="15" t="s">
        <v>67</v>
      </c>
      <c r="E373" s="16">
        <v>63.4</v>
      </c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</row>
    <row r="374">
      <c r="A374" s="34" t="s">
        <v>842</v>
      </c>
      <c r="B374" s="24">
        <v>5.902280317951E12</v>
      </c>
      <c r="C374" s="9" t="s">
        <v>843</v>
      </c>
      <c r="D374" s="15" t="s">
        <v>67</v>
      </c>
      <c r="E374" s="16">
        <v>126.7</v>
      </c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</row>
    <row r="375">
      <c r="A375" s="34" t="s">
        <v>844</v>
      </c>
      <c r="B375" s="24">
        <v>5.902280319955E12</v>
      </c>
      <c r="C375" s="9" t="s">
        <v>845</v>
      </c>
      <c r="D375" s="15" t="s">
        <v>67</v>
      </c>
      <c r="E375" s="16">
        <v>190.1</v>
      </c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</row>
    <row r="376">
      <c r="A376" s="34" t="s">
        <v>846</v>
      </c>
      <c r="B376" s="24">
        <v>5.90228031789E12</v>
      </c>
      <c r="C376" s="9" t="s">
        <v>847</v>
      </c>
      <c r="D376" s="15" t="s">
        <v>848</v>
      </c>
      <c r="E376" s="16">
        <v>44.6</v>
      </c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</row>
    <row r="377">
      <c r="A377" s="34" t="s">
        <v>849</v>
      </c>
      <c r="B377" s="24">
        <v>5.902280315049E12</v>
      </c>
      <c r="C377" s="9" t="s">
        <v>850</v>
      </c>
      <c r="D377" s="15" t="s">
        <v>848</v>
      </c>
      <c r="E377" s="16">
        <v>89.2</v>
      </c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</row>
    <row r="378">
      <c r="A378" s="34" t="s">
        <v>851</v>
      </c>
      <c r="B378" s="24">
        <v>5.902280317975E12</v>
      </c>
      <c r="C378" s="9" t="s">
        <v>852</v>
      </c>
      <c r="D378" s="15" t="s">
        <v>848</v>
      </c>
      <c r="E378" s="16">
        <v>133.8</v>
      </c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</row>
    <row r="379">
      <c r="A379" s="52" t="s">
        <v>853</v>
      </c>
      <c r="B379" s="26">
        <v>5.902280332473E12</v>
      </c>
      <c r="C379" s="9" t="s">
        <v>854</v>
      </c>
      <c r="D379" s="15" t="s">
        <v>855</v>
      </c>
      <c r="E379" s="16">
        <v>43.3</v>
      </c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</row>
    <row r="380">
      <c r="A380" s="52" t="s">
        <v>856</v>
      </c>
      <c r="B380" s="26">
        <v>5.902280323853E12</v>
      </c>
      <c r="C380" s="9" t="s">
        <v>857</v>
      </c>
      <c r="D380" s="15" t="s">
        <v>855</v>
      </c>
      <c r="E380" s="16">
        <v>86.5</v>
      </c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</row>
    <row r="381">
      <c r="A381" s="52" t="s">
        <v>858</v>
      </c>
      <c r="B381" s="26">
        <v>5.902280328117E12</v>
      </c>
      <c r="C381" s="9" t="s">
        <v>859</v>
      </c>
      <c r="D381" s="15" t="s">
        <v>855</v>
      </c>
      <c r="E381" s="16">
        <v>129.8</v>
      </c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</row>
    <row r="382">
      <c r="A382" s="34" t="s">
        <v>860</v>
      </c>
      <c r="B382" s="24">
        <v>5.902280319429E12</v>
      </c>
      <c r="C382" s="9" t="s">
        <v>861</v>
      </c>
      <c r="D382" s="15" t="s">
        <v>862</v>
      </c>
      <c r="E382" s="16">
        <v>42.8</v>
      </c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</row>
    <row r="383">
      <c r="A383" s="34" t="s">
        <v>863</v>
      </c>
      <c r="B383" s="24">
        <v>5.902280317999E12</v>
      </c>
      <c r="C383" s="9" t="s">
        <v>864</v>
      </c>
      <c r="D383" s="15" t="s">
        <v>862</v>
      </c>
      <c r="E383" s="16">
        <v>85.6</v>
      </c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</row>
    <row r="384">
      <c r="A384" s="34" t="s">
        <v>865</v>
      </c>
      <c r="B384" s="24">
        <v>5.902280318002E12</v>
      </c>
      <c r="C384" s="9" t="s">
        <v>866</v>
      </c>
      <c r="D384" s="15" t="s">
        <v>862</v>
      </c>
      <c r="E384" s="16">
        <v>128.3</v>
      </c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</row>
    <row r="385">
      <c r="A385" s="34" t="s">
        <v>867</v>
      </c>
      <c r="B385" s="24">
        <v>5.90228030801E12</v>
      </c>
      <c r="C385" s="9" t="s">
        <v>868</v>
      </c>
      <c r="D385" s="15" t="s">
        <v>869</v>
      </c>
      <c r="E385" s="16">
        <v>32.3</v>
      </c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</row>
    <row r="386">
      <c r="A386" s="34" t="s">
        <v>870</v>
      </c>
      <c r="B386" s="24">
        <v>5.902280306696E12</v>
      </c>
      <c r="C386" s="9" t="s">
        <v>871</v>
      </c>
      <c r="D386" s="15" t="s">
        <v>869</v>
      </c>
      <c r="E386" s="16">
        <v>64.5</v>
      </c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</row>
    <row r="387">
      <c r="A387" s="34" t="s">
        <v>872</v>
      </c>
      <c r="B387" s="24">
        <v>5.902280308027E12</v>
      </c>
      <c r="C387" s="9" t="s">
        <v>873</v>
      </c>
      <c r="D387" s="15" t="s">
        <v>869</v>
      </c>
      <c r="E387" s="16">
        <v>96.8</v>
      </c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</row>
    <row r="388">
      <c r="A388" s="52" t="s">
        <v>874</v>
      </c>
      <c r="B388" s="26">
        <v>5.902280322245E12</v>
      </c>
      <c r="C388" s="9" t="s">
        <v>875</v>
      </c>
      <c r="D388" s="15" t="s">
        <v>876</v>
      </c>
      <c r="E388" s="16">
        <v>45.4</v>
      </c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</row>
    <row r="389">
      <c r="A389" s="52" t="s">
        <v>877</v>
      </c>
      <c r="B389" s="26">
        <v>5.902280322177E12</v>
      </c>
      <c r="C389" s="9" t="s">
        <v>878</v>
      </c>
      <c r="D389" s="15" t="s">
        <v>876</v>
      </c>
      <c r="E389" s="16">
        <v>90.7</v>
      </c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</row>
    <row r="390">
      <c r="A390" s="52" t="s">
        <v>879</v>
      </c>
      <c r="B390" s="26">
        <v>5.902280322238E12</v>
      </c>
      <c r="C390" s="9" t="s">
        <v>880</v>
      </c>
      <c r="D390" s="15" t="s">
        <v>876</v>
      </c>
      <c r="E390" s="16">
        <v>136.1</v>
      </c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</row>
    <row r="391">
      <c r="A391" s="52" t="s">
        <v>881</v>
      </c>
      <c r="B391" s="26">
        <v>5.906660787044E12</v>
      </c>
      <c r="C391" s="9" t="s">
        <v>882</v>
      </c>
      <c r="D391" s="15" t="s">
        <v>883</v>
      </c>
      <c r="E391" s="16">
        <v>26.5</v>
      </c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</row>
    <row r="392">
      <c r="A392" s="52" t="s">
        <v>884</v>
      </c>
      <c r="B392" s="26">
        <v>5.906660787051E12</v>
      </c>
      <c r="C392" s="9" t="s">
        <v>885</v>
      </c>
      <c r="D392" s="15" t="s">
        <v>883</v>
      </c>
      <c r="E392" s="16">
        <v>53.1</v>
      </c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</row>
    <row r="393">
      <c r="A393" s="52" t="s">
        <v>886</v>
      </c>
      <c r="B393" s="26">
        <v>5.906660787068E12</v>
      </c>
      <c r="C393" s="9" t="s">
        <v>887</v>
      </c>
      <c r="D393" s="15" t="s">
        <v>883</v>
      </c>
      <c r="E393" s="16">
        <v>79.6</v>
      </c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</row>
    <row r="394">
      <c r="A394" s="38" t="s">
        <v>888</v>
      </c>
      <c r="B394" s="26">
        <v>5.902280301707E12</v>
      </c>
      <c r="C394" s="9" t="s">
        <v>889</v>
      </c>
      <c r="D394" s="15" t="s">
        <v>883</v>
      </c>
      <c r="E394" s="16">
        <v>26.2</v>
      </c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</row>
    <row r="395">
      <c r="A395" s="38" t="s">
        <v>890</v>
      </c>
      <c r="B395" s="26">
        <v>5.906660788911E12</v>
      </c>
      <c r="C395" s="9" t="s">
        <v>891</v>
      </c>
      <c r="D395" s="15" t="s">
        <v>883</v>
      </c>
      <c r="E395" s="16">
        <v>52.4</v>
      </c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</row>
    <row r="396">
      <c r="A396" s="38" t="s">
        <v>892</v>
      </c>
      <c r="B396" s="26">
        <v>5.902280301714E12</v>
      </c>
      <c r="C396" s="9" t="s">
        <v>893</v>
      </c>
      <c r="D396" s="15" t="s">
        <v>883</v>
      </c>
      <c r="E396" s="16">
        <v>78.6</v>
      </c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</row>
    <row r="397">
      <c r="A397" s="52" t="s">
        <v>894</v>
      </c>
      <c r="B397" s="26">
        <v>5.902280319764E12</v>
      </c>
      <c r="C397" s="9" t="s">
        <v>895</v>
      </c>
      <c r="D397" s="15" t="s">
        <v>896</v>
      </c>
      <c r="E397" s="16">
        <v>35.4</v>
      </c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</row>
    <row r="398">
      <c r="A398" s="52" t="s">
        <v>897</v>
      </c>
      <c r="B398" s="26">
        <v>5.902280318873E12</v>
      </c>
      <c r="C398" s="9" t="s">
        <v>898</v>
      </c>
      <c r="D398" s="15" t="s">
        <v>896</v>
      </c>
      <c r="E398" s="16">
        <v>70.7</v>
      </c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</row>
    <row r="399">
      <c r="A399" s="52" t="s">
        <v>899</v>
      </c>
      <c r="B399" s="26">
        <v>5.902280319726E12</v>
      </c>
      <c r="C399" s="9" t="s">
        <v>900</v>
      </c>
      <c r="D399" s="15" t="s">
        <v>896</v>
      </c>
      <c r="E399" s="16">
        <v>106.1</v>
      </c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</row>
    <row r="400">
      <c r="A400" s="52" t="s">
        <v>901</v>
      </c>
      <c r="B400" s="26">
        <v>5.902280338093E12</v>
      </c>
      <c r="C400" s="9" t="s">
        <v>902</v>
      </c>
      <c r="D400" s="15" t="s">
        <v>896</v>
      </c>
      <c r="E400" s="16">
        <v>42.4</v>
      </c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</row>
    <row r="401">
      <c r="A401" s="52" t="s">
        <v>903</v>
      </c>
      <c r="B401" s="26">
        <v>5.902280334453E12</v>
      </c>
      <c r="C401" s="9" t="s">
        <v>904</v>
      </c>
      <c r="D401" s="15" t="s">
        <v>896</v>
      </c>
      <c r="E401" s="16">
        <v>84.7</v>
      </c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</row>
    <row r="402">
      <c r="A402" s="52" t="s">
        <v>905</v>
      </c>
      <c r="B402" s="26">
        <v>5.902280338086E12</v>
      </c>
      <c r="C402" s="9" t="s">
        <v>906</v>
      </c>
      <c r="D402" s="15" t="s">
        <v>896</v>
      </c>
      <c r="E402" s="16">
        <v>127.1</v>
      </c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</row>
    <row r="403">
      <c r="A403" s="52" t="s">
        <v>907</v>
      </c>
      <c r="B403" s="26">
        <v>5.902280348276E12</v>
      </c>
      <c r="C403" s="9" t="s">
        <v>908</v>
      </c>
      <c r="D403" s="15" t="s">
        <v>896</v>
      </c>
      <c r="E403" s="16">
        <v>35.7</v>
      </c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</row>
    <row r="404">
      <c r="A404" s="52" t="s">
        <v>909</v>
      </c>
      <c r="B404" s="26">
        <v>5.902280348269E12</v>
      </c>
      <c r="C404" s="9" t="s">
        <v>910</v>
      </c>
      <c r="D404" s="15" t="s">
        <v>896</v>
      </c>
      <c r="E404" s="16">
        <v>71.5</v>
      </c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</row>
    <row r="405">
      <c r="A405" s="34" t="s">
        <v>911</v>
      </c>
      <c r="B405" s="24">
        <v>5.902280339724E12</v>
      </c>
      <c r="C405" s="9" t="s">
        <v>912</v>
      </c>
      <c r="D405" s="15" t="s">
        <v>896</v>
      </c>
      <c r="E405" s="16">
        <v>34.6</v>
      </c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</row>
    <row r="406">
      <c r="A406" s="34" t="s">
        <v>913</v>
      </c>
      <c r="B406" s="24">
        <v>5.902280334415E12</v>
      </c>
      <c r="C406" s="9" t="s">
        <v>914</v>
      </c>
      <c r="D406" s="15" t="s">
        <v>896</v>
      </c>
      <c r="E406" s="16">
        <v>69.2</v>
      </c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</row>
    <row r="407">
      <c r="A407" s="34" t="s">
        <v>915</v>
      </c>
      <c r="B407" s="24">
        <v>5.902280339762E12</v>
      </c>
      <c r="C407" s="9" t="s">
        <v>916</v>
      </c>
      <c r="D407" s="15" t="s">
        <v>896</v>
      </c>
      <c r="E407" s="16">
        <v>103.9</v>
      </c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</row>
    <row r="408">
      <c r="A408" s="34" t="s">
        <v>917</v>
      </c>
      <c r="B408" s="24">
        <v>5.902280338345E12</v>
      </c>
      <c r="C408" s="9" t="s">
        <v>918</v>
      </c>
      <c r="D408" s="15" t="s">
        <v>896</v>
      </c>
      <c r="E408" s="16">
        <v>39.9</v>
      </c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</row>
    <row r="409">
      <c r="A409" s="34" t="s">
        <v>919</v>
      </c>
      <c r="B409" s="24">
        <v>5.902280337263E12</v>
      </c>
      <c r="C409" s="9" t="s">
        <v>920</v>
      </c>
      <c r="D409" s="15" t="s">
        <v>896</v>
      </c>
      <c r="E409" s="16">
        <v>79.8</v>
      </c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</row>
    <row r="410">
      <c r="A410" s="34" t="s">
        <v>921</v>
      </c>
      <c r="B410" s="24">
        <v>5.902280338321E12</v>
      </c>
      <c r="C410" s="9" t="s">
        <v>922</v>
      </c>
      <c r="D410" s="15" t="s">
        <v>896</v>
      </c>
      <c r="E410" s="16">
        <v>119.7</v>
      </c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</row>
    <row r="411">
      <c r="A411" s="34" t="s">
        <v>923</v>
      </c>
      <c r="B411" s="24">
        <v>5.902280338628E12</v>
      </c>
      <c r="C411" s="9" t="s">
        <v>924</v>
      </c>
      <c r="D411" s="15" t="s">
        <v>925</v>
      </c>
      <c r="E411" s="16">
        <v>51.1</v>
      </c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</row>
    <row r="412">
      <c r="A412" s="34" t="s">
        <v>926</v>
      </c>
      <c r="B412" s="24">
        <v>5.902280334231E12</v>
      </c>
      <c r="C412" s="9" t="s">
        <v>927</v>
      </c>
      <c r="D412" s="15" t="s">
        <v>925</v>
      </c>
      <c r="E412" s="16">
        <v>102.2</v>
      </c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</row>
    <row r="413">
      <c r="A413" s="34" t="s">
        <v>928</v>
      </c>
      <c r="B413" s="24">
        <v>5.902280335153E12</v>
      </c>
      <c r="C413" s="9" t="s">
        <v>929</v>
      </c>
      <c r="D413" s="15" t="s">
        <v>925</v>
      </c>
      <c r="E413" s="16">
        <v>153.3</v>
      </c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</row>
    <row r="414">
      <c r="A414" s="34" t="s">
        <v>930</v>
      </c>
      <c r="B414" s="24">
        <v>5.902280338307E12</v>
      </c>
      <c r="C414" s="9" t="s">
        <v>931</v>
      </c>
      <c r="D414" s="15" t="s">
        <v>925</v>
      </c>
      <c r="E414" s="16">
        <v>60.0</v>
      </c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</row>
    <row r="415">
      <c r="A415" s="34" t="s">
        <v>932</v>
      </c>
      <c r="B415" s="24">
        <v>5.902280338277E12</v>
      </c>
      <c r="C415" s="9" t="s">
        <v>933</v>
      </c>
      <c r="D415" s="15" t="s">
        <v>925</v>
      </c>
      <c r="E415" s="16">
        <v>120.0</v>
      </c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</row>
    <row r="416">
      <c r="A416" s="34" t="s">
        <v>934</v>
      </c>
      <c r="B416" s="24">
        <v>5.902280338291E12</v>
      </c>
      <c r="C416" s="9" t="s">
        <v>935</v>
      </c>
      <c r="D416" s="15" t="s">
        <v>925</v>
      </c>
      <c r="E416" s="16">
        <v>180.0</v>
      </c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</row>
    <row r="417">
      <c r="A417" s="27" t="s">
        <v>936</v>
      </c>
      <c r="B417" s="24">
        <v>5.902280338369E12</v>
      </c>
      <c r="C417" s="9" t="s">
        <v>937</v>
      </c>
      <c r="D417" s="15" t="s">
        <v>938</v>
      </c>
      <c r="E417" s="16">
        <v>35.0</v>
      </c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</row>
    <row r="418">
      <c r="A418" s="27" t="s">
        <v>939</v>
      </c>
      <c r="B418" s="24">
        <v>5.902280336273E12</v>
      </c>
      <c r="C418" s="9" t="s">
        <v>940</v>
      </c>
      <c r="D418" s="15" t="s">
        <v>938</v>
      </c>
      <c r="E418" s="16">
        <v>69.9</v>
      </c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</row>
    <row r="419">
      <c r="A419" s="27" t="s">
        <v>941</v>
      </c>
      <c r="B419" s="24">
        <v>5.902280338246E12</v>
      </c>
      <c r="C419" s="9" t="s">
        <v>942</v>
      </c>
      <c r="D419" s="15" t="s">
        <v>938</v>
      </c>
      <c r="E419" s="16">
        <v>104.9</v>
      </c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</row>
    <row r="420">
      <c r="A420" s="27" t="s">
        <v>943</v>
      </c>
      <c r="B420" s="24">
        <v>5.902280338314E12</v>
      </c>
      <c r="C420" s="9" t="s">
        <v>944</v>
      </c>
      <c r="D420" s="15" t="s">
        <v>938</v>
      </c>
      <c r="E420" s="16">
        <v>39.0</v>
      </c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</row>
    <row r="421">
      <c r="A421" s="27" t="s">
        <v>945</v>
      </c>
      <c r="B421" s="24">
        <v>5.902280338222E12</v>
      </c>
      <c r="C421" s="9" t="s">
        <v>946</v>
      </c>
      <c r="D421" s="15" t="s">
        <v>938</v>
      </c>
      <c r="E421" s="16">
        <v>78.0</v>
      </c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</row>
    <row r="422">
      <c r="A422" s="27" t="s">
        <v>947</v>
      </c>
      <c r="B422" s="24">
        <v>5.902280338253E12</v>
      </c>
      <c r="C422" s="9" t="s">
        <v>948</v>
      </c>
      <c r="D422" s="15" t="s">
        <v>938</v>
      </c>
      <c r="E422" s="16">
        <v>117.0</v>
      </c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</row>
    <row r="423">
      <c r="A423" s="27" t="s">
        <v>949</v>
      </c>
      <c r="B423" s="24">
        <v>5.902280350408E12</v>
      </c>
      <c r="C423" s="9" t="s">
        <v>950</v>
      </c>
      <c r="D423" s="15" t="s">
        <v>951</v>
      </c>
      <c r="E423" s="16">
        <v>56.2</v>
      </c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</row>
    <row r="424">
      <c r="A424" s="27" t="s">
        <v>952</v>
      </c>
      <c r="B424" s="24">
        <v>5.902280337676E12</v>
      </c>
      <c r="C424" s="9" t="s">
        <v>953</v>
      </c>
      <c r="D424" s="15" t="s">
        <v>954</v>
      </c>
      <c r="E424" s="16">
        <v>112.3</v>
      </c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</row>
    <row r="425">
      <c r="A425" s="27" t="s">
        <v>955</v>
      </c>
      <c r="B425" s="24">
        <v>5.902280350187E12</v>
      </c>
      <c r="C425" s="9" t="s">
        <v>956</v>
      </c>
      <c r="D425" s="15" t="s">
        <v>957</v>
      </c>
      <c r="E425" s="16">
        <v>168.5</v>
      </c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</row>
    <row r="426">
      <c r="A426" s="52" t="s">
        <v>958</v>
      </c>
      <c r="B426" s="26">
        <v>5.902280323792E12</v>
      </c>
      <c r="C426" s="9" t="s">
        <v>959</v>
      </c>
      <c r="D426" s="15" t="s">
        <v>960</v>
      </c>
      <c r="E426" s="16">
        <v>147.8</v>
      </c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</row>
    <row r="427">
      <c r="A427" s="52" t="s">
        <v>961</v>
      </c>
      <c r="B427" s="26">
        <v>5.902280323464E12</v>
      </c>
      <c r="C427" s="9" t="s">
        <v>962</v>
      </c>
      <c r="D427" s="15" t="s">
        <v>960</v>
      </c>
      <c r="E427" s="16">
        <v>295.6</v>
      </c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</row>
    <row r="428">
      <c r="A428" s="52" t="s">
        <v>963</v>
      </c>
      <c r="B428" s="26">
        <v>5.902280335948E12</v>
      </c>
      <c r="C428" s="9" t="s">
        <v>964</v>
      </c>
      <c r="D428" s="15" t="s">
        <v>960</v>
      </c>
      <c r="E428" s="16">
        <v>443.4</v>
      </c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</row>
    <row r="429">
      <c r="A429" s="52" t="s">
        <v>965</v>
      </c>
      <c r="B429" s="26">
        <v>5.902280335924E12</v>
      </c>
      <c r="C429" s="9" t="s">
        <v>966</v>
      </c>
      <c r="D429" s="15" t="s">
        <v>960</v>
      </c>
      <c r="E429" s="16">
        <v>165.8</v>
      </c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</row>
    <row r="430">
      <c r="A430" s="52" t="s">
        <v>967</v>
      </c>
      <c r="B430" s="26">
        <v>5.902280327981E12</v>
      </c>
      <c r="C430" s="9" t="s">
        <v>968</v>
      </c>
      <c r="D430" s="15" t="s">
        <v>960</v>
      </c>
      <c r="E430" s="16">
        <v>331.6</v>
      </c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</row>
    <row r="431">
      <c r="A431" s="52" t="s">
        <v>969</v>
      </c>
      <c r="B431" s="26">
        <v>5.902280335931E12</v>
      </c>
      <c r="C431" s="9" t="s">
        <v>970</v>
      </c>
      <c r="D431" s="15" t="s">
        <v>960</v>
      </c>
      <c r="E431" s="16">
        <v>497.4</v>
      </c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</row>
    <row r="432">
      <c r="A432" s="52" t="s">
        <v>971</v>
      </c>
      <c r="B432" s="26">
        <v>5.902280323747E12</v>
      </c>
      <c r="C432" s="9" t="s">
        <v>972</v>
      </c>
      <c r="D432" s="15" t="s">
        <v>973</v>
      </c>
      <c r="E432" s="16">
        <v>197.1</v>
      </c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</row>
    <row r="433">
      <c r="A433" s="52" t="s">
        <v>974</v>
      </c>
      <c r="B433" s="26">
        <v>5.90228032373E12</v>
      </c>
      <c r="C433" s="9" t="s">
        <v>975</v>
      </c>
      <c r="D433" s="15" t="s">
        <v>973</v>
      </c>
      <c r="E433" s="16">
        <v>394.3</v>
      </c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</row>
    <row r="434">
      <c r="A434" s="52" t="s">
        <v>976</v>
      </c>
      <c r="B434" s="26">
        <v>5.902280323723E12</v>
      </c>
      <c r="C434" s="9" t="s">
        <v>977</v>
      </c>
      <c r="D434" s="15" t="s">
        <v>973</v>
      </c>
      <c r="E434" s="16">
        <v>591.4</v>
      </c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</row>
    <row r="435">
      <c r="A435" s="52" t="s">
        <v>978</v>
      </c>
      <c r="B435" s="26">
        <v>5.902280345084E12</v>
      </c>
      <c r="C435" s="9" t="s">
        <v>979</v>
      </c>
      <c r="D435" s="15" t="s">
        <v>973</v>
      </c>
      <c r="E435" s="16">
        <v>231.9</v>
      </c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</row>
    <row r="436">
      <c r="A436" s="52" t="s">
        <v>980</v>
      </c>
      <c r="B436" s="26">
        <v>5.902280334309E12</v>
      </c>
      <c r="C436" s="9" t="s">
        <v>981</v>
      </c>
      <c r="D436" s="15" t="s">
        <v>973</v>
      </c>
      <c r="E436" s="16">
        <v>463.7</v>
      </c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</row>
    <row r="437">
      <c r="A437" s="52" t="s">
        <v>982</v>
      </c>
      <c r="B437" s="26">
        <v>5.902280345077E12</v>
      </c>
      <c r="C437" s="9" t="s">
        <v>983</v>
      </c>
      <c r="D437" s="15" t="s">
        <v>973</v>
      </c>
      <c r="E437" s="16">
        <v>695.6</v>
      </c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</row>
    <row r="438">
      <c r="A438" s="55" t="s">
        <v>984</v>
      </c>
      <c r="B438" s="50">
        <v>5.902280345091E12</v>
      </c>
      <c r="C438" s="9" t="s">
        <v>985</v>
      </c>
      <c r="D438" s="15" t="s">
        <v>986</v>
      </c>
      <c r="E438" s="16">
        <v>274.4</v>
      </c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  <c r="BE438" s="47"/>
      <c r="BF438" s="47"/>
      <c r="BG438" s="47"/>
      <c r="BH438" s="47"/>
      <c r="BI438" s="47"/>
      <c r="BJ438" s="47"/>
      <c r="BK438" s="47"/>
      <c r="BL438" s="47"/>
      <c r="BM438" s="47"/>
      <c r="BN438" s="47"/>
      <c r="BO438" s="47"/>
      <c r="BP438" s="47"/>
      <c r="BQ438" s="47"/>
    </row>
    <row r="439">
      <c r="A439" s="55" t="s">
        <v>987</v>
      </c>
      <c r="B439" s="50">
        <v>5.902280340379E12</v>
      </c>
      <c r="C439" s="9" t="s">
        <v>988</v>
      </c>
      <c r="D439" s="15" t="s">
        <v>986</v>
      </c>
      <c r="E439" s="16">
        <v>548.7</v>
      </c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47"/>
      <c r="BJ439" s="47"/>
      <c r="BK439" s="47"/>
      <c r="BL439" s="47"/>
      <c r="BM439" s="47"/>
      <c r="BN439" s="47"/>
      <c r="BO439" s="47"/>
      <c r="BP439" s="47"/>
      <c r="BQ439" s="47"/>
    </row>
    <row r="440">
      <c r="A440" s="52" t="s">
        <v>989</v>
      </c>
      <c r="B440" s="26">
        <v>5.902280334637E12</v>
      </c>
      <c r="C440" s="9" t="s">
        <v>990</v>
      </c>
      <c r="D440" s="15" t="s">
        <v>973</v>
      </c>
      <c r="E440" s="16">
        <v>265.9</v>
      </c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</row>
    <row r="441">
      <c r="A441" s="52" t="s">
        <v>991</v>
      </c>
      <c r="B441" s="26">
        <v>5.90228032782E12</v>
      </c>
      <c r="C441" s="9" t="s">
        <v>992</v>
      </c>
      <c r="D441" s="15" t="s">
        <v>973</v>
      </c>
      <c r="E441" s="16">
        <v>531.8</v>
      </c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</row>
    <row r="442">
      <c r="A442" s="52" t="s">
        <v>993</v>
      </c>
      <c r="B442" s="26">
        <v>5.902280334644E12</v>
      </c>
      <c r="C442" s="9" t="s">
        <v>994</v>
      </c>
      <c r="D442" s="15" t="s">
        <v>973</v>
      </c>
      <c r="E442" s="16">
        <v>797.7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</row>
    <row r="443">
      <c r="A443" s="52" t="s">
        <v>995</v>
      </c>
      <c r="B443" s="26">
        <v>5.902280334125E12</v>
      </c>
      <c r="C443" s="9" t="s">
        <v>996</v>
      </c>
      <c r="D443" s="15" t="s">
        <v>997</v>
      </c>
      <c r="E443" s="16">
        <v>81.8</v>
      </c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</row>
    <row r="444">
      <c r="A444" s="52" t="s">
        <v>998</v>
      </c>
      <c r="B444" s="26">
        <v>5.902280329794E12</v>
      </c>
      <c r="C444" s="9" t="s">
        <v>999</v>
      </c>
      <c r="D444" s="15" t="s">
        <v>997</v>
      </c>
      <c r="E444" s="16">
        <v>163.6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</row>
    <row r="445">
      <c r="A445" s="52" t="s">
        <v>1000</v>
      </c>
      <c r="B445" s="26">
        <v>5.902280334132E12</v>
      </c>
      <c r="C445" s="9" t="s">
        <v>1001</v>
      </c>
      <c r="D445" s="15" t="s">
        <v>997</v>
      </c>
      <c r="E445" s="16">
        <v>245.4</v>
      </c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</row>
    <row r="446">
      <c r="A446" s="52" t="s">
        <v>1002</v>
      </c>
      <c r="B446" s="26">
        <v>5.902280334521E12</v>
      </c>
      <c r="C446" s="9" t="s">
        <v>1003</v>
      </c>
      <c r="D446" s="15" t="s">
        <v>1004</v>
      </c>
      <c r="E446" s="16">
        <v>16.1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</row>
    <row r="447">
      <c r="A447" s="52" t="s">
        <v>1005</v>
      </c>
      <c r="B447" s="26">
        <v>5.902280328759E12</v>
      </c>
      <c r="C447" s="9" t="s">
        <v>1006</v>
      </c>
      <c r="D447" s="15" t="s">
        <v>1007</v>
      </c>
      <c r="E447" s="16">
        <v>32.1</v>
      </c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</row>
    <row r="448">
      <c r="A448" s="52" t="s">
        <v>1008</v>
      </c>
      <c r="B448" s="26">
        <v>5.902280328766E12</v>
      </c>
      <c r="C448" s="9" t="s">
        <v>1009</v>
      </c>
      <c r="D448" s="15" t="s">
        <v>1010</v>
      </c>
      <c r="E448" s="16">
        <v>48.2</v>
      </c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</row>
    <row r="449">
      <c r="A449" s="52" t="s">
        <v>1011</v>
      </c>
      <c r="B449" s="26">
        <v>5.902280334507E12</v>
      </c>
      <c r="C449" s="9" t="s">
        <v>1012</v>
      </c>
      <c r="D449" s="15" t="s">
        <v>1013</v>
      </c>
      <c r="E449" s="16">
        <v>79.6</v>
      </c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</row>
    <row r="450">
      <c r="A450" s="52" t="s">
        <v>1014</v>
      </c>
      <c r="B450" s="26">
        <v>5.902280329732E12</v>
      </c>
      <c r="C450" s="9" t="s">
        <v>1015</v>
      </c>
      <c r="D450" s="15" t="s">
        <v>1013</v>
      </c>
      <c r="E450" s="16">
        <v>159.1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</row>
    <row r="451">
      <c r="A451" s="52" t="s">
        <v>1016</v>
      </c>
      <c r="B451" s="26">
        <v>5.902280335061E12</v>
      </c>
      <c r="C451" s="9" t="s">
        <v>1017</v>
      </c>
      <c r="D451" s="15" t="s">
        <v>1013</v>
      </c>
      <c r="E451" s="16">
        <v>238.7</v>
      </c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</row>
    <row r="452">
      <c r="A452" s="52" t="s">
        <v>1018</v>
      </c>
      <c r="B452" s="26">
        <v>5.902280334101E12</v>
      </c>
      <c r="C452" s="9" t="s">
        <v>1019</v>
      </c>
      <c r="D452" s="15" t="s">
        <v>1020</v>
      </c>
      <c r="E452" s="16">
        <v>117.9</v>
      </c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</row>
    <row r="453">
      <c r="A453" s="52" t="s">
        <v>1021</v>
      </c>
      <c r="B453" s="26">
        <v>5.90228032977E12</v>
      </c>
      <c r="C453" s="9" t="s">
        <v>1022</v>
      </c>
      <c r="D453" s="15" t="s">
        <v>1020</v>
      </c>
      <c r="E453" s="16">
        <v>235.7</v>
      </c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</row>
    <row r="454">
      <c r="A454" s="52" t="s">
        <v>1023</v>
      </c>
      <c r="B454" s="26">
        <v>5.902280334118E12</v>
      </c>
      <c r="C454" s="9" t="s">
        <v>1024</v>
      </c>
      <c r="D454" s="15" t="s">
        <v>1020</v>
      </c>
      <c r="E454" s="16">
        <v>353.6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</row>
    <row r="455">
      <c r="A455" s="52" t="s">
        <v>1025</v>
      </c>
      <c r="B455" s="26">
        <v>5.902280336006E12</v>
      </c>
      <c r="C455" s="9" t="s">
        <v>1026</v>
      </c>
      <c r="D455" s="15" t="s">
        <v>1020</v>
      </c>
      <c r="E455" s="16">
        <v>124.1</v>
      </c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</row>
    <row r="456">
      <c r="A456" s="52" t="s">
        <v>1027</v>
      </c>
      <c r="B456" s="26">
        <v>5.902280330448E12</v>
      </c>
      <c r="C456" s="9" t="s">
        <v>1028</v>
      </c>
      <c r="D456" s="15" t="s">
        <v>1020</v>
      </c>
      <c r="E456" s="16">
        <v>248.1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</row>
    <row r="457">
      <c r="A457" s="52" t="s">
        <v>1029</v>
      </c>
      <c r="B457" s="26">
        <v>5.902280336921E12</v>
      </c>
      <c r="C457" s="9" t="s">
        <v>1030</v>
      </c>
      <c r="D457" s="15" t="s">
        <v>1020</v>
      </c>
      <c r="E457" s="16">
        <v>372.2</v>
      </c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</row>
    <row r="458">
      <c r="A458" s="52" t="s">
        <v>1031</v>
      </c>
      <c r="B458" s="26">
        <v>5.902280336037E12</v>
      </c>
      <c r="C458" s="9" t="s">
        <v>1032</v>
      </c>
      <c r="D458" s="15" t="s">
        <v>1020</v>
      </c>
      <c r="E458" s="16">
        <v>101.0</v>
      </c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</row>
    <row r="459">
      <c r="A459" s="52" t="s">
        <v>1033</v>
      </c>
      <c r="B459" s="26">
        <v>5.902280330431E12</v>
      </c>
      <c r="C459" s="9" t="s">
        <v>1034</v>
      </c>
      <c r="D459" s="15" t="s">
        <v>1020</v>
      </c>
      <c r="E459" s="16">
        <v>201.9</v>
      </c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</row>
    <row r="460">
      <c r="A460" s="52" t="s">
        <v>1035</v>
      </c>
      <c r="B460" s="26">
        <v>5.902280336945E12</v>
      </c>
      <c r="C460" s="9" t="s">
        <v>1036</v>
      </c>
      <c r="D460" s="15" t="s">
        <v>1020</v>
      </c>
      <c r="E460" s="16">
        <v>302.9</v>
      </c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</row>
    <row r="461">
      <c r="A461" s="52" t="s">
        <v>1037</v>
      </c>
      <c r="B461" s="26">
        <v>5.902280334491E12</v>
      </c>
      <c r="C461" s="9" t="s">
        <v>1038</v>
      </c>
      <c r="D461" s="15" t="s">
        <v>1039</v>
      </c>
      <c r="E461" s="16">
        <v>120.1</v>
      </c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</row>
    <row r="462">
      <c r="A462" s="52" t="s">
        <v>1040</v>
      </c>
      <c r="B462" s="26">
        <v>5.9022803298E12</v>
      </c>
      <c r="C462" s="9" t="s">
        <v>1041</v>
      </c>
      <c r="D462" s="15" t="s">
        <v>1039</v>
      </c>
      <c r="E462" s="16">
        <v>240.1</v>
      </c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</row>
    <row r="463">
      <c r="A463" s="52" t="s">
        <v>1042</v>
      </c>
      <c r="B463" s="26">
        <v>5.902280333845E12</v>
      </c>
      <c r="C463" s="9" t="s">
        <v>1043</v>
      </c>
      <c r="D463" s="15" t="s">
        <v>1039</v>
      </c>
      <c r="E463" s="16">
        <v>360.2</v>
      </c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</row>
    <row r="464">
      <c r="A464" s="52" t="s">
        <v>1044</v>
      </c>
      <c r="B464" s="26">
        <v>5.902280334149E12</v>
      </c>
      <c r="C464" s="9" t="s">
        <v>1045</v>
      </c>
      <c r="D464" s="15" t="s">
        <v>1046</v>
      </c>
      <c r="E464" s="16">
        <v>122.0</v>
      </c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</row>
    <row r="465">
      <c r="A465" s="52" t="s">
        <v>1047</v>
      </c>
      <c r="B465" s="26">
        <v>5.902280329787E12</v>
      </c>
      <c r="C465" s="9" t="s">
        <v>1048</v>
      </c>
      <c r="D465" s="15" t="s">
        <v>1046</v>
      </c>
      <c r="E465" s="16">
        <v>244.0</v>
      </c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</row>
    <row r="466">
      <c r="A466" s="52" t="s">
        <v>1049</v>
      </c>
      <c r="B466" s="26">
        <v>5.902280334156E12</v>
      </c>
      <c r="C466" s="9" t="s">
        <v>1050</v>
      </c>
      <c r="D466" s="15" t="s">
        <v>1046</v>
      </c>
      <c r="E466" s="16">
        <v>366.0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</row>
    <row r="467">
      <c r="A467" s="52" t="s">
        <v>1051</v>
      </c>
      <c r="B467" s="26">
        <v>5.90228033602E12</v>
      </c>
      <c r="C467" s="9" t="s">
        <v>1052</v>
      </c>
      <c r="D467" s="15" t="s">
        <v>1046</v>
      </c>
      <c r="E467" s="16">
        <v>131.7</v>
      </c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</row>
    <row r="468">
      <c r="A468" s="52" t="s">
        <v>1053</v>
      </c>
      <c r="B468" s="26">
        <v>5.902280330462E12</v>
      </c>
      <c r="C468" s="9" t="s">
        <v>1054</v>
      </c>
      <c r="D468" s="15" t="s">
        <v>1046</v>
      </c>
      <c r="E468" s="16">
        <v>263.4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</row>
    <row r="469">
      <c r="A469" s="52" t="s">
        <v>1055</v>
      </c>
      <c r="B469" s="26">
        <v>5.902280336914E12</v>
      </c>
      <c r="C469" s="9" t="s">
        <v>1056</v>
      </c>
      <c r="D469" s="15" t="s">
        <v>1046</v>
      </c>
      <c r="E469" s="16">
        <v>395.1</v>
      </c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</row>
    <row r="470">
      <c r="A470" s="52" t="s">
        <v>1057</v>
      </c>
      <c r="B470" s="26">
        <v>5.902280336013E12</v>
      </c>
      <c r="C470" s="9" t="s">
        <v>1058</v>
      </c>
      <c r="D470" s="15" t="s">
        <v>1046</v>
      </c>
      <c r="E470" s="16">
        <v>107.3</v>
      </c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</row>
    <row r="471">
      <c r="A471" s="52" t="s">
        <v>1059</v>
      </c>
      <c r="B471" s="26">
        <v>5.902280330455E12</v>
      </c>
      <c r="C471" s="9" t="s">
        <v>1060</v>
      </c>
      <c r="D471" s="15" t="s">
        <v>1046</v>
      </c>
      <c r="E471" s="16">
        <v>214.6</v>
      </c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</row>
    <row r="472">
      <c r="A472" s="52" t="s">
        <v>1061</v>
      </c>
      <c r="B472" s="26">
        <v>5.902280336938E12</v>
      </c>
      <c r="C472" s="9" t="s">
        <v>1062</v>
      </c>
      <c r="D472" s="15" t="s">
        <v>1046</v>
      </c>
      <c r="E472" s="16">
        <v>321.9</v>
      </c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</row>
    <row r="473">
      <c r="A473" s="52" t="s">
        <v>1063</v>
      </c>
      <c r="B473" s="26">
        <v>5.902280334514E12</v>
      </c>
      <c r="C473" s="9" t="s">
        <v>1064</v>
      </c>
      <c r="D473" s="15" t="s">
        <v>1065</v>
      </c>
      <c r="E473" s="16">
        <v>18.0</v>
      </c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</row>
    <row r="474">
      <c r="A474" s="52" t="s">
        <v>1066</v>
      </c>
      <c r="B474" s="26">
        <v>5.902280328773E12</v>
      </c>
      <c r="C474" s="9" t="s">
        <v>1067</v>
      </c>
      <c r="D474" s="15" t="s">
        <v>1065</v>
      </c>
      <c r="E474" s="16">
        <v>35.9</v>
      </c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</row>
    <row r="475">
      <c r="A475" s="52" t="s">
        <v>1068</v>
      </c>
      <c r="B475" s="26">
        <v>5.90228032878E12</v>
      </c>
      <c r="C475" s="9" t="s">
        <v>1069</v>
      </c>
      <c r="D475" s="15" t="s">
        <v>1065</v>
      </c>
      <c r="E475" s="16">
        <v>53.9</v>
      </c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</row>
    <row r="476">
      <c r="A476" s="52" t="s">
        <v>1070</v>
      </c>
      <c r="B476" s="26">
        <v>5.902280336716E12</v>
      </c>
      <c r="C476" s="9" t="s">
        <v>1071</v>
      </c>
      <c r="D476" s="15" t="s">
        <v>1065</v>
      </c>
      <c r="E476" s="16">
        <v>24.2</v>
      </c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</row>
    <row r="477">
      <c r="A477" s="52" t="s">
        <v>1072</v>
      </c>
      <c r="B477" s="26">
        <v>5.902280332152E12</v>
      </c>
      <c r="C477" s="9" t="s">
        <v>1073</v>
      </c>
      <c r="D477" s="15" t="s">
        <v>1065</v>
      </c>
      <c r="E477" s="16">
        <v>48.4</v>
      </c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</row>
    <row r="478">
      <c r="A478" s="52" t="s">
        <v>1074</v>
      </c>
      <c r="B478" s="26">
        <v>5.902280332183E12</v>
      </c>
      <c r="C478" s="9" t="s">
        <v>1075</v>
      </c>
      <c r="D478" s="15" t="s">
        <v>1065</v>
      </c>
      <c r="E478" s="16">
        <v>72.6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</row>
    <row r="479">
      <c r="A479" s="52" t="s">
        <v>1076</v>
      </c>
      <c r="B479" s="26">
        <v>5.902280336723E12</v>
      </c>
      <c r="C479" s="9" t="s">
        <v>1077</v>
      </c>
      <c r="D479" s="15" t="s">
        <v>1065</v>
      </c>
      <c r="E479" s="16">
        <v>18.0</v>
      </c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</row>
    <row r="480">
      <c r="A480" s="52" t="s">
        <v>1078</v>
      </c>
      <c r="B480" s="26">
        <v>5.902280332145E12</v>
      </c>
      <c r="C480" s="9" t="s">
        <v>1079</v>
      </c>
      <c r="D480" s="15" t="s">
        <v>1065</v>
      </c>
      <c r="E480" s="16">
        <v>35.9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</row>
    <row r="481">
      <c r="A481" s="52" t="s">
        <v>1080</v>
      </c>
      <c r="B481" s="26">
        <v>5.902280332176E12</v>
      </c>
      <c r="C481" s="9" t="s">
        <v>1081</v>
      </c>
      <c r="D481" s="15" t="s">
        <v>1065</v>
      </c>
      <c r="E481" s="16">
        <v>53.9</v>
      </c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</row>
    <row r="482">
      <c r="A482" s="34" t="s">
        <v>1082</v>
      </c>
      <c r="B482" s="24">
        <v>5.906660785866E12</v>
      </c>
      <c r="C482" s="9" t="s">
        <v>1083</v>
      </c>
      <c r="D482" s="15" t="s">
        <v>1084</v>
      </c>
      <c r="E482" s="16">
        <v>134.3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</row>
    <row r="483">
      <c r="A483" s="34" t="s">
        <v>1085</v>
      </c>
      <c r="B483" s="24">
        <v>5.906660785859E12</v>
      </c>
      <c r="C483" s="9" t="s">
        <v>1086</v>
      </c>
      <c r="D483" s="15" t="s">
        <v>1084</v>
      </c>
      <c r="E483" s="16">
        <v>268.7</v>
      </c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</row>
    <row r="484">
      <c r="A484" s="34" t="s">
        <v>1087</v>
      </c>
      <c r="B484" s="24">
        <v>5.902280308874E12</v>
      </c>
      <c r="C484" s="9" t="s">
        <v>1088</v>
      </c>
      <c r="D484" s="15" t="s">
        <v>1084</v>
      </c>
      <c r="E484" s="16">
        <v>403.0</v>
      </c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</row>
    <row r="485">
      <c r="A485" s="34" t="s">
        <v>1089</v>
      </c>
      <c r="B485" s="24">
        <v>5.906660787174E12</v>
      </c>
      <c r="C485" s="9" t="s">
        <v>1090</v>
      </c>
      <c r="D485" s="15" t="s">
        <v>1091</v>
      </c>
      <c r="E485" s="16">
        <v>117.4</v>
      </c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</row>
    <row r="486">
      <c r="A486" s="34" t="s">
        <v>1092</v>
      </c>
      <c r="B486" s="24">
        <v>5.906660787167E12</v>
      </c>
      <c r="C486" s="9" t="s">
        <v>1093</v>
      </c>
      <c r="D486" s="15" t="s">
        <v>1091</v>
      </c>
      <c r="E486" s="16">
        <v>234.7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</row>
    <row r="487">
      <c r="A487" s="34" t="s">
        <v>1094</v>
      </c>
      <c r="B487" s="24">
        <v>5.902280307495E12</v>
      </c>
      <c r="C487" s="9" t="s">
        <v>1095</v>
      </c>
      <c r="D487" s="15" t="s">
        <v>1091</v>
      </c>
      <c r="E487" s="16">
        <v>352.1</v>
      </c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</row>
    <row r="488">
      <c r="A488" s="34" t="s">
        <v>1096</v>
      </c>
      <c r="B488" s="24">
        <v>5.906660787426E12</v>
      </c>
      <c r="C488" s="9" t="s">
        <v>1097</v>
      </c>
      <c r="D488" s="15" t="s">
        <v>1098</v>
      </c>
      <c r="E488" s="16">
        <v>112.2</v>
      </c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</row>
    <row r="489">
      <c r="A489" s="34" t="s">
        <v>1099</v>
      </c>
      <c r="B489" s="24">
        <v>5.906660787419E12</v>
      </c>
      <c r="C489" s="9" t="s">
        <v>1100</v>
      </c>
      <c r="D489" s="15" t="s">
        <v>1098</v>
      </c>
      <c r="E489" s="16">
        <v>224.4</v>
      </c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</row>
    <row r="490">
      <c r="A490" s="34" t="s">
        <v>1101</v>
      </c>
      <c r="B490" s="24">
        <v>5.902280302117E12</v>
      </c>
      <c r="C490" s="9" t="s">
        <v>1102</v>
      </c>
      <c r="D490" s="15" t="s">
        <v>1098</v>
      </c>
      <c r="E490" s="16">
        <v>336.6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</row>
    <row r="491">
      <c r="A491" s="34" t="s">
        <v>1103</v>
      </c>
      <c r="B491" s="24">
        <v>5.90666078744E12</v>
      </c>
      <c r="C491" s="9" t="s">
        <v>1104</v>
      </c>
      <c r="D491" s="15" t="s">
        <v>1105</v>
      </c>
      <c r="E491" s="16">
        <v>119.2</v>
      </c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</row>
    <row r="492">
      <c r="A492" s="34" t="s">
        <v>1106</v>
      </c>
      <c r="B492" s="24">
        <v>5.906660787433E12</v>
      </c>
      <c r="C492" s="9" t="s">
        <v>1107</v>
      </c>
      <c r="D492" s="15" t="s">
        <v>1105</v>
      </c>
      <c r="E492" s="16">
        <v>238.5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</row>
    <row r="493">
      <c r="A493" s="34" t="s">
        <v>1108</v>
      </c>
      <c r="B493" s="24">
        <v>5.902280303961E12</v>
      </c>
      <c r="C493" s="9" t="s">
        <v>1109</v>
      </c>
      <c r="D493" s="15" t="s">
        <v>1105</v>
      </c>
      <c r="E493" s="16">
        <v>357.7</v>
      </c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</row>
    <row r="494">
      <c r="A494" s="34" t="s">
        <v>1110</v>
      </c>
      <c r="B494" s="24">
        <v>5.906660787464E12</v>
      </c>
      <c r="C494" s="9" t="s">
        <v>1111</v>
      </c>
      <c r="D494" s="15" t="s">
        <v>1112</v>
      </c>
      <c r="E494" s="16">
        <v>119.6</v>
      </c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</row>
    <row r="495">
      <c r="A495" s="34" t="s">
        <v>1113</v>
      </c>
      <c r="B495" s="24">
        <v>5.906660787457E12</v>
      </c>
      <c r="C495" s="9" t="s">
        <v>1114</v>
      </c>
      <c r="D495" s="15" t="s">
        <v>1112</v>
      </c>
      <c r="E495" s="16">
        <v>239.2</v>
      </c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</row>
    <row r="496">
      <c r="A496" s="34" t="s">
        <v>1115</v>
      </c>
      <c r="B496" s="24">
        <v>5.902280303954E12</v>
      </c>
      <c r="C496" s="9" t="s">
        <v>1116</v>
      </c>
      <c r="D496" s="15" t="s">
        <v>1112</v>
      </c>
      <c r="E496" s="16">
        <v>358.9</v>
      </c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</row>
    <row r="497">
      <c r="A497" s="34" t="s">
        <v>1117</v>
      </c>
      <c r="B497" s="24">
        <v>5.906660787488E12</v>
      </c>
      <c r="C497" s="9" t="s">
        <v>1118</v>
      </c>
      <c r="D497" s="15" t="s">
        <v>1119</v>
      </c>
      <c r="E497" s="16">
        <v>122.8</v>
      </c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</row>
    <row r="498">
      <c r="A498" s="34" t="s">
        <v>1120</v>
      </c>
      <c r="B498" s="24">
        <v>5.906660787471E12</v>
      </c>
      <c r="C498" s="9" t="s">
        <v>1121</v>
      </c>
      <c r="D498" s="15" t="s">
        <v>1119</v>
      </c>
      <c r="E498" s="16">
        <v>245.6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</row>
    <row r="499">
      <c r="A499" s="34" t="s">
        <v>1122</v>
      </c>
      <c r="B499" s="24">
        <v>5.902280303947E12</v>
      </c>
      <c r="C499" s="9" t="s">
        <v>1123</v>
      </c>
      <c r="D499" s="15" t="s">
        <v>1119</v>
      </c>
      <c r="E499" s="16">
        <v>368.4</v>
      </c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</row>
    <row r="500">
      <c r="A500" s="34" t="s">
        <v>1124</v>
      </c>
      <c r="B500" s="24">
        <v>5.902280301981E12</v>
      </c>
      <c r="C500" s="9" t="s">
        <v>1125</v>
      </c>
      <c r="D500" s="15" t="s">
        <v>1126</v>
      </c>
      <c r="E500" s="16">
        <v>143.8</v>
      </c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</row>
    <row r="501">
      <c r="A501" s="34" t="s">
        <v>1127</v>
      </c>
      <c r="B501" s="24">
        <v>5.902280301349E12</v>
      </c>
      <c r="C501" s="9" t="s">
        <v>1128</v>
      </c>
      <c r="D501" s="15" t="s">
        <v>1126</v>
      </c>
      <c r="E501" s="16">
        <v>273.3</v>
      </c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</row>
    <row r="502">
      <c r="A502" s="34" t="s">
        <v>1129</v>
      </c>
      <c r="B502" s="24">
        <v>5.902280302278E12</v>
      </c>
      <c r="C502" s="9" t="s">
        <v>1130</v>
      </c>
      <c r="D502" s="15" t="s">
        <v>1126</v>
      </c>
      <c r="E502" s="16">
        <v>409.9</v>
      </c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</row>
    <row r="503">
      <c r="A503" s="34" t="s">
        <v>1131</v>
      </c>
      <c r="B503" s="24">
        <v>5.902280303855E12</v>
      </c>
      <c r="C503" s="9" t="s">
        <v>1132</v>
      </c>
      <c r="D503" s="15" t="s">
        <v>1133</v>
      </c>
      <c r="E503" s="16">
        <v>120.5</v>
      </c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</row>
    <row r="504">
      <c r="A504" s="34" t="s">
        <v>1134</v>
      </c>
      <c r="B504" s="24">
        <v>5.902280301899E12</v>
      </c>
      <c r="C504" s="9" t="s">
        <v>1135</v>
      </c>
      <c r="D504" s="15" t="s">
        <v>1133</v>
      </c>
      <c r="E504" s="16">
        <v>240.9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</row>
    <row r="505">
      <c r="A505" s="34" t="s">
        <v>1136</v>
      </c>
      <c r="B505" s="24">
        <v>5.902280302315E12</v>
      </c>
      <c r="C505" s="9" t="s">
        <v>1137</v>
      </c>
      <c r="D505" s="15" t="s">
        <v>1133</v>
      </c>
      <c r="E505" s="16">
        <v>361.4</v>
      </c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</row>
    <row r="506">
      <c r="A506" s="34" t="s">
        <v>1138</v>
      </c>
      <c r="B506" s="24">
        <v>5.902280301998E12</v>
      </c>
      <c r="C506" s="9" t="s">
        <v>1139</v>
      </c>
      <c r="D506" s="15" t="s">
        <v>1140</v>
      </c>
      <c r="E506" s="16">
        <v>141.8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</row>
    <row r="507">
      <c r="A507" s="34" t="s">
        <v>1141</v>
      </c>
      <c r="B507" s="24">
        <v>5.902280301431E12</v>
      </c>
      <c r="C507" s="9" t="s">
        <v>1142</v>
      </c>
      <c r="D507" s="15" t="s">
        <v>1140</v>
      </c>
      <c r="E507" s="16">
        <v>283.5</v>
      </c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</row>
    <row r="508">
      <c r="A508" s="34" t="s">
        <v>1143</v>
      </c>
      <c r="B508" s="24">
        <v>5.902280303497E12</v>
      </c>
      <c r="C508" s="9" t="s">
        <v>1144</v>
      </c>
      <c r="D508" s="15" t="s">
        <v>1140</v>
      </c>
      <c r="E508" s="16">
        <v>425.3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</row>
    <row r="509">
      <c r="A509" s="34" t="s">
        <v>1145</v>
      </c>
      <c r="B509" s="24">
        <v>5.902280300014E12</v>
      </c>
      <c r="C509" s="9" t="s">
        <v>1146</v>
      </c>
      <c r="D509" s="15" t="s">
        <v>1140</v>
      </c>
      <c r="E509" s="16">
        <v>137.3</v>
      </c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</row>
    <row r="510">
      <c r="A510" s="34" t="s">
        <v>1147</v>
      </c>
      <c r="B510" s="24">
        <v>5.902280300021E12</v>
      </c>
      <c r="C510" s="9" t="s">
        <v>1148</v>
      </c>
      <c r="D510" s="15" t="s">
        <v>1140</v>
      </c>
      <c r="E510" s="16">
        <v>274.5</v>
      </c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</row>
    <row r="511">
      <c r="A511" s="34" t="s">
        <v>1149</v>
      </c>
      <c r="B511" s="24">
        <v>5.902280300038E12</v>
      </c>
      <c r="C511" s="9" t="s">
        <v>1150</v>
      </c>
      <c r="D511" s="15" t="s">
        <v>1140</v>
      </c>
      <c r="E511" s="16">
        <v>411.8</v>
      </c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</row>
    <row r="512">
      <c r="A512" s="34" t="s">
        <v>1151</v>
      </c>
      <c r="B512" s="24">
        <v>5.902280327134E12</v>
      </c>
      <c r="C512" s="9" t="s">
        <v>1152</v>
      </c>
      <c r="D512" s="15" t="s">
        <v>1153</v>
      </c>
      <c r="E512" s="16">
        <v>87.5</v>
      </c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</row>
    <row r="513">
      <c r="A513" s="34" t="s">
        <v>1154</v>
      </c>
      <c r="B513" s="24">
        <v>5.902280327141E12</v>
      </c>
      <c r="C513" s="9" t="s">
        <v>1155</v>
      </c>
      <c r="D513" s="15" t="s">
        <v>1153</v>
      </c>
      <c r="E513" s="16">
        <v>175.1</v>
      </c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</row>
    <row r="514">
      <c r="A514" s="34" t="s">
        <v>1156</v>
      </c>
      <c r="B514" s="24">
        <v>5.902280327158E12</v>
      </c>
      <c r="C514" s="9" t="s">
        <v>1157</v>
      </c>
      <c r="D514" s="15" t="s">
        <v>1153</v>
      </c>
      <c r="E514" s="16">
        <v>262.6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</row>
    <row r="515">
      <c r="A515" s="23" t="s">
        <v>1158</v>
      </c>
      <c r="B515" s="24">
        <v>5.902280311133E12</v>
      </c>
      <c r="C515" s="9" t="s">
        <v>1159</v>
      </c>
      <c r="D515" s="15" t="s">
        <v>1160</v>
      </c>
      <c r="E515" s="16">
        <v>40.2</v>
      </c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</row>
    <row r="516">
      <c r="A516" s="23" t="s">
        <v>1161</v>
      </c>
      <c r="B516" s="24">
        <v>5.90228031114E12</v>
      </c>
      <c r="C516" s="9" t="s">
        <v>1162</v>
      </c>
      <c r="D516" s="15" t="s">
        <v>1160</v>
      </c>
      <c r="E516" s="16">
        <v>80.3</v>
      </c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</row>
    <row r="517">
      <c r="A517" s="23" t="s">
        <v>1163</v>
      </c>
      <c r="B517" s="24">
        <v>5.902280311157E12</v>
      </c>
      <c r="C517" s="9" t="s">
        <v>1164</v>
      </c>
      <c r="D517" s="15" t="s">
        <v>1160</v>
      </c>
      <c r="E517" s="16">
        <v>120.5</v>
      </c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</row>
    <row r="518">
      <c r="A518" s="23" t="s">
        <v>1165</v>
      </c>
      <c r="B518" s="24">
        <v>5.902280327721E12</v>
      </c>
      <c r="C518" s="9" t="s">
        <v>1166</v>
      </c>
      <c r="D518" s="15" t="s">
        <v>1167</v>
      </c>
      <c r="E518" s="16">
        <v>50.3</v>
      </c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44"/>
      <c r="BP518" s="44"/>
      <c r="BQ518" s="44"/>
    </row>
    <row r="519">
      <c r="A519" s="23" t="s">
        <v>1168</v>
      </c>
      <c r="B519" s="24">
        <v>5.902280311454E12</v>
      </c>
      <c r="C519" s="9" t="s">
        <v>1169</v>
      </c>
      <c r="D519" s="15" t="s">
        <v>1167</v>
      </c>
      <c r="E519" s="16">
        <v>100.6</v>
      </c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</row>
    <row r="520">
      <c r="A520" s="23" t="s">
        <v>1170</v>
      </c>
      <c r="B520" s="24">
        <v>5.902280311461E12</v>
      </c>
      <c r="C520" s="9" t="s">
        <v>1171</v>
      </c>
      <c r="D520" s="15" t="s">
        <v>1167</v>
      </c>
      <c r="E520" s="16">
        <v>150.9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</row>
    <row r="521">
      <c r="A521" s="23" t="s">
        <v>1172</v>
      </c>
      <c r="B521" s="24">
        <v>5.902280311072E12</v>
      </c>
      <c r="C521" s="9" t="s">
        <v>1173</v>
      </c>
      <c r="D521" s="15" t="s">
        <v>1167</v>
      </c>
      <c r="E521" s="16">
        <v>48.9</v>
      </c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</row>
    <row r="522">
      <c r="A522" s="23" t="s">
        <v>1174</v>
      </c>
      <c r="B522" s="24">
        <v>5.902280311096E12</v>
      </c>
      <c r="C522" s="9" t="s">
        <v>1175</v>
      </c>
      <c r="D522" s="15" t="s">
        <v>1167</v>
      </c>
      <c r="E522" s="16">
        <v>106.1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</row>
    <row r="523">
      <c r="A523" s="23" t="s">
        <v>1176</v>
      </c>
      <c r="B523" s="24">
        <v>5.902280311102E12</v>
      </c>
      <c r="C523" s="9" t="s">
        <v>1177</v>
      </c>
      <c r="D523" s="15" t="s">
        <v>1167</v>
      </c>
      <c r="E523" s="16">
        <v>146.7</v>
      </c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</row>
    <row r="524">
      <c r="A524" s="49" t="s">
        <v>1178</v>
      </c>
      <c r="B524" s="50">
        <v>5.902280345688E12</v>
      </c>
      <c r="C524" s="9" t="s">
        <v>1179</v>
      </c>
      <c r="D524" s="15" t="s">
        <v>1180</v>
      </c>
      <c r="E524" s="16">
        <v>107.5</v>
      </c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</row>
    <row r="525">
      <c r="A525" s="49" t="s">
        <v>1181</v>
      </c>
      <c r="B525" s="50">
        <v>5.902280345626E12</v>
      </c>
      <c r="C525" s="9" t="s">
        <v>1182</v>
      </c>
      <c r="D525" s="15" t="s">
        <v>1180</v>
      </c>
      <c r="E525" s="16">
        <v>215.0</v>
      </c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</row>
    <row r="526">
      <c r="A526" s="49" t="s">
        <v>1183</v>
      </c>
      <c r="B526" s="50">
        <v>5.902280345633E12</v>
      </c>
      <c r="C526" s="9" t="s">
        <v>1184</v>
      </c>
      <c r="D526" s="15" t="s">
        <v>1180</v>
      </c>
      <c r="E526" s="16">
        <v>322.5</v>
      </c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</row>
    <row r="527">
      <c r="A527" s="49" t="s">
        <v>1185</v>
      </c>
      <c r="B527" s="50">
        <v>5.902280345701E12</v>
      </c>
      <c r="C527" s="9" t="s">
        <v>1186</v>
      </c>
      <c r="D527" s="15" t="s">
        <v>1180</v>
      </c>
      <c r="E527" s="16">
        <v>112.2</v>
      </c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47"/>
      <c r="BE527" s="47"/>
      <c r="BF527" s="47"/>
      <c r="BG527" s="47"/>
      <c r="BH527" s="47"/>
      <c r="BI527" s="47"/>
      <c r="BJ527" s="47"/>
      <c r="BK527" s="47"/>
      <c r="BL527" s="47"/>
      <c r="BM527" s="47"/>
      <c r="BN527" s="47"/>
      <c r="BO527" s="47"/>
      <c r="BP527" s="47"/>
      <c r="BQ527" s="47"/>
    </row>
    <row r="528">
      <c r="A528" s="49" t="s">
        <v>1187</v>
      </c>
      <c r="B528" s="50">
        <v>5.90228034564E12</v>
      </c>
      <c r="C528" s="9" t="s">
        <v>1188</v>
      </c>
      <c r="D528" s="15" t="s">
        <v>1180</v>
      </c>
      <c r="E528" s="16">
        <v>224.4</v>
      </c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</row>
    <row r="529">
      <c r="A529" s="49" t="s">
        <v>1189</v>
      </c>
      <c r="B529" s="50">
        <v>5.902280345657E12</v>
      </c>
      <c r="C529" s="9" t="s">
        <v>1190</v>
      </c>
      <c r="D529" s="15" t="s">
        <v>1180</v>
      </c>
      <c r="E529" s="16">
        <v>336.6</v>
      </c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</row>
    <row r="530">
      <c r="A530" s="45" t="s">
        <v>1191</v>
      </c>
      <c r="B530" s="46">
        <v>5.902280345695E12</v>
      </c>
      <c r="C530" s="56" t="s">
        <v>1192</v>
      </c>
      <c r="D530" s="57" t="s">
        <v>1193</v>
      </c>
      <c r="E530" s="58">
        <v>90.0</v>
      </c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</row>
    <row r="531">
      <c r="A531" s="45" t="s">
        <v>1194</v>
      </c>
      <c r="B531" s="46">
        <v>5.902280345664E12</v>
      </c>
      <c r="C531" s="56" t="s">
        <v>1195</v>
      </c>
      <c r="D531" s="57" t="s">
        <v>1193</v>
      </c>
      <c r="E531" s="58">
        <v>180.0</v>
      </c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</row>
    <row r="532">
      <c r="A532" s="45" t="s">
        <v>1196</v>
      </c>
      <c r="B532" s="46">
        <v>5.902280345671E12</v>
      </c>
      <c r="C532" s="56" t="s">
        <v>1197</v>
      </c>
      <c r="D532" s="57" t="s">
        <v>1193</v>
      </c>
      <c r="E532" s="58">
        <v>270.0</v>
      </c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</row>
    <row r="533">
      <c r="A533" s="23" t="s">
        <v>1198</v>
      </c>
      <c r="B533" s="24">
        <v>5.902280311164E12</v>
      </c>
      <c r="C533" s="9" t="s">
        <v>1199</v>
      </c>
      <c r="D533" s="15" t="s">
        <v>1200</v>
      </c>
      <c r="E533" s="16">
        <v>7.7</v>
      </c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</row>
    <row r="534">
      <c r="A534" s="23" t="s">
        <v>1201</v>
      </c>
      <c r="B534" s="24">
        <v>5.902280308119E12</v>
      </c>
      <c r="C534" s="9" t="s">
        <v>1202</v>
      </c>
      <c r="D534" s="15" t="s">
        <v>1200</v>
      </c>
      <c r="E534" s="16">
        <v>15.3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</row>
    <row r="535">
      <c r="A535" s="23" t="s">
        <v>1203</v>
      </c>
      <c r="B535" s="24">
        <v>5.902280354598E12</v>
      </c>
      <c r="C535" s="9" t="s">
        <v>1204</v>
      </c>
      <c r="D535" s="59"/>
      <c r="E535" s="16">
        <v>227.0</v>
      </c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</row>
    <row r="536">
      <c r="A536" s="23" t="s">
        <v>1205</v>
      </c>
      <c r="B536" s="24">
        <v>5.902280352815E12</v>
      </c>
      <c r="C536" s="9" t="s">
        <v>1206</v>
      </c>
      <c r="D536" s="59"/>
      <c r="E536" s="16">
        <v>453.9</v>
      </c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</row>
    <row r="537">
      <c r="A537" s="23" t="s">
        <v>1207</v>
      </c>
      <c r="B537" s="24">
        <v>5.902280352822E12</v>
      </c>
      <c r="C537" s="9" t="s">
        <v>1208</v>
      </c>
      <c r="D537" s="59"/>
      <c r="E537" s="16">
        <v>680.9</v>
      </c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</row>
    <row r="538">
      <c r="A538" s="23" t="s">
        <v>1209</v>
      </c>
      <c r="B538" s="24">
        <v>5.902280354604E12</v>
      </c>
      <c r="C538" s="9" t="s">
        <v>1210</v>
      </c>
      <c r="D538" s="59"/>
      <c r="E538" s="16">
        <v>109.7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</row>
    <row r="539">
      <c r="A539" s="23" t="s">
        <v>1211</v>
      </c>
      <c r="B539" s="24">
        <v>5.902280345756E12</v>
      </c>
      <c r="C539" s="9" t="s">
        <v>1212</v>
      </c>
      <c r="D539" s="59"/>
      <c r="E539" s="16">
        <v>219.4</v>
      </c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</row>
    <row r="540">
      <c r="A540" s="23" t="s">
        <v>1213</v>
      </c>
      <c r="B540" s="24">
        <v>5.902280345787E12</v>
      </c>
      <c r="C540" s="9" t="s">
        <v>1214</v>
      </c>
      <c r="D540" s="59"/>
      <c r="E540" s="16">
        <v>306.2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</row>
    <row r="541">
      <c r="A541" s="23" t="s">
        <v>1215</v>
      </c>
      <c r="B541" s="24">
        <v>5.902280354611E12</v>
      </c>
      <c r="C541" s="9" t="s">
        <v>1216</v>
      </c>
      <c r="D541" s="59"/>
      <c r="E541" s="16">
        <v>163.8</v>
      </c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</row>
    <row r="542">
      <c r="A542" s="23" t="s">
        <v>1217</v>
      </c>
      <c r="B542" s="24">
        <v>5.902280352877E12</v>
      </c>
      <c r="C542" s="9" t="s">
        <v>1218</v>
      </c>
      <c r="D542" s="59"/>
      <c r="E542" s="16">
        <v>327.5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</row>
    <row r="543">
      <c r="A543" s="23" t="s">
        <v>1219</v>
      </c>
      <c r="B543" s="24">
        <v>5.902280352884E12</v>
      </c>
      <c r="C543" s="9" t="s">
        <v>1220</v>
      </c>
      <c r="D543" s="59"/>
      <c r="E543" s="16">
        <v>473.9</v>
      </c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</row>
    <row r="544">
      <c r="A544" s="23" t="s">
        <v>1221</v>
      </c>
      <c r="B544" s="24">
        <v>5.902280354628E12</v>
      </c>
      <c r="C544" s="9" t="s">
        <v>1222</v>
      </c>
      <c r="D544" s="59"/>
      <c r="E544" s="16">
        <v>106.2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</row>
    <row r="545">
      <c r="A545" s="23" t="s">
        <v>1223</v>
      </c>
      <c r="B545" s="24">
        <v>5.902280345763E12</v>
      </c>
      <c r="C545" s="9" t="s">
        <v>1224</v>
      </c>
      <c r="D545" s="59"/>
      <c r="E545" s="16">
        <v>212.4</v>
      </c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</row>
    <row r="546">
      <c r="A546" s="23" t="s">
        <v>1225</v>
      </c>
      <c r="B546" s="24">
        <v>5.9022803458E12</v>
      </c>
      <c r="C546" s="9" t="s">
        <v>1226</v>
      </c>
      <c r="D546" s="59"/>
      <c r="E546" s="16">
        <v>310.3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</row>
    <row r="547">
      <c r="A547" s="23" t="s">
        <v>1227</v>
      </c>
      <c r="B547" s="24">
        <v>5.902280354635E12</v>
      </c>
      <c r="C547" s="9" t="s">
        <v>1228</v>
      </c>
      <c r="D547" s="59"/>
      <c r="E547" s="16">
        <v>147.3</v>
      </c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</row>
    <row r="548">
      <c r="A548" s="23" t="s">
        <v>1229</v>
      </c>
      <c r="B548" s="24">
        <v>5.902280352693E12</v>
      </c>
      <c r="C548" s="9" t="s">
        <v>1230</v>
      </c>
      <c r="D548" s="59"/>
      <c r="E548" s="16">
        <v>294.6</v>
      </c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</row>
    <row r="549">
      <c r="A549" s="23" t="s">
        <v>1231</v>
      </c>
      <c r="B549" s="24">
        <v>5.902280352709E12</v>
      </c>
      <c r="C549" s="9" t="s">
        <v>1232</v>
      </c>
      <c r="D549" s="59"/>
      <c r="E549" s="16">
        <v>425.1</v>
      </c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</row>
    <row r="550">
      <c r="A550" s="23" t="s">
        <v>1233</v>
      </c>
      <c r="B550" s="24">
        <v>5.902280354642E12</v>
      </c>
      <c r="C550" s="9" t="s">
        <v>1234</v>
      </c>
      <c r="D550" s="59"/>
      <c r="E550" s="16">
        <v>95.5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</row>
    <row r="551">
      <c r="A551" s="23" t="s">
        <v>1235</v>
      </c>
      <c r="B551" s="24">
        <v>5.902280345732E12</v>
      </c>
      <c r="C551" s="9" t="s">
        <v>1236</v>
      </c>
      <c r="D551" s="59"/>
      <c r="E551" s="16">
        <v>191.0</v>
      </c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</row>
    <row r="552">
      <c r="A552" s="23" t="s">
        <v>1237</v>
      </c>
      <c r="B552" s="24">
        <v>5.90228034577E12</v>
      </c>
      <c r="C552" s="9" t="s">
        <v>1238</v>
      </c>
      <c r="D552" s="59"/>
      <c r="E552" s="16">
        <v>278.2</v>
      </c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</row>
    <row r="553">
      <c r="A553" s="23" t="s">
        <v>1239</v>
      </c>
      <c r="B553" s="24">
        <v>5.902280354659E12</v>
      </c>
      <c r="C553" s="9" t="s">
        <v>1240</v>
      </c>
      <c r="D553" s="59"/>
      <c r="E553" s="16">
        <v>163.8</v>
      </c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</row>
    <row r="554">
      <c r="A554" s="23" t="s">
        <v>1241</v>
      </c>
      <c r="B554" s="24">
        <v>5.902280352754E12</v>
      </c>
      <c r="C554" s="9" t="s">
        <v>1242</v>
      </c>
      <c r="D554" s="59"/>
      <c r="E554" s="16">
        <v>327.5</v>
      </c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</row>
    <row r="555">
      <c r="A555" s="23" t="s">
        <v>1243</v>
      </c>
      <c r="B555" s="24">
        <v>5.902280352761E12</v>
      </c>
      <c r="C555" s="9" t="s">
        <v>1244</v>
      </c>
      <c r="D555" s="59"/>
      <c r="E555" s="16">
        <v>473.9</v>
      </c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</row>
    <row r="556">
      <c r="A556" s="23" t="s">
        <v>1245</v>
      </c>
      <c r="B556" s="24">
        <v>5.902280354666E12</v>
      </c>
      <c r="C556" s="9" t="s">
        <v>1246</v>
      </c>
      <c r="D556" s="59"/>
      <c r="E556" s="16">
        <v>98.6</v>
      </c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</row>
    <row r="557">
      <c r="A557" s="23" t="s">
        <v>1247</v>
      </c>
      <c r="B557" s="24">
        <v>5.902280345749E12</v>
      </c>
      <c r="C557" s="9" t="s">
        <v>1248</v>
      </c>
      <c r="D557" s="59"/>
      <c r="E557" s="16">
        <v>197.0</v>
      </c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</row>
    <row r="558">
      <c r="A558" s="23" t="s">
        <v>1249</v>
      </c>
      <c r="B558" s="24">
        <v>5.902280345794E12</v>
      </c>
      <c r="C558" s="9" t="s">
        <v>1250</v>
      </c>
      <c r="D558" s="59"/>
      <c r="E558" s="16">
        <v>287.3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</row>
    <row r="559">
      <c r="A559" s="23" t="s">
        <v>1251</v>
      </c>
      <c r="B559" s="24">
        <v>5.902280350217E12</v>
      </c>
      <c r="C559" s="9" t="s">
        <v>1252</v>
      </c>
      <c r="D559" s="15" t="s">
        <v>1253</v>
      </c>
      <c r="E559" s="16">
        <v>125.0</v>
      </c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</row>
    <row r="560">
      <c r="A560" s="23" t="s">
        <v>1254</v>
      </c>
      <c r="B560" s="24">
        <v>5.902280350194E12</v>
      </c>
      <c r="C560" s="9" t="s">
        <v>1255</v>
      </c>
      <c r="D560" s="15" t="s">
        <v>1253</v>
      </c>
      <c r="E560" s="16">
        <v>250.0</v>
      </c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</row>
    <row r="561">
      <c r="A561" s="23" t="s">
        <v>1256</v>
      </c>
      <c r="B561" s="24">
        <v>5.9022803502E12</v>
      </c>
      <c r="C561" s="9" t="s">
        <v>1257</v>
      </c>
      <c r="D561" s="15" t="s">
        <v>1253</v>
      </c>
      <c r="E561" s="16">
        <v>375.0</v>
      </c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</row>
    <row r="562">
      <c r="A562" s="23" t="s">
        <v>1258</v>
      </c>
      <c r="B562" s="24">
        <v>5.902280350255E12</v>
      </c>
      <c r="C562" s="9" t="s">
        <v>1259</v>
      </c>
      <c r="D562" s="15" t="s">
        <v>1253</v>
      </c>
      <c r="E562" s="16">
        <v>133.0</v>
      </c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</row>
    <row r="563">
      <c r="A563" s="23" t="s">
        <v>1260</v>
      </c>
      <c r="B563" s="24">
        <v>5.902280350262E12</v>
      </c>
      <c r="C563" s="9" t="s">
        <v>1261</v>
      </c>
      <c r="D563" s="15" t="s">
        <v>1253</v>
      </c>
      <c r="E563" s="16">
        <v>266.0</v>
      </c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</row>
    <row r="564">
      <c r="A564" s="23" t="s">
        <v>1262</v>
      </c>
      <c r="B564" s="24">
        <v>5.902280350279E12</v>
      </c>
      <c r="C564" s="9" t="s">
        <v>1263</v>
      </c>
      <c r="D564" s="15" t="s">
        <v>1253</v>
      </c>
      <c r="E564" s="16">
        <v>399.0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</row>
    <row r="565">
      <c r="A565" s="23" t="s">
        <v>1264</v>
      </c>
      <c r="B565" s="24">
        <v>5.902280359579E12</v>
      </c>
      <c r="C565" s="9" t="s">
        <v>1265</v>
      </c>
      <c r="D565" s="15" t="s">
        <v>1253</v>
      </c>
      <c r="E565" s="16">
        <v>140.0</v>
      </c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</row>
    <row r="566">
      <c r="A566" s="23" t="s">
        <v>1266</v>
      </c>
      <c r="B566" s="24">
        <v>5.902280359531E12</v>
      </c>
      <c r="C566" s="9" t="s">
        <v>1265</v>
      </c>
      <c r="D566" s="15" t="s">
        <v>1253</v>
      </c>
      <c r="E566" s="16">
        <v>280.0</v>
      </c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</row>
    <row r="567">
      <c r="A567" s="23" t="s">
        <v>1267</v>
      </c>
      <c r="B567" s="24">
        <v>5.902280359548E12</v>
      </c>
      <c r="C567" s="9" t="s">
        <v>1265</v>
      </c>
      <c r="D567" s="15" t="s">
        <v>1253</v>
      </c>
      <c r="E567" s="16">
        <v>420.0</v>
      </c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</row>
    <row r="568">
      <c r="A568" s="23" t="s">
        <v>1268</v>
      </c>
      <c r="B568" s="24">
        <v>5.902280350224E12</v>
      </c>
      <c r="C568" s="9" t="s">
        <v>1269</v>
      </c>
      <c r="D568" s="15" t="s">
        <v>1253</v>
      </c>
      <c r="E568" s="16">
        <v>90.0</v>
      </c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</row>
    <row r="569">
      <c r="A569" s="23" t="s">
        <v>1270</v>
      </c>
      <c r="B569" s="24">
        <v>5.902280350231E12</v>
      </c>
      <c r="C569" s="9" t="s">
        <v>1271</v>
      </c>
      <c r="D569" s="15" t="s">
        <v>1253</v>
      </c>
      <c r="E569" s="16">
        <v>180.0</v>
      </c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</row>
    <row r="570">
      <c r="A570" s="23" t="s">
        <v>1272</v>
      </c>
      <c r="B570" s="24">
        <v>5.902280350248E12</v>
      </c>
      <c r="C570" s="9" t="s">
        <v>1273</v>
      </c>
      <c r="D570" s="15" t="s">
        <v>1253</v>
      </c>
      <c r="E570" s="16">
        <v>270.0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</row>
    <row r="571">
      <c r="A571" s="23" t="s">
        <v>1274</v>
      </c>
      <c r="B571" s="24">
        <v>5.902280307358E12</v>
      </c>
      <c r="C571" s="9" t="s">
        <v>1275</v>
      </c>
      <c r="D571" s="15" t="s">
        <v>1276</v>
      </c>
      <c r="E571" s="16">
        <v>5.4</v>
      </c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</row>
    <row r="572">
      <c r="A572" s="23" t="s">
        <v>1277</v>
      </c>
      <c r="B572" s="24">
        <v>5.902280307365E12</v>
      </c>
      <c r="C572" s="9" t="s">
        <v>1278</v>
      </c>
      <c r="D572" s="15" t="s">
        <v>1276</v>
      </c>
      <c r="E572" s="16">
        <v>10.8</v>
      </c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</row>
    <row r="573">
      <c r="A573" s="23" t="s">
        <v>1279</v>
      </c>
      <c r="B573" s="24">
        <v>5.902280310297E12</v>
      </c>
      <c r="C573" s="9" t="s">
        <v>1280</v>
      </c>
      <c r="D573" s="15" t="s">
        <v>1276</v>
      </c>
      <c r="E573" s="16">
        <v>16.2</v>
      </c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</row>
    <row r="574">
      <c r="A574" s="23" t="s">
        <v>1281</v>
      </c>
      <c r="B574" s="24">
        <v>5.902280323419E12</v>
      </c>
      <c r="C574" s="9" t="s">
        <v>1282</v>
      </c>
      <c r="D574" s="15" t="s">
        <v>1283</v>
      </c>
      <c r="E574" s="16">
        <v>7.6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</row>
    <row r="575">
      <c r="A575" s="23" t="s">
        <v>1284</v>
      </c>
      <c r="B575" s="24">
        <v>5.902280323426E12</v>
      </c>
      <c r="C575" s="9" t="s">
        <v>1285</v>
      </c>
      <c r="D575" s="15" t="s">
        <v>1283</v>
      </c>
      <c r="E575" s="16">
        <v>15.1</v>
      </c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</row>
    <row r="576">
      <c r="A576" s="23" t="s">
        <v>1286</v>
      </c>
      <c r="B576" s="24">
        <v>5.902280323433E12</v>
      </c>
      <c r="C576" s="9" t="s">
        <v>1287</v>
      </c>
      <c r="D576" s="15" t="s">
        <v>1283</v>
      </c>
      <c r="E576" s="16">
        <v>22.7</v>
      </c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</row>
    <row r="577">
      <c r="A577" s="49" t="s">
        <v>1288</v>
      </c>
      <c r="B577" s="50">
        <v>5.902280345831E12</v>
      </c>
      <c r="C577" s="9" t="s">
        <v>1289</v>
      </c>
      <c r="D577" s="15" t="s">
        <v>1283</v>
      </c>
      <c r="E577" s="16">
        <v>7.6</v>
      </c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</row>
    <row r="578">
      <c r="A578" s="49" t="s">
        <v>1290</v>
      </c>
      <c r="B578" s="50">
        <v>5.902280345817E12</v>
      </c>
      <c r="C578" s="9" t="s">
        <v>1291</v>
      </c>
      <c r="D578" s="15" t="s">
        <v>1283</v>
      </c>
      <c r="E578" s="16">
        <v>15.1</v>
      </c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</row>
    <row r="579">
      <c r="A579" s="49" t="s">
        <v>1292</v>
      </c>
      <c r="B579" s="50">
        <v>5.902280345824E12</v>
      </c>
      <c r="C579" s="9" t="s">
        <v>1293</v>
      </c>
      <c r="D579" s="15" t="s">
        <v>1283</v>
      </c>
      <c r="E579" s="16">
        <v>22.7</v>
      </c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</row>
    <row r="580">
      <c r="A580" s="23" t="s">
        <v>1294</v>
      </c>
      <c r="B580" s="24">
        <v>5.902280339717E12</v>
      </c>
      <c r="C580" s="9" t="s">
        <v>1295</v>
      </c>
      <c r="D580" s="15" t="s">
        <v>1283</v>
      </c>
      <c r="E580" s="16">
        <v>12.4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</row>
    <row r="581">
      <c r="A581" s="23" t="s">
        <v>1296</v>
      </c>
      <c r="B581" s="24">
        <v>5.90228033488E12</v>
      </c>
      <c r="C581" s="9" t="s">
        <v>1297</v>
      </c>
      <c r="D581" s="15" t="s">
        <v>1283</v>
      </c>
      <c r="E581" s="16">
        <v>24.8</v>
      </c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</row>
    <row r="582">
      <c r="A582" s="23" t="s">
        <v>1298</v>
      </c>
      <c r="B582" s="24">
        <v>5.902280334897E12</v>
      </c>
      <c r="C582" s="9" t="s">
        <v>1299</v>
      </c>
      <c r="D582" s="15" t="s">
        <v>1283</v>
      </c>
      <c r="E582" s="16">
        <v>37.1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</row>
    <row r="583">
      <c r="A583" s="53" t="s">
        <v>1300</v>
      </c>
      <c r="B583" s="60">
        <v>5.906660783619E12</v>
      </c>
      <c r="C583" s="9" t="s">
        <v>1301</v>
      </c>
      <c r="D583" s="15" t="s">
        <v>1302</v>
      </c>
      <c r="E583" s="16">
        <v>26.3</v>
      </c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</row>
    <row r="584">
      <c r="A584" s="53" t="s">
        <v>1303</v>
      </c>
      <c r="B584" s="60">
        <v>5.906660783633E12</v>
      </c>
      <c r="C584" s="9" t="s">
        <v>1304</v>
      </c>
      <c r="D584" s="15" t="s">
        <v>1302</v>
      </c>
      <c r="E584" s="16">
        <v>52.6</v>
      </c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</row>
    <row r="585">
      <c r="A585" s="53" t="s">
        <v>1305</v>
      </c>
      <c r="B585" s="60">
        <v>5.906660783657E12</v>
      </c>
      <c r="C585" s="9" t="s">
        <v>1306</v>
      </c>
      <c r="D585" s="15" t="s">
        <v>1302</v>
      </c>
      <c r="E585" s="16">
        <v>78.9</v>
      </c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</row>
    <row r="586">
      <c r="A586" s="53" t="s">
        <v>1307</v>
      </c>
      <c r="B586" s="60">
        <v>5.902280303664E12</v>
      </c>
      <c r="C586" s="9" t="s">
        <v>1308</v>
      </c>
      <c r="D586" s="15" t="s">
        <v>1309</v>
      </c>
      <c r="E586" s="16">
        <v>30.6</v>
      </c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</row>
    <row r="587">
      <c r="A587" s="53" t="s">
        <v>1310</v>
      </c>
      <c r="B587" s="60">
        <v>5.902280303671E12</v>
      </c>
      <c r="C587" s="9" t="s">
        <v>1311</v>
      </c>
      <c r="D587" s="15" t="s">
        <v>1309</v>
      </c>
      <c r="E587" s="16">
        <v>61.2</v>
      </c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</row>
    <row r="588">
      <c r="A588" s="53" t="s">
        <v>1312</v>
      </c>
      <c r="B588" s="60">
        <v>5.902280304043E12</v>
      </c>
      <c r="C588" s="9" t="s">
        <v>1313</v>
      </c>
      <c r="D588" s="15" t="s">
        <v>1309</v>
      </c>
      <c r="E588" s="16">
        <v>91.7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</row>
    <row r="589">
      <c r="A589" s="38" t="s">
        <v>1314</v>
      </c>
      <c r="B589" s="33">
        <v>5.902280354956E12</v>
      </c>
      <c r="C589" s="9" t="s">
        <v>1315</v>
      </c>
      <c r="D589" s="15" t="s">
        <v>1316</v>
      </c>
      <c r="E589" s="16">
        <v>4.0</v>
      </c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</row>
    <row r="590">
      <c r="A590" s="38" t="s">
        <v>1317</v>
      </c>
      <c r="B590" s="33">
        <v>5.902280354949E12</v>
      </c>
      <c r="C590" s="9" t="s">
        <v>1318</v>
      </c>
      <c r="D590" s="15" t="s">
        <v>1316</v>
      </c>
      <c r="E590" s="16">
        <v>8.0</v>
      </c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</row>
    <row r="591">
      <c r="A591" s="49" t="s">
        <v>1319</v>
      </c>
      <c r="B591" s="50">
        <v>5.902280310532E12</v>
      </c>
      <c r="C591" s="9" t="s">
        <v>1320</v>
      </c>
      <c r="D591" s="15" t="s">
        <v>1321</v>
      </c>
      <c r="E591" s="16">
        <v>20.7</v>
      </c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</row>
    <row r="592">
      <c r="A592" s="49" t="s">
        <v>1322</v>
      </c>
      <c r="B592" s="50">
        <v>5.902280310549E12</v>
      </c>
      <c r="C592" s="9" t="s">
        <v>1323</v>
      </c>
      <c r="D592" s="15" t="s">
        <v>1321</v>
      </c>
      <c r="E592" s="16">
        <v>41.5</v>
      </c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</row>
    <row r="593">
      <c r="A593" s="49" t="s">
        <v>1324</v>
      </c>
      <c r="B593" s="50">
        <v>5.902280310556E12</v>
      </c>
      <c r="C593" s="9" t="s">
        <v>1325</v>
      </c>
      <c r="D593" s="15" t="s">
        <v>1321</v>
      </c>
      <c r="E593" s="16">
        <v>62.2</v>
      </c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</row>
    <row r="594">
      <c r="A594" s="49" t="s">
        <v>1326</v>
      </c>
      <c r="B594" s="50">
        <v>5.902280315087E12</v>
      </c>
      <c r="C594" s="9" t="s">
        <v>1327</v>
      </c>
      <c r="D594" s="15" t="s">
        <v>1328</v>
      </c>
      <c r="E594" s="16">
        <v>31.6</v>
      </c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</row>
    <row r="595">
      <c r="A595" s="49" t="s">
        <v>1329</v>
      </c>
      <c r="B595" s="50">
        <v>5.902280312512E12</v>
      </c>
      <c r="C595" s="9" t="s">
        <v>1330</v>
      </c>
      <c r="D595" s="15" t="s">
        <v>1328</v>
      </c>
      <c r="E595" s="16">
        <v>63.1</v>
      </c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</row>
    <row r="596">
      <c r="A596" s="49" t="s">
        <v>1331</v>
      </c>
      <c r="B596" s="50">
        <v>5.902280318514E12</v>
      </c>
      <c r="C596" s="9" t="s">
        <v>1332</v>
      </c>
      <c r="D596" s="15" t="s">
        <v>1328</v>
      </c>
      <c r="E596" s="16">
        <v>94.7</v>
      </c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</row>
    <row r="597">
      <c r="A597" s="23" t="s">
        <v>1333</v>
      </c>
      <c r="B597" s="24">
        <v>5.902280321378E12</v>
      </c>
      <c r="C597" s="9" t="s">
        <v>1334</v>
      </c>
      <c r="D597" s="15" t="s">
        <v>1335</v>
      </c>
      <c r="E597" s="16">
        <v>21.5</v>
      </c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</row>
    <row r="598">
      <c r="A598" s="23" t="s">
        <v>1336</v>
      </c>
      <c r="B598" s="24">
        <v>5.902280321354E12</v>
      </c>
      <c r="C598" s="9" t="s">
        <v>1337</v>
      </c>
      <c r="D598" s="15" t="s">
        <v>1335</v>
      </c>
      <c r="E598" s="16">
        <v>43.1</v>
      </c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</row>
    <row r="599">
      <c r="A599" s="23" t="s">
        <v>1338</v>
      </c>
      <c r="B599" s="24">
        <v>5.902280321361E12</v>
      </c>
      <c r="C599" s="9" t="s">
        <v>1339</v>
      </c>
      <c r="D599" s="15" t="s">
        <v>1335</v>
      </c>
      <c r="E599" s="16">
        <v>64.6</v>
      </c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</row>
    <row r="600">
      <c r="A600" s="49" t="s">
        <v>1340</v>
      </c>
      <c r="B600" s="50">
        <v>5.902280310846E12</v>
      </c>
      <c r="C600" s="9" t="s">
        <v>1341</v>
      </c>
      <c r="D600" s="15" t="s">
        <v>1342</v>
      </c>
      <c r="E600" s="16">
        <v>25.0</v>
      </c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</row>
    <row r="601">
      <c r="A601" s="49" t="s">
        <v>1343</v>
      </c>
      <c r="B601" s="50">
        <v>5.902280308263E12</v>
      </c>
      <c r="C601" s="9" t="s">
        <v>1344</v>
      </c>
      <c r="D601" s="15" t="s">
        <v>1342</v>
      </c>
      <c r="E601" s="16">
        <v>50.0</v>
      </c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</row>
    <row r="602">
      <c r="A602" s="49" t="s">
        <v>1345</v>
      </c>
      <c r="B602" s="50">
        <v>5.902280310457E12</v>
      </c>
      <c r="C602" s="9" t="s">
        <v>1346</v>
      </c>
      <c r="D602" s="15" t="s">
        <v>1342</v>
      </c>
      <c r="E602" s="16">
        <v>75.0</v>
      </c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</row>
    <row r="603">
      <c r="A603" s="49" t="s">
        <v>1347</v>
      </c>
      <c r="B603" s="50">
        <v>5.902280351405E12</v>
      </c>
      <c r="C603" s="9" t="s">
        <v>1348</v>
      </c>
      <c r="D603" s="15" t="s">
        <v>1342</v>
      </c>
      <c r="E603" s="16">
        <v>249.9</v>
      </c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</row>
    <row r="604">
      <c r="A604" s="49" t="s">
        <v>1349</v>
      </c>
      <c r="B604" s="50">
        <v>5.902280310884E12</v>
      </c>
      <c r="C604" s="9" t="s">
        <v>1350</v>
      </c>
      <c r="D604" s="15" t="s">
        <v>1351</v>
      </c>
      <c r="E604" s="16">
        <v>16.1</v>
      </c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</row>
    <row r="605">
      <c r="A605" s="49" t="s">
        <v>1352</v>
      </c>
      <c r="B605" s="50">
        <v>5.902280310785E12</v>
      </c>
      <c r="C605" s="9" t="s">
        <v>1353</v>
      </c>
      <c r="D605" s="15" t="s">
        <v>1351</v>
      </c>
      <c r="E605" s="16">
        <v>32.1</v>
      </c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</row>
    <row r="606">
      <c r="A606" s="49" t="s">
        <v>1354</v>
      </c>
      <c r="B606" s="50">
        <v>5.902280310822E12</v>
      </c>
      <c r="C606" s="9" t="s">
        <v>1355</v>
      </c>
      <c r="D606" s="15" t="s">
        <v>1351</v>
      </c>
      <c r="E606" s="16">
        <v>48.2</v>
      </c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</row>
    <row r="607">
      <c r="A607" s="41" t="s">
        <v>1356</v>
      </c>
      <c r="B607" s="33">
        <v>5.90228035187E12</v>
      </c>
      <c r="C607" s="56" t="s">
        <v>1357</v>
      </c>
      <c r="D607" s="57" t="s">
        <v>1358</v>
      </c>
      <c r="E607" s="58">
        <v>5.0</v>
      </c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</row>
    <row r="608">
      <c r="A608" s="41" t="s">
        <v>1359</v>
      </c>
      <c r="B608" s="33">
        <v>5.902280351887E12</v>
      </c>
      <c r="C608" s="56" t="s">
        <v>1360</v>
      </c>
      <c r="D608" s="57" t="s">
        <v>1358</v>
      </c>
      <c r="E608" s="58">
        <v>10.0</v>
      </c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</row>
    <row r="609">
      <c r="A609" s="41" t="s">
        <v>1361</v>
      </c>
      <c r="B609" s="33">
        <v>5.902280351894E12</v>
      </c>
      <c r="C609" s="56" t="s">
        <v>1362</v>
      </c>
      <c r="D609" s="57" t="s">
        <v>1358</v>
      </c>
      <c r="E609" s="58">
        <v>15.0</v>
      </c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</row>
    <row r="610">
      <c r="A610" s="61" t="s">
        <v>1363</v>
      </c>
      <c r="B610" s="62">
        <v>5.902280304975E12</v>
      </c>
      <c r="C610" s="63" t="s">
        <v>1364</v>
      </c>
      <c r="D610" s="64" t="s">
        <v>1358</v>
      </c>
      <c r="E610" s="65">
        <v>5.0</v>
      </c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6"/>
      <c r="AS610" s="66"/>
      <c r="AT610" s="66"/>
      <c r="AU610" s="66"/>
      <c r="AV610" s="66"/>
      <c r="AW610" s="66"/>
      <c r="AX610" s="66"/>
      <c r="AY610" s="66"/>
      <c r="AZ610" s="66"/>
      <c r="BA610" s="66"/>
      <c r="BB610" s="66"/>
      <c r="BC610" s="66"/>
      <c r="BD610" s="66"/>
      <c r="BE610" s="66"/>
      <c r="BF610" s="66"/>
      <c r="BG610" s="66"/>
      <c r="BH610" s="66"/>
      <c r="BI610" s="66"/>
      <c r="BJ610" s="66"/>
      <c r="BK610" s="66"/>
      <c r="BL610" s="66"/>
      <c r="BM610" s="66"/>
      <c r="BN610" s="66"/>
      <c r="BO610" s="66"/>
      <c r="BP610" s="66"/>
      <c r="BQ610" s="66"/>
    </row>
    <row r="611">
      <c r="A611" s="67" t="s">
        <v>1365</v>
      </c>
      <c r="B611" s="62">
        <v>5.902280304968E12</v>
      </c>
      <c r="C611" s="63" t="s">
        <v>1366</v>
      </c>
      <c r="D611" s="64" t="s">
        <v>1358</v>
      </c>
      <c r="E611" s="65">
        <v>10.0</v>
      </c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  <c r="AS611" s="66"/>
      <c r="AT611" s="66"/>
      <c r="AU611" s="66"/>
      <c r="AV611" s="66"/>
      <c r="AW611" s="66"/>
      <c r="AX611" s="66"/>
      <c r="AY611" s="66"/>
      <c r="AZ611" s="66"/>
      <c r="BA611" s="66"/>
      <c r="BB611" s="66"/>
      <c r="BC611" s="66"/>
      <c r="BD611" s="66"/>
      <c r="BE611" s="66"/>
      <c r="BF611" s="66"/>
      <c r="BG611" s="66"/>
      <c r="BH611" s="66"/>
      <c r="BI611" s="66"/>
      <c r="BJ611" s="66"/>
      <c r="BK611" s="66"/>
      <c r="BL611" s="66"/>
      <c r="BM611" s="66"/>
      <c r="BN611" s="66"/>
      <c r="BO611" s="66"/>
      <c r="BP611" s="66"/>
      <c r="BQ611" s="66"/>
    </row>
    <row r="612">
      <c r="A612" s="67" t="s">
        <v>1367</v>
      </c>
      <c r="B612" s="62">
        <v>5.902280304982E12</v>
      </c>
      <c r="C612" s="63" t="s">
        <v>1368</v>
      </c>
      <c r="D612" s="64" t="s">
        <v>1358</v>
      </c>
      <c r="E612" s="65">
        <v>15.0</v>
      </c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66"/>
      <c r="AU612" s="66"/>
      <c r="AV612" s="66"/>
      <c r="AW612" s="66"/>
      <c r="AX612" s="66"/>
      <c r="AY612" s="66"/>
      <c r="AZ612" s="66"/>
      <c r="BA612" s="66"/>
      <c r="BB612" s="66"/>
      <c r="BC612" s="66"/>
      <c r="BD612" s="66"/>
      <c r="BE612" s="66"/>
      <c r="BF612" s="66"/>
      <c r="BG612" s="66"/>
      <c r="BH612" s="66"/>
      <c r="BI612" s="66"/>
      <c r="BJ612" s="66"/>
      <c r="BK612" s="66"/>
      <c r="BL612" s="66"/>
      <c r="BM612" s="66"/>
      <c r="BN612" s="66"/>
      <c r="BO612" s="66"/>
      <c r="BP612" s="66"/>
      <c r="BQ612" s="66"/>
    </row>
    <row r="613">
      <c r="A613" s="23" t="s">
        <v>1369</v>
      </c>
      <c r="B613" s="24">
        <v>5.902280314387E12</v>
      </c>
      <c r="C613" s="9" t="s">
        <v>1370</v>
      </c>
      <c r="D613" s="15" t="s">
        <v>1371</v>
      </c>
      <c r="E613" s="16">
        <v>10.8</v>
      </c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</row>
    <row r="614">
      <c r="A614" s="23" t="s">
        <v>1372</v>
      </c>
      <c r="B614" s="24">
        <v>5.902280307372E12</v>
      </c>
      <c r="C614" s="9" t="s">
        <v>1373</v>
      </c>
      <c r="D614" s="15" t="s">
        <v>1371</v>
      </c>
      <c r="E614" s="16">
        <v>21.5</v>
      </c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</row>
    <row r="615">
      <c r="A615" s="23" t="s">
        <v>1374</v>
      </c>
      <c r="B615" s="24">
        <v>5.902280314356E12</v>
      </c>
      <c r="C615" s="9" t="s">
        <v>1375</v>
      </c>
      <c r="D615" s="15" t="s">
        <v>1371</v>
      </c>
      <c r="E615" s="16">
        <v>32.3</v>
      </c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</row>
    <row r="616">
      <c r="A616" s="23" t="s">
        <v>1376</v>
      </c>
      <c r="B616" s="24">
        <v>5.90228031437E12</v>
      </c>
      <c r="C616" s="9" t="s">
        <v>1377</v>
      </c>
      <c r="D616" s="15" t="s">
        <v>1371</v>
      </c>
      <c r="E616" s="16">
        <v>10.8</v>
      </c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</row>
    <row r="617">
      <c r="A617" s="23" t="s">
        <v>1378</v>
      </c>
      <c r="B617" s="24">
        <v>5.902280307389E12</v>
      </c>
      <c r="C617" s="9" t="s">
        <v>1379</v>
      </c>
      <c r="D617" s="15" t="s">
        <v>1371</v>
      </c>
      <c r="E617" s="16">
        <v>21.5</v>
      </c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</row>
    <row r="618">
      <c r="A618" s="23" t="s">
        <v>1380</v>
      </c>
      <c r="B618" s="24">
        <v>5.902280314363E12</v>
      </c>
      <c r="C618" s="9" t="s">
        <v>1381</v>
      </c>
      <c r="D618" s="15" t="s">
        <v>1371</v>
      </c>
      <c r="E618" s="16">
        <v>32.3</v>
      </c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</row>
    <row r="619">
      <c r="A619" s="23" t="s">
        <v>1382</v>
      </c>
      <c r="B619" s="24">
        <v>5.902280323549E12</v>
      </c>
      <c r="C619" s="9" t="s">
        <v>1383</v>
      </c>
      <c r="D619" s="15" t="s">
        <v>1371</v>
      </c>
      <c r="E619" s="16">
        <v>11.1</v>
      </c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</row>
    <row r="620">
      <c r="A620" s="23" t="s">
        <v>1384</v>
      </c>
      <c r="B620" s="24">
        <v>5.902280322894E12</v>
      </c>
      <c r="C620" s="9" t="s">
        <v>1385</v>
      </c>
      <c r="D620" s="15" t="s">
        <v>1371</v>
      </c>
      <c r="E620" s="16">
        <v>22.2</v>
      </c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</row>
    <row r="621">
      <c r="A621" s="23" t="s">
        <v>1386</v>
      </c>
      <c r="B621" s="24">
        <v>5.9022803229E12</v>
      </c>
      <c r="C621" s="9" t="s">
        <v>1387</v>
      </c>
      <c r="D621" s="15" t="s">
        <v>1371</v>
      </c>
      <c r="E621" s="16">
        <v>33.3</v>
      </c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</row>
    <row r="622">
      <c r="A622" s="23" t="s">
        <v>1388</v>
      </c>
      <c r="B622" s="24">
        <v>5.902280323556E12</v>
      </c>
      <c r="C622" s="9" t="s">
        <v>1389</v>
      </c>
      <c r="D622" s="15" t="s">
        <v>1371</v>
      </c>
      <c r="E622" s="16">
        <v>11.1</v>
      </c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</row>
    <row r="623">
      <c r="A623" s="23" t="s">
        <v>1390</v>
      </c>
      <c r="B623" s="24">
        <v>5.902280322917E12</v>
      </c>
      <c r="C623" s="9" t="s">
        <v>1391</v>
      </c>
      <c r="D623" s="15" t="s">
        <v>1371</v>
      </c>
      <c r="E623" s="16">
        <v>22.2</v>
      </c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</row>
    <row r="624">
      <c r="A624" s="23" t="s">
        <v>1392</v>
      </c>
      <c r="B624" s="24">
        <v>5.902280322887E12</v>
      </c>
      <c r="C624" s="9" t="s">
        <v>1393</v>
      </c>
      <c r="D624" s="15" t="s">
        <v>1371</v>
      </c>
      <c r="E624" s="16">
        <v>33.3</v>
      </c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</row>
    <row r="625">
      <c r="A625" s="68" t="s">
        <v>1394</v>
      </c>
      <c r="B625" s="26">
        <v>5.906660781127E12</v>
      </c>
      <c r="C625" s="9" t="s">
        <v>1395</v>
      </c>
      <c r="D625" s="15" t="s">
        <v>1371</v>
      </c>
      <c r="E625" s="16">
        <v>12.1</v>
      </c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</row>
    <row r="626">
      <c r="A626" s="68" t="s">
        <v>1396</v>
      </c>
      <c r="B626" s="26">
        <v>5.906660780441E12</v>
      </c>
      <c r="C626" s="9" t="s">
        <v>1397</v>
      </c>
      <c r="D626" s="15" t="s">
        <v>1371</v>
      </c>
      <c r="E626" s="16">
        <v>24.1</v>
      </c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</row>
    <row r="627">
      <c r="A627" s="68" t="s">
        <v>1398</v>
      </c>
      <c r="B627" s="26">
        <v>5.90666078757E12</v>
      </c>
      <c r="C627" s="9" t="s">
        <v>1399</v>
      </c>
      <c r="D627" s="15" t="s">
        <v>1371</v>
      </c>
      <c r="E627" s="16">
        <v>36.2</v>
      </c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</row>
    <row r="628">
      <c r="A628" s="25" t="s">
        <v>1400</v>
      </c>
      <c r="B628" s="26">
        <v>5.906660781349E12</v>
      </c>
      <c r="C628" s="9" t="s">
        <v>1401</v>
      </c>
      <c r="D628" s="15" t="s">
        <v>1371</v>
      </c>
      <c r="E628" s="16">
        <v>12.1</v>
      </c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</row>
    <row r="629">
      <c r="A629" s="25" t="s">
        <v>1402</v>
      </c>
      <c r="B629" s="26">
        <v>5.906660780427E12</v>
      </c>
      <c r="C629" s="9" t="s">
        <v>1403</v>
      </c>
      <c r="D629" s="15" t="s">
        <v>1371</v>
      </c>
      <c r="E629" s="16">
        <v>24.1</v>
      </c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</row>
    <row r="630">
      <c r="A630" s="25" t="s">
        <v>1404</v>
      </c>
      <c r="B630" s="26">
        <v>5.90666078393E12</v>
      </c>
      <c r="C630" s="9" t="s">
        <v>1405</v>
      </c>
      <c r="D630" s="15" t="s">
        <v>1371</v>
      </c>
      <c r="E630" s="16">
        <v>36.2</v>
      </c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</row>
    <row r="631">
      <c r="A631" s="53" t="s">
        <v>1406</v>
      </c>
      <c r="B631" s="60">
        <v>5.90228031044E12</v>
      </c>
      <c r="C631" s="9" t="s">
        <v>1407</v>
      </c>
      <c r="D631" s="15" t="s">
        <v>1371</v>
      </c>
      <c r="E631" s="16">
        <v>17.2</v>
      </c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</row>
    <row r="632">
      <c r="A632" s="53" t="s">
        <v>1408</v>
      </c>
      <c r="B632" s="60">
        <v>5.902280309574E12</v>
      </c>
      <c r="C632" s="9" t="s">
        <v>1409</v>
      </c>
      <c r="D632" s="15" t="s">
        <v>1371</v>
      </c>
      <c r="E632" s="16">
        <v>34.4</v>
      </c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</row>
    <row r="633">
      <c r="A633" s="53" t="s">
        <v>1410</v>
      </c>
      <c r="B633" s="60">
        <v>5.902280309581E12</v>
      </c>
      <c r="C633" s="9" t="s">
        <v>1411</v>
      </c>
      <c r="D633" s="15" t="s">
        <v>1371</v>
      </c>
      <c r="E633" s="16">
        <v>51.6</v>
      </c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</row>
    <row r="634">
      <c r="A634" s="53" t="s">
        <v>1412</v>
      </c>
      <c r="B634" s="60">
        <v>5.902280318736E12</v>
      </c>
      <c r="C634" s="9" t="s">
        <v>1413</v>
      </c>
      <c r="D634" s="15" t="s">
        <v>1371</v>
      </c>
      <c r="E634" s="16">
        <v>103.2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</row>
    <row r="635">
      <c r="A635" s="53" t="s">
        <v>1414</v>
      </c>
      <c r="B635" s="60">
        <v>5.902280320258E12</v>
      </c>
      <c r="C635" s="9" t="s">
        <v>1415</v>
      </c>
      <c r="D635" s="15" t="s">
        <v>1371</v>
      </c>
      <c r="E635" s="16">
        <v>172.0</v>
      </c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</row>
    <row r="636">
      <c r="A636" s="53" t="s">
        <v>1416</v>
      </c>
      <c r="B636" s="60">
        <v>5.902280319542E12</v>
      </c>
      <c r="C636" s="9" t="s">
        <v>1417</v>
      </c>
      <c r="D636" s="15" t="s">
        <v>1371</v>
      </c>
      <c r="E636" s="16">
        <v>21.7</v>
      </c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</row>
    <row r="637">
      <c r="A637" s="53" t="s">
        <v>1418</v>
      </c>
      <c r="B637" s="60">
        <v>5.902280318774E12</v>
      </c>
      <c r="C637" s="9" t="s">
        <v>1419</v>
      </c>
      <c r="D637" s="15" t="s">
        <v>1371</v>
      </c>
      <c r="E637" s="16">
        <v>43.4</v>
      </c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</row>
    <row r="638">
      <c r="A638" s="53" t="s">
        <v>1420</v>
      </c>
      <c r="B638" s="60">
        <v>5.902280318767E12</v>
      </c>
      <c r="C638" s="9" t="s">
        <v>1421</v>
      </c>
      <c r="D638" s="15" t="s">
        <v>1371</v>
      </c>
      <c r="E638" s="16">
        <v>65.1</v>
      </c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</row>
    <row r="639">
      <c r="A639" s="45" t="s">
        <v>1422</v>
      </c>
      <c r="B639" s="46">
        <v>5.902280310921E12</v>
      </c>
      <c r="C639" s="9" t="s">
        <v>1423</v>
      </c>
      <c r="D639" s="15" t="s">
        <v>1424</v>
      </c>
      <c r="E639" s="16">
        <v>13.9</v>
      </c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</row>
    <row r="640">
      <c r="A640" s="45" t="s">
        <v>1425</v>
      </c>
      <c r="B640" s="46">
        <v>5.902280310525E12</v>
      </c>
      <c r="C640" s="9" t="s">
        <v>1426</v>
      </c>
      <c r="D640" s="15" t="s">
        <v>1424</v>
      </c>
      <c r="E640" s="16">
        <v>27.7</v>
      </c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</row>
    <row r="641">
      <c r="A641" s="45" t="s">
        <v>1427</v>
      </c>
      <c r="B641" s="46">
        <v>5.902280310815E12</v>
      </c>
      <c r="C641" s="9" t="s">
        <v>1428</v>
      </c>
      <c r="D641" s="15" t="s">
        <v>1424</v>
      </c>
      <c r="E641" s="16">
        <v>41.6</v>
      </c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</row>
    <row r="642">
      <c r="A642" s="49" t="s">
        <v>1429</v>
      </c>
      <c r="B642" s="24">
        <v>5.902280338673E12</v>
      </c>
      <c r="C642" s="9" t="s">
        <v>1430</v>
      </c>
      <c r="D642" s="15" t="s">
        <v>1424</v>
      </c>
      <c r="E642" s="16">
        <v>13.9</v>
      </c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</row>
    <row r="643">
      <c r="A643" s="49" t="s">
        <v>1431</v>
      </c>
      <c r="B643" s="24">
        <v>5.902280338659E12</v>
      </c>
      <c r="C643" s="9" t="s">
        <v>1432</v>
      </c>
      <c r="D643" s="15" t="s">
        <v>1424</v>
      </c>
      <c r="E643" s="16">
        <v>27.7</v>
      </c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</row>
    <row r="644">
      <c r="A644" s="49" t="s">
        <v>1433</v>
      </c>
      <c r="B644" s="24">
        <v>5.902280338666E12</v>
      </c>
      <c r="C644" s="9" t="s">
        <v>1434</v>
      </c>
      <c r="D644" s="15" t="s">
        <v>1424</v>
      </c>
      <c r="E644" s="16">
        <v>41.6</v>
      </c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</row>
    <row r="645">
      <c r="A645" s="23" t="s">
        <v>1435</v>
      </c>
      <c r="B645" s="24">
        <v>5.902280323563E12</v>
      </c>
      <c r="C645" s="9" t="s">
        <v>1436</v>
      </c>
      <c r="D645" s="15" t="s">
        <v>1437</v>
      </c>
      <c r="E645" s="16">
        <v>11.9</v>
      </c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</row>
    <row r="646">
      <c r="A646" s="23" t="s">
        <v>1438</v>
      </c>
      <c r="B646" s="24">
        <v>5.902280322924E12</v>
      </c>
      <c r="C646" s="9" t="s">
        <v>1439</v>
      </c>
      <c r="D646" s="15" t="s">
        <v>1437</v>
      </c>
      <c r="E646" s="16">
        <v>23.8</v>
      </c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</row>
    <row r="647">
      <c r="A647" s="23" t="s">
        <v>1440</v>
      </c>
      <c r="B647" s="24">
        <v>5.902280322931E12</v>
      </c>
      <c r="C647" s="9" t="s">
        <v>1441</v>
      </c>
      <c r="D647" s="15" t="s">
        <v>1437</v>
      </c>
      <c r="E647" s="16">
        <v>35.7</v>
      </c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</row>
    <row r="648">
      <c r="A648" s="23" t="s">
        <v>1442</v>
      </c>
      <c r="B648" s="24">
        <v>5.90228032357E12</v>
      </c>
      <c r="C648" s="9" t="s">
        <v>1443</v>
      </c>
      <c r="D648" s="15" t="s">
        <v>1437</v>
      </c>
      <c r="E648" s="16">
        <v>11.9</v>
      </c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</row>
    <row r="649">
      <c r="A649" s="23" t="s">
        <v>1444</v>
      </c>
      <c r="B649" s="24">
        <v>5.902280322948E12</v>
      </c>
      <c r="C649" s="9" t="s">
        <v>1445</v>
      </c>
      <c r="D649" s="15" t="s">
        <v>1437</v>
      </c>
      <c r="E649" s="16">
        <v>23.8</v>
      </c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</row>
    <row r="650">
      <c r="A650" s="23" t="s">
        <v>1446</v>
      </c>
      <c r="B650" s="24">
        <v>5.902280322955E12</v>
      </c>
      <c r="C650" s="9" t="s">
        <v>1447</v>
      </c>
      <c r="D650" s="15" t="s">
        <v>1437</v>
      </c>
      <c r="E650" s="16">
        <v>35.7</v>
      </c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</row>
    <row r="651">
      <c r="A651" s="23" t="s">
        <v>1448</v>
      </c>
      <c r="B651" s="24">
        <v>5.902280311386E12</v>
      </c>
      <c r="C651" s="9" t="s">
        <v>1449</v>
      </c>
      <c r="D651" s="15" t="s">
        <v>1437</v>
      </c>
      <c r="E651" s="16">
        <v>10.8</v>
      </c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</row>
    <row r="652">
      <c r="A652" s="23" t="s">
        <v>1450</v>
      </c>
      <c r="B652" s="24">
        <v>5.902280310662E12</v>
      </c>
      <c r="C652" s="9" t="s">
        <v>1451</v>
      </c>
      <c r="D652" s="15" t="s">
        <v>1437</v>
      </c>
      <c r="E652" s="16">
        <v>21.5</v>
      </c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</row>
    <row r="653">
      <c r="A653" s="23" t="s">
        <v>1452</v>
      </c>
      <c r="B653" s="24">
        <v>5.902280311393E12</v>
      </c>
      <c r="C653" s="9" t="s">
        <v>1453</v>
      </c>
      <c r="D653" s="15" t="s">
        <v>1437</v>
      </c>
      <c r="E653" s="16">
        <v>32.3</v>
      </c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</row>
    <row r="654">
      <c r="A654" s="23" t="s">
        <v>1454</v>
      </c>
      <c r="B654" s="24">
        <v>5.902280311379E12</v>
      </c>
      <c r="C654" s="9" t="s">
        <v>1455</v>
      </c>
      <c r="D654" s="15" t="s">
        <v>1437</v>
      </c>
      <c r="E654" s="16">
        <v>7.0</v>
      </c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</row>
    <row r="655">
      <c r="A655" s="23" t="s">
        <v>1456</v>
      </c>
      <c r="B655" s="24">
        <v>5.902280310679E12</v>
      </c>
      <c r="C655" s="9" t="s">
        <v>1457</v>
      </c>
      <c r="D655" s="15" t="s">
        <v>1437</v>
      </c>
      <c r="E655" s="16">
        <v>14.0</v>
      </c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</row>
    <row r="656">
      <c r="A656" s="23" t="s">
        <v>1458</v>
      </c>
      <c r="B656" s="24">
        <v>5.902280311362E12</v>
      </c>
      <c r="C656" s="9" t="s">
        <v>1459</v>
      </c>
      <c r="D656" s="15" t="s">
        <v>1437</v>
      </c>
      <c r="E656" s="16">
        <v>21.0</v>
      </c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</row>
    <row r="657">
      <c r="A657" s="23" t="s">
        <v>1460</v>
      </c>
      <c r="B657" s="24">
        <v>5.90666078348E12</v>
      </c>
      <c r="C657" s="9" t="s">
        <v>1461</v>
      </c>
      <c r="D657" s="15" t="s">
        <v>1437</v>
      </c>
      <c r="E657" s="16">
        <v>12.1</v>
      </c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</row>
    <row r="658">
      <c r="A658" s="23" t="s">
        <v>1462</v>
      </c>
      <c r="B658" s="24">
        <v>5.906660783497E12</v>
      </c>
      <c r="C658" s="9" t="s">
        <v>1463</v>
      </c>
      <c r="D658" s="15" t="s">
        <v>1437</v>
      </c>
      <c r="E658" s="16">
        <v>24.1</v>
      </c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</row>
    <row r="659">
      <c r="A659" s="23" t="s">
        <v>1464</v>
      </c>
      <c r="B659" s="24">
        <v>5.906660783503E12</v>
      </c>
      <c r="C659" s="9" t="s">
        <v>1465</v>
      </c>
      <c r="D659" s="15" t="s">
        <v>1437</v>
      </c>
      <c r="E659" s="16">
        <v>36.2</v>
      </c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</row>
    <row r="660">
      <c r="A660" s="23" t="s">
        <v>1466</v>
      </c>
      <c r="B660" s="24">
        <v>5.906660783688E12</v>
      </c>
      <c r="C660" s="9" t="s">
        <v>1467</v>
      </c>
      <c r="D660" s="15" t="s">
        <v>1437</v>
      </c>
      <c r="E660" s="16">
        <v>12.1</v>
      </c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</row>
    <row r="661">
      <c r="A661" s="23" t="s">
        <v>1468</v>
      </c>
      <c r="B661" s="24">
        <v>5.906660783701E12</v>
      </c>
      <c r="C661" s="9" t="s">
        <v>1469</v>
      </c>
      <c r="D661" s="15" t="s">
        <v>1437</v>
      </c>
      <c r="E661" s="16">
        <v>24.1</v>
      </c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</row>
    <row r="662">
      <c r="A662" s="23" t="s">
        <v>1470</v>
      </c>
      <c r="B662" s="24">
        <v>5.906660783725E12</v>
      </c>
      <c r="C662" s="9" t="s">
        <v>1471</v>
      </c>
      <c r="D662" s="15" t="s">
        <v>1437</v>
      </c>
      <c r="E662" s="16">
        <v>36.2</v>
      </c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</row>
    <row r="663">
      <c r="A663" s="23" t="s">
        <v>1472</v>
      </c>
      <c r="B663" s="24">
        <v>5.902280303633E12</v>
      </c>
      <c r="C663" s="9" t="s">
        <v>1473</v>
      </c>
      <c r="D663" s="15" t="s">
        <v>1474</v>
      </c>
      <c r="E663" s="16">
        <v>40.0</v>
      </c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</row>
    <row r="664">
      <c r="A664" s="23" t="s">
        <v>1475</v>
      </c>
      <c r="B664" s="24">
        <v>5.90666078872E12</v>
      </c>
      <c r="C664" s="9" t="s">
        <v>1476</v>
      </c>
      <c r="D664" s="15" t="s">
        <v>1474</v>
      </c>
      <c r="E664" s="16">
        <v>80.0</v>
      </c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</row>
    <row r="665">
      <c r="A665" s="23" t="s">
        <v>1477</v>
      </c>
      <c r="B665" s="24">
        <v>5.906660789963E12</v>
      </c>
      <c r="C665" s="9" t="s">
        <v>1478</v>
      </c>
      <c r="D665" s="15" t="s">
        <v>1474</v>
      </c>
      <c r="E665" s="16">
        <v>120.0</v>
      </c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</row>
    <row r="666">
      <c r="A666" s="23" t="s">
        <v>1479</v>
      </c>
      <c r="B666" s="24">
        <v>5.90228030364E12</v>
      </c>
      <c r="C666" s="9" t="s">
        <v>1480</v>
      </c>
      <c r="D666" s="15" t="s">
        <v>1474</v>
      </c>
      <c r="E666" s="16">
        <v>30.1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</row>
    <row r="667">
      <c r="A667" s="23" t="s">
        <v>1481</v>
      </c>
      <c r="B667" s="24">
        <v>5.90666078869E12</v>
      </c>
      <c r="C667" s="9" t="s">
        <v>1482</v>
      </c>
      <c r="D667" s="15" t="s">
        <v>1474</v>
      </c>
      <c r="E667" s="16">
        <v>60.2</v>
      </c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</row>
    <row r="668">
      <c r="A668" s="23" t="s">
        <v>1483</v>
      </c>
      <c r="B668" s="24">
        <v>5.906660788706E12</v>
      </c>
      <c r="C668" s="9" t="s">
        <v>1484</v>
      </c>
      <c r="D668" s="15" t="s">
        <v>1474</v>
      </c>
      <c r="E668" s="16">
        <v>90.3</v>
      </c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</row>
    <row r="669">
      <c r="A669" s="23" t="s">
        <v>1485</v>
      </c>
      <c r="B669" s="24">
        <v>5.902280303657E12</v>
      </c>
      <c r="C669" s="9" t="s">
        <v>1486</v>
      </c>
      <c r="D669" s="15" t="s">
        <v>1474</v>
      </c>
      <c r="E669" s="16">
        <v>26.4</v>
      </c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</row>
    <row r="670">
      <c r="A670" s="23" t="s">
        <v>1487</v>
      </c>
      <c r="B670" s="24">
        <v>5.906660788676E12</v>
      </c>
      <c r="C670" s="9" t="s">
        <v>1488</v>
      </c>
      <c r="D670" s="15" t="s">
        <v>1474</v>
      </c>
      <c r="E670" s="16">
        <v>52.7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</row>
    <row r="671">
      <c r="A671" s="23" t="s">
        <v>1489</v>
      </c>
      <c r="B671" s="24">
        <v>5.906660788683E12</v>
      </c>
      <c r="C671" s="9" t="s">
        <v>1490</v>
      </c>
      <c r="D671" s="15" t="s">
        <v>1474</v>
      </c>
      <c r="E671" s="16">
        <v>79.1</v>
      </c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</row>
    <row r="672">
      <c r="A672" s="53" t="s">
        <v>1491</v>
      </c>
      <c r="B672" s="60">
        <v>5.906660789352E12</v>
      </c>
      <c r="C672" s="9" t="s">
        <v>1492</v>
      </c>
      <c r="D672" s="15" t="s">
        <v>1493</v>
      </c>
      <c r="E672" s="16">
        <v>30.8</v>
      </c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</row>
    <row r="673">
      <c r="A673" s="53" t="s">
        <v>1494</v>
      </c>
      <c r="B673" s="60">
        <v>5.906660787297E12</v>
      </c>
      <c r="C673" s="9" t="s">
        <v>1495</v>
      </c>
      <c r="D673" s="15" t="s">
        <v>1493</v>
      </c>
      <c r="E673" s="16">
        <v>61.5</v>
      </c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</row>
    <row r="674">
      <c r="A674" s="53" t="s">
        <v>1496</v>
      </c>
      <c r="B674" s="60">
        <v>5.902280303602E12</v>
      </c>
      <c r="C674" s="9" t="s">
        <v>1497</v>
      </c>
      <c r="D674" s="15" t="s">
        <v>1493</v>
      </c>
      <c r="E674" s="16">
        <v>92.3</v>
      </c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</row>
    <row r="675">
      <c r="A675" s="53" t="s">
        <v>1498</v>
      </c>
      <c r="B675" s="60">
        <v>5.902280355267E12</v>
      </c>
      <c r="C675" s="9" t="s">
        <v>1499</v>
      </c>
      <c r="D675" s="15" t="s">
        <v>1493</v>
      </c>
      <c r="E675" s="16">
        <v>35.0</v>
      </c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</row>
    <row r="676">
      <c r="A676" s="53" t="s">
        <v>1500</v>
      </c>
      <c r="B676" s="60">
        <v>5.90228035525E12</v>
      </c>
      <c r="C676" s="9" t="s">
        <v>1501</v>
      </c>
      <c r="D676" s="15" t="s">
        <v>1493</v>
      </c>
      <c r="E676" s="16">
        <v>70.0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</row>
    <row r="677">
      <c r="A677" s="53" t="s">
        <v>1502</v>
      </c>
      <c r="B677" s="60">
        <v>5.902280355274E12</v>
      </c>
      <c r="C677" s="9" t="s">
        <v>1503</v>
      </c>
      <c r="D677" s="15" t="s">
        <v>1493</v>
      </c>
      <c r="E677" s="16">
        <v>105.0</v>
      </c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</row>
    <row r="678">
      <c r="A678" s="53" t="s">
        <v>1504</v>
      </c>
      <c r="B678" s="60">
        <v>5.902280350163E12</v>
      </c>
      <c r="C678" s="9" t="s">
        <v>1505</v>
      </c>
      <c r="D678" s="15" t="s">
        <v>1506</v>
      </c>
      <c r="E678" s="16">
        <v>29.3</v>
      </c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</row>
    <row r="679">
      <c r="A679" s="53" t="s">
        <v>1507</v>
      </c>
      <c r="B679" s="60">
        <v>5.902280340607E12</v>
      </c>
      <c r="C679" s="9" t="s">
        <v>1508</v>
      </c>
      <c r="D679" s="15" t="s">
        <v>1506</v>
      </c>
      <c r="E679" s="16">
        <v>58.5</v>
      </c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</row>
    <row r="680">
      <c r="A680" s="53" t="s">
        <v>1509</v>
      </c>
      <c r="B680" s="60">
        <v>5.902280340614E12</v>
      </c>
      <c r="C680" s="9" t="s">
        <v>1510</v>
      </c>
      <c r="D680" s="15" t="s">
        <v>1506</v>
      </c>
      <c r="E680" s="16">
        <v>87.8</v>
      </c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</row>
    <row r="681">
      <c r="A681" s="53" t="s">
        <v>1511</v>
      </c>
      <c r="B681" s="60">
        <v>5.902280345572E12</v>
      </c>
      <c r="C681" s="9" t="s">
        <v>1512</v>
      </c>
      <c r="D681" s="15" t="s">
        <v>1493</v>
      </c>
      <c r="E681" s="16">
        <v>32.3</v>
      </c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</row>
    <row r="682">
      <c r="A682" s="53" t="s">
        <v>1513</v>
      </c>
      <c r="B682" s="60">
        <v>5.902280340621E12</v>
      </c>
      <c r="C682" s="9" t="s">
        <v>1514</v>
      </c>
      <c r="D682" s="15" t="s">
        <v>1493</v>
      </c>
      <c r="E682" s="16">
        <v>64.5</v>
      </c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</row>
    <row r="683">
      <c r="A683" s="53" t="s">
        <v>1515</v>
      </c>
      <c r="B683" s="60">
        <v>5.902280340638E12</v>
      </c>
      <c r="C683" s="9" t="s">
        <v>1516</v>
      </c>
      <c r="D683" s="15" t="s">
        <v>1493</v>
      </c>
      <c r="E683" s="16">
        <v>96.8</v>
      </c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</row>
    <row r="684">
      <c r="A684" s="53" t="s">
        <v>1517</v>
      </c>
      <c r="B684" s="60">
        <v>5.902280355243E12</v>
      </c>
      <c r="C684" s="9" t="s">
        <v>1518</v>
      </c>
      <c r="D684" s="15" t="s">
        <v>1493</v>
      </c>
      <c r="E684" s="16">
        <v>35.0</v>
      </c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</row>
    <row r="685">
      <c r="A685" s="53" t="s">
        <v>1519</v>
      </c>
      <c r="B685" s="60">
        <v>5.902280355229E12</v>
      </c>
      <c r="C685" s="9" t="s">
        <v>1520</v>
      </c>
      <c r="D685" s="15" t="s">
        <v>1493</v>
      </c>
      <c r="E685" s="16">
        <v>70.0</v>
      </c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</row>
    <row r="686">
      <c r="A686" s="53" t="s">
        <v>1521</v>
      </c>
      <c r="B686" s="60">
        <v>5.902280355236E12</v>
      </c>
      <c r="C686" s="9" t="s">
        <v>1522</v>
      </c>
      <c r="D686" s="15" t="s">
        <v>1493</v>
      </c>
      <c r="E686" s="16">
        <v>105.0</v>
      </c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</row>
    <row r="687">
      <c r="A687" s="53" t="s">
        <v>1523</v>
      </c>
      <c r="B687" s="60">
        <v>5.902280349075E12</v>
      </c>
      <c r="C687" s="9" t="s">
        <v>1524</v>
      </c>
      <c r="D687" s="15" t="s">
        <v>1525</v>
      </c>
      <c r="E687" s="16">
        <v>34.0</v>
      </c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</row>
    <row r="688">
      <c r="A688" s="53" t="s">
        <v>1526</v>
      </c>
      <c r="B688" s="60">
        <v>5.902280340652E12</v>
      </c>
      <c r="C688" s="9" t="s">
        <v>1527</v>
      </c>
      <c r="D688" s="15" t="s">
        <v>1525</v>
      </c>
      <c r="E688" s="16">
        <v>68.0</v>
      </c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</row>
    <row r="689">
      <c r="A689" s="53" t="s">
        <v>1528</v>
      </c>
      <c r="B689" s="60">
        <v>5.902280340669E12</v>
      </c>
      <c r="C689" s="9" t="s">
        <v>1529</v>
      </c>
      <c r="D689" s="15" t="s">
        <v>1525</v>
      </c>
      <c r="E689" s="16">
        <v>101.9</v>
      </c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</row>
    <row r="690">
      <c r="A690" s="53" t="s">
        <v>1530</v>
      </c>
      <c r="B690" s="60">
        <v>5.902280345565E12</v>
      </c>
      <c r="C690" s="9" t="s">
        <v>1531</v>
      </c>
      <c r="D690" s="15" t="s">
        <v>1493</v>
      </c>
      <c r="E690" s="16">
        <v>37.4</v>
      </c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</row>
    <row r="691">
      <c r="A691" s="53" t="s">
        <v>1532</v>
      </c>
      <c r="B691" s="60">
        <v>5.902280340676E12</v>
      </c>
      <c r="C691" s="9" t="s">
        <v>1533</v>
      </c>
      <c r="D691" s="15" t="s">
        <v>1493</v>
      </c>
      <c r="E691" s="16">
        <v>74.8</v>
      </c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</row>
    <row r="692">
      <c r="A692" s="53" t="s">
        <v>1534</v>
      </c>
      <c r="B692" s="60">
        <v>5.902280340645E12</v>
      </c>
      <c r="C692" s="9" t="s">
        <v>1535</v>
      </c>
      <c r="D692" s="15" t="s">
        <v>1493</v>
      </c>
      <c r="E692" s="16">
        <v>112.2</v>
      </c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</row>
    <row r="693">
      <c r="A693" s="53" t="s">
        <v>1536</v>
      </c>
      <c r="B693" s="60">
        <v>5.906660787204E12</v>
      </c>
      <c r="C693" s="9" t="s">
        <v>1537</v>
      </c>
      <c r="D693" s="15" t="s">
        <v>1538</v>
      </c>
      <c r="E693" s="16">
        <v>18.6</v>
      </c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</row>
    <row r="694">
      <c r="A694" s="53" t="s">
        <v>1539</v>
      </c>
      <c r="B694" s="60">
        <v>5.906660787198E12</v>
      </c>
      <c r="C694" s="9" t="s">
        <v>1540</v>
      </c>
      <c r="D694" s="15" t="s">
        <v>1538</v>
      </c>
      <c r="E694" s="16">
        <v>37.2</v>
      </c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</row>
    <row r="695">
      <c r="A695" s="53" t="s">
        <v>1541</v>
      </c>
      <c r="B695" s="60">
        <v>5.906660787228E12</v>
      </c>
      <c r="C695" s="9" t="s">
        <v>1542</v>
      </c>
      <c r="D695" s="15" t="s">
        <v>1538</v>
      </c>
      <c r="E695" s="16">
        <v>55.8</v>
      </c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</row>
    <row r="696">
      <c r="A696" s="53" t="s">
        <v>1543</v>
      </c>
      <c r="B696" s="60">
        <v>5.906660787211E12</v>
      </c>
      <c r="C696" s="9" t="s">
        <v>1544</v>
      </c>
      <c r="D696" s="15" t="s">
        <v>1538</v>
      </c>
      <c r="E696" s="16">
        <v>18.6</v>
      </c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</row>
    <row r="697">
      <c r="A697" s="53" t="s">
        <v>1545</v>
      </c>
      <c r="B697" s="60">
        <v>5.906660787181E12</v>
      </c>
      <c r="C697" s="9" t="s">
        <v>1546</v>
      </c>
      <c r="D697" s="15" t="s">
        <v>1538</v>
      </c>
      <c r="E697" s="16">
        <v>37.2</v>
      </c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</row>
    <row r="698">
      <c r="A698" s="53" t="s">
        <v>1547</v>
      </c>
      <c r="B698" s="60">
        <v>5.906660787235E12</v>
      </c>
      <c r="C698" s="9" t="s">
        <v>1548</v>
      </c>
      <c r="D698" s="15" t="s">
        <v>1538</v>
      </c>
      <c r="E698" s="16">
        <v>55.8</v>
      </c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</row>
    <row r="699">
      <c r="A699" s="36" t="s">
        <v>1549</v>
      </c>
      <c r="B699" s="37">
        <v>5.902280317852E12</v>
      </c>
      <c r="C699" s="9" t="s">
        <v>1550</v>
      </c>
      <c r="D699" s="15" t="s">
        <v>1538</v>
      </c>
      <c r="E699" s="16">
        <v>26.0</v>
      </c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</row>
    <row r="700">
      <c r="A700" s="36" t="s">
        <v>1551</v>
      </c>
      <c r="B700" s="37">
        <v>5.902280312529E12</v>
      </c>
      <c r="C700" s="9" t="s">
        <v>1552</v>
      </c>
      <c r="D700" s="15" t="s">
        <v>1538</v>
      </c>
      <c r="E700" s="16">
        <v>52.0</v>
      </c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</row>
    <row r="701">
      <c r="A701" s="36" t="s">
        <v>1553</v>
      </c>
      <c r="B701" s="37">
        <v>5.902280318484E12</v>
      </c>
      <c r="C701" s="9" t="s">
        <v>1554</v>
      </c>
      <c r="D701" s="15" t="s">
        <v>1538</v>
      </c>
      <c r="E701" s="16">
        <v>78.0</v>
      </c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</row>
    <row r="702">
      <c r="A702" s="36" t="s">
        <v>1555</v>
      </c>
      <c r="B702" s="37">
        <v>5.90228033248E12</v>
      </c>
      <c r="C702" s="9" t="s">
        <v>1556</v>
      </c>
      <c r="D702" s="15" t="s">
        <v>1538</v>
      </c>
      <c r="E702" s="16">
        <v>156.0</v>
      </c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</row>
    <row r="703">
      <c r="A703" s="36" t="s">
        <v>1557</v>
      </c>
      <c r="B703" s="37">
        <v>5.902280336778E12</v>
      </c>
      <c r="C703" s="9" t="s">
        <v>1558</v>
      </c>
      <c r="D703" s="15" t="s">
        <v>1538</v>
      </c>
      <c r="E703" s="16">
        <v>260.0</v>
      </c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</row>
    <row r="704">
      <c r="A704" s="36" t="s">
        <v>1559</v>
      </c>
      <c r="B704" s="37">
        <v>5.902280338758E12</v>
      </c>
      <c r="C704" s="9" t="s">
        <v>1560</v>
      </c>
      <c r="D704" s="15" t="s">
        <v>1538</v>
      </c>
      <c r="E704" s="16">
        <v>338.6</v>
      </c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</row>
    <row r="705">
      <c r="A705" s="53" t="s">
        <v>1561</v>
      </c>
      <c r="B705" s="60">
        <v>5.902280336709E12</v>
      </c>
      <c r="C705" s="9" t="s">
        <v>1562</v>
      </c>
      <c r="D705" s="15" t="s">
        <v>1538</v>
      </c>
      <c r="E705" s="16">
        <v>28.4</v>
      </c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</row>
    <row r="706">
      <c r="A706" s="53" t="s">
        <v>1563</v>
      </c>
      <c r="B706" s="60">
        <v>5.902280334873E12</v>
      </c>
      <c r="C706" s="9" t="s">
        <v>1564</v>
      </c>
      <c r="D706" s="15" t="s">
        <v>1538</v>
      </c>
      <c r="E706" s="16">
        <v>56.8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</row>
    <row r="707">
      <c r="A707" s="53" t="s">
        <v>1565</v>
      </c>
      <c r="B707" s="60">
        <v>5.902280334866E12</v>
      </c>
      <c r="C707" s="9" t="s">
        <v>1566</v>
      </c>
      <c r="D707" s="15" t="s">
        <v>1538</v>
      </c>
      <c r="E707" s="16">
        <v>85.2</v>
      </c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</row>
    <row r="708">
      <c r="A708" s="36" t="s">
        <v>1567</v>
      </c>
      <c r="B708" s="37">
        <v>5.90666078827E12</v>
      </c>
      <c r="C708" s="9" t="s">
        <v>1568</v>
      </c>
      <c r="D708" s="15" t="s">
        <v>1538</v>
      </c>
      <c r="E708" s="16">
        <v>23.8</v>
      </c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</row>
    <row r="709">
      <c r="A709" s="32" t="s">
        <v>1569</v>
      </c>
      <c r="B709" s="40">
        <v>5.906660788263E12</v>
      </c>
      <c r="C709" s="56" t="s">
        <v>1570</v>
      </c>
      <c r="D709" s="57" t="s">
        <v>1538</v>
      </c>
      <c r="E709" s="58">
        <v>47.5</v>
      </c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</row>
    <row r="710">
      <c r="A710" s="36" t="s">
        <v>1571</v>
      </c>
      <c r="B710" s="37">
        <v>5.902280307396E12</v>
      </c>
      <c r="C710" s="9" t="s">
        <v>1572</v>
      </c>
      <c r="D710" s="15" t="s">
        <v>1538</v>
      </c>
      <c r="E710" s="16">
        <v>71.3</v>
      </c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</row>
    <row r="711">
      <c r="A711" s="23" t="s">
        <v>1573</v>
      </c>
      <c r="B711" s="24">
        <v>5.902280318422E12</v>
      </c>
      <c r="C711" s="9" t="s">
        <v>1574</v>
      </c>
      <c r="D711" s="15" t="s">
        <v>1575</v>
      </c>
      <c r="E711" s="16">
        <v>5.3</v>
      </c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</row>
    <row r="712">
      <c r="A712" s="23" t="s">
        <v>1576</v>
      </c>
      <c r="B712" s="24">
        <v>5.902280318408E12</v>
      </c>
      <c r="C712" s="9" t="s">
        <v>1577</v>
      </c>
      <c r="D712" s="15" t="s">
        <v>1575</v>
      </c>
      <c r="E712" s="16">
        <v>10.5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</row>
    <row r="713">
      <c r="A713" s="23" t="s">
        <v>1578</v>
      </c>
      <c r="B713" s="24">
        <v>5.902280318415E12</v>
      </c>
      <c r="C713" s="9" t="s">
        <v>1579</v>
      </c>
      <c r="D713" s="15" t="s">
        <v>1575</v>
      </c>
      <c r="E713" s="16">
        <v>15.8</v>
      </c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</row>
    <row r="714">
      <c r="A714" s="32" t="s">
        <v>1580</v>
      </c>
      <c r="B714" s="40">
        <v>5.902280333784E12</v>
      </c>
      <c r="C714" s="9" t="s">
        <v>1581</v>
      </c>
      <c r="D714" s="15" t="s">
        <v>1582</v>
      </c>
      <c r="E714" s="16">
        <v>9.1</v>
      </c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</row>
    <row r="715">
      <c r="A715" s="32" t="s">
        <v>1583</v>
      </c>
      <c r="B715" s="40">
        <v>5.902280331544E12</v>
      </c>
      <c r="C715" s="9" t="s">
        <v>1584</v>
      </c>
      <c r="D715" s="15" t="s">
        <v>1582</v>
      </c>
      <c r="E715" s="16">
        <v>18.2</v>
      </c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</row>
    <row r="716">
      <c r="A716" s="32" t="s">
        <v>1585</v>
      </c>
      <c r="B716" s="40">
        <v>5.902280333791E12</v>
      </c>
      <c r="C716" s="9" t="s">
        <v>1586</v>
      </c>
      <c r="D716" s="15" t="s">
        <v>1582</v>
      </c>
      <c r="E716" s="16">
        <v>27.3</v>
      </c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</row>
    <row r="717">
      <c r="A717" s="32" t="s">
        <v>1587</v>
      </c>
      <c r="B717" s="40">
        <v>5.902280326779E12</v>
      </c>
      <c r="C717" s="9" t="s">
        <v>1588</v>
      </c>
      <c r="D717" s="15" t="s">
        <v>1589</v>
      </c>
      <c r="E717" s="16">
        <v>96.3</v>
      </c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</row>
    <row r="718">
      <c r="A718" s="32" t="s">
        <v>1590</v>
      </c>
      <c r="B718" s="40">
        <v>5.902280327998E12</v>
      </c>
      <c r="C718" s="9" t="s">
        <v>1591</v>
      </c>
      <c r="D718" s="15" t="s">
        <v>1592</v>
      </c>
      <c r="E718" s="16">
        <v>173.1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</row>
    <row r="719">
      <c r="A719" s="53" t="s">
        <v>1593</v>
      </c>
      <c r="B719" s="60">
        <v>5.902280339953E12</v>
      </c>
      <c r="C719" s="9" t="s">
        <v>1594</v>
      </c>
      <c r="D719" s="15" t="s">
        <v>1595</v>
      </c>
      <c r="E719" s="16">
        <v>41.2</v>
      </c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</row>
    <row r="720">
      <c r="A720" s="53" t="s">
        <v>1596</v>
      </c>
      <c r="B720" s="60">
        <v>5.902280332589E12</v>
      </c>
      <c r="C720" s="9" t="s">
        <v>1597</v>
      </c>
      <c r="D720" s="15" t="s">
        <v>1595</v>
      </c>
      <c r="E720" s="16">
        <v>82.3</v>
      </c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</row>
    <row r="721">
      <c r="A721" s="53" t="s">
        <v>1598</v>
      </c>
      <c r="B721" s="60">
        <v>5.902280339625E12</v>
      </c>
      <c r="C721" s="9" t="s">
        <v>1599</v>
      </c>
      <c r="D721" s="15" t="s">
        <v>1595</v>
      </c>
      <c r="E721" s="16">
        <v>123.5</v>
      </c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</row>
    <row r="722">
      <c r="A722" s="53" t="s">
        <v>1600</v>
      </c>
      <c r="B722" s="60">
        <v>5.902280339632E12</v>
      </c>
      <c r="C722" s="9" t="s">
        <v>1601</v>
      </c>
      <c r="D722" s="15" t="s">
        <v>1595</v>
      </c>
      <c r="E722" s="16">
        <v>534.8</v>
      </c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</row>
    <row r="723">
      <c r="A723" s="41" t="s">
        <v>1602</v>
      </c>
      <c r="B723" s="33">
        <v>5.90228033631E12</v>
      </c>
      <c r="C723" s="9" t="s">
        <v>1603</v>
      </c>
      <c r="D723" s="15" t="s">
        <v>1604</v>
      </c>
      <c r="E723" s="16">
        <v>27.6</v>
      </c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</row>
    <row r="724">
      <c r="A724" s="41" t="s">
        <v>1605</v>
      </c>
      <c r="B724" s="33">
        <v>5.902280326786E12</v>
      </c>
      <c r="C724" s="9" t="s">
        <v>1606</v>
      </c>
      <c r="D724" s="15" t="s">
        <v>1604</v>
      </c>
      <c r="E724" s="16">
        <v>55.2</v>
      </c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</row>
    <row r="725">
      <c r="A725" s="41" t="s">
        <v>1607</v>
      </c>
      <c r="B725" s="33">
        <v>5.902280332619E12</v>
      </c>
      <c r="C725" s="9" t="s">
        <v>1608</v>
      </c>
      <c r="D725" s="15" t="s">
        <v>1604</v>
      </c>
      <c r="E725" s="16">
        <v>82.8</v>
      </c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</row>
    <row r="726">
      <c r="A726" s="32" t="s">
        <v>1609</v>
      </c>
      <c r="B726" s="40">
        <v>5.902280331995E12</v>
      </c>
      <c r="C726" s="9" t="s">
        <v>1610</v>
      </c>
      <c r="D726" s="15" t="s">
        <v>1611</v>
      </c>
      <c r="E726" s="16">
        <v>31.4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</row>
    <row r="727">
      <c r="A727" s="32" t="s">
        <v>1612</v>
      </c>
      <c r="B727" s="40">
        <v>5.902280326793E12</v>
      </c>
      <c r="C727" s="9" t="s">
        <v>1613</v>
      </c>
      <c r="D727" s="15" t="s">
        <v>1611</v>
      </c>
      <c r="E727" s="16">
        <v>62.7</v>
      </c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</row>
    <row r="728">
      <c r="A728" s="32" t="s">
        <v>1614</v>
      </c>
      <c r="B728" s="40">
        <v>5.902280332008E12</v>
      </c>
      <c r="C728" s="9" t="s">
        <v>1615</v>
      </c>
      <c r="D728" s="15" t="s">
        <v>1611</v>
      </c>
      <c r="E728" s="16">
        <v>94.1</v>
      </c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</row>
    <row r="729">
      <c r="A729" s="32" t="s">
        <v>1616</v>
      </c>
      <c r="B729" s="26">
        <v>5.902280334651E12</v>
      </c>
      <c r="C729" s="9" t="s">
        <v>1617</v>
      </c>
      <c r="D729" s="15" t="s">
        <v>1618</v>
      </c>
      <c r="E729" s="16">
        <v>50.2</v>
      </c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</row>
    <row r="730">
      <c r="A730" s="32" t="s">
        <v>1619</v>
      </c>
      <c r="B730" s="26">
        <v>5.902280329725E12</v>
      </c>
      <c r="C730" s="9" t="s">
        <v>1620</v>
      </c>
      <c r="D730" s="15" t="s">
        <v>1618</v>
      </c>
      <c r="E730" s="16">
        <v>100.4</v>
      </c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</row>
    <row r="731">
      <c r="A731" s="32" t="s">
        <v>1621</v>
      </c>
      <c r="B731" s="26">
        <v>5.902280332053E12</v>
      </c>
      <c r="C731" s="9" t="s">
        <v>1622</v>
      </c>
      <c r="D731" s="15" t="s">
        <v>1618</v>
      </c>
      <c r="E731" s="16">
        <v>150.6</v>
      </c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</row>
    <row r="732">
      <c r="A732" s="36" t="s">
        <v>1623</v>
      </c>
      <c r="B732" s="37">
        <v>5.902280331957E12</v>
      </c>
      <c r="C732" s="9" t="s">
        <v>1624</v>
      </c>
      <c r="D732" s="15" t="s">
        <v>1625</v>
      </c>
      <c r="E732" s="16">
        <v>15.6</v>
      </c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</row>
    <row r="733">
      <c r="A733" s="36" t="s">
        <v>1626</v>
      </c>
      <c r="B733" s="37">
        <v>5.902280331964E12</v>
      </c>
      <c r="C733" s="9" t="s">
        <v>1627</v>
      </c>
      <c r="D733" s="15" t="s">
        <v>1625</v>
      </c>
      <c r="E733" s="16">
        <v>31.1</v>
      </c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</row>
    <row r="734">
      <c r="A734" s="36" t="s">
        <v>1628</v>
      </c>
      <c r="B734" s="37">
        <v>5.902280331971E12</v>
      </c>
      <c r="C734" s="9" t="s">
        <v>1629</v>
      </c>
      <c r="D734" s="15" t="s">
        <v>1625</v>
      </c>
      <c r="E734" s="16">
        <v>46.7</v>
      </c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</row>
    <row r="735">
      <c r="A735" s="36" t="s">
        <v>1630</v>
      </c>
      <c r="B735" s="37">
        <v>5.902280319818E12</v>
      </c>
      <c r="C735" s="9" t="s">
        <v>1631</v>
      </c>
      <c r="D735" s="15" t="s">
        <v>1632</v>
      </c>
      <c r="E735" s="16">
        <v>34.9</v>
      </c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</row>
    <row r="736">
      <c r="A736" s="36" t="s">
        <v>1633</v>
      </c>
      <c r="B736" s="37">
        <v>5.902280319795E12</v>
      </c>
      <c r="C736" s="9" t="s">
        <v>1634</v>
      </c>
      <c r="D736" s="15" t="s">
        <v>1632</v>
      </c>
      <c r="E736" s="16">
        <v>69.7</v>
      </c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</row>
    <row r="737">
      <c r="A737" s="36" t="s">
        <v>1635</v>
      </c>
      <c r="B737" s="37">
        <v>5.902280319801E12</v>
      </c>
      <c r="C737" s="9" t="s">
        <v>1636</v>
      </c>
      <c r="D737" s="15" t="s">
        <v>1632</v>
      </c>
      <c r="E737" s="16">
        <v>104.6</v>
      </c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</row>
    <row r="738">
      <c r="A738" s="36" t="s">
        <v>1637</v>
      </c>
      <c r="B738" s="37">
        <v>5.902280339458E12</v>
      </c>
      <c r="C738" s="9" t="s">
        <v>1638</v>
      </c>
      <c r="D738" s="15" t="s">
        <v>1632</v>
      </c>
      <c r="E738" s="16">
        <v>348.5</v>
      </c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</row>
    <row r="739">
      <c r="A739" s="36" t="s">
        <v>1639</v>
      </c>
      <c r="B739" s="37">
        <v>5.902280339489E12</v>
      </c>
      <c r="C739" s="9" t="s">
        <v>1640</v>
      </c>
      <c r="D739" s="15" t="s">
        <v>1632</v>
      </c>
      <c r="E739" s="16">
        <v>43.6</v>
      </c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</row>
    <row r="740">
      <c r="A740" s="36" t="s">
        <v>1641</v>
      </c>
      <c r="B740" s="37">
        <v>5.902280339465E12</v>
      </c>
      <c r="C740" s="9" t="s">
        <v>1642</v>
      </c>
      <c r="D740" s="15" t="s">
        <v>1632</v>
      </c>
      <c r="E740" s="16">
        <v>87.2</v>
      </c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</row>
    <row r="741">
      <c r="A741" s="36" t="s">
        <v>1643</v>
      </c>
      <c r="B741" s="37">
        <v>5.902280339472E12</v>
      </c>
      <c r="C741" s="9" t="s">
        <v>1644</v>
      </c>
      <c r="D741" s="15" t="s">
        <v>1632</v>
      </c>
      <c r="E741" s="16">
        <v>130.8</v>
      </c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</row>
    <row r="742">
      <c r="A742" s="36" t="s">
        <v>1645</v>
      </c>
      <c r="B742" s="37">
        <v>5.9022803236E12</v>
      </c>
      <c r="C742" s="9" t="s">
        <v>1646</v>
      </c>
      <c r="D742" s="15" t="s">
        <v>1647</v>
      </c>
      <c r="E742" s="16">
        <v>8.2</v>
      </c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</row>
    <row r="743">
      <c r="A743" s="36" t="s">
        <v>1648</v>
      </c>
      <c r="B743" s="37">
        <v>5.902280323013E12</v>
      </c>
      <c r="C743" s="9" t="s">
        <v>1649</v>
      </c>
      <c r="D743" s="15" t="s">
        <v>1647</v>
      </c>
      <c r="E743" s="16">
        <v>16.3</v>
      </c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</row>
    <row r="744">
      <c r="A744" s="36" t="s">
        <v>1650</v>
      </c>
      <c r="B744" s="37">
        <v>5.902280323518E12</v>
      </c>
      <c r="C744" s="9" t="s">
        <v>1651</v>
      </c>
      <c r="D744" s="15" t="s">
        <v>1647</v>
      </c>
      <c r="E744" s="16">
        <v>24.5</v>
      </c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</row>
    <row r="745">
      <c r="A745" s="36" t="s">
        <v>1652</v>
      </c>
      <c r="B745" s="37">
        <v>5.902280309765E12</v>
      </c>
      <c r="C745" s="9" t="s">
        <v>1653</v>
      </c>
      <c r="D745" s="15" t="s">
        <v>1654</v>
      </c>
      <c r="E745" s="16">
        <v>29.9</v>
      </c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</row>
    <row r="746">
      <c r="A746" s="36" t="s">
        <v>1655</v>
      </c>
      <c r="B746" s="37">
        <v>5.902280309772E12</v>
      </c>
      <c r="C746" s="9" t="s">
        <v>1656</v>
      </c>
      <c r="D746" s="15" t="s">
        <v>1654</v>
      </c>
      <c r="E746" s="16">
        <v>59.7</v>
      </c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</row>
    <row r="747">
      <c r="A747" s="36" t="s">
        <v>1657</v>
      </c>
      <c r="B747" s="37">
        <v>5.902280309789E12</v>
      </c>
      <c r="C747" s="9" t="s">
        <v>1658</v>
      </c>
      <c r="D747" s="15" t="s">
        <v>1654</v>
      </c>
      <c r="E747" s="16">
        <v>89.6</v>
      </c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</row>
    <row r="748">
      <c r="A748" s="36" t="s">
        <v>1659</v>
      </c>
      <c r="B748" s="37">
        <v>5.902280310211E12</v>
      </c>
      <c r="C748" s="9" t="s">
        <v>1660</v>
      </c>
      <c r="D748" s="15" t="s">
        <v>1654</v>
      </c>
      <c r="E748" s="16">
        <v>29.9</v>
      </c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</row>
    <row r="749">
      <c r="A749" s="36" t="s">
        <v>1661</v>
      </c>
      <c r="B749" s="37">
        <v>5.902280309932E12</v>
      </c>
      <c r="C749" s="9" t="s">
        <v>1662</v>
      </c>
      <c r="D749" s="15" t="s">
        <v>1654</v>
      </c>
      <c r="E749" s="16">
        <v>59.7</v>
      </c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</row>
    <row r="750">
      <c r="A750" s="36" t="s">
        <v>1663</v>
      </c>
      <c r="B750" s="37">
        <v>5.902280309949E12</v>
      </c>
      <c r="C750" s="9" t="s">
        <v>1664</v>
      </c>
      <c r="D750" s="15" t="s">
        <v>1654</v>
      </c>
      <c r="E750" s="16">
        <v>89.6</v>
      </c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</row>
    <row r="751">
      <c r="A751" s="53" t="s">
        <v>1665</v>
      </c>
      <c r="B751" s="60">
        <v>5.902280329619E12</v>
      </c>
      <c r="C751" s="9" t="s">
        <v>1666</v>
      </c>
      <c r="D751" s="15" t="s">
        <v>1667</v>
      </c>
      <c r="E751" s="16">
        <v>148.0</v>
      </c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</row>
    <row r="752">
      <c r="A752" s="53" t="s">
        <v>1668</v>
      </c>
      <c r="B752" s="60">
        <v>5.906660787549E12</v>
      </c>
      <c r="C752" s="9" t="s">
        <v>1669</v>
      </c>
      <c r="D752" s="15" t="s">
        <v>1670</v>
      </c>
      <c r="E752" s="16">
        <v>29.9</v>
      </c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</row>
    <row r="753">
      <c r="A753" s="53" t="s">
        <v>1671</v>
      </c>
      <c r="B753" s="60">
        <v>5.906660787556E12</v>
      </c>
      <c r="C753" s="9" t="s">
        <v>1672</v>
      </c>
      <c r="D753" s="15" t="s">
        <v>1670</v>
      </c>
      <c r="E753" s="16">
        <v>59.7</v>
      </c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</row>
    <row r="754">
      <c r="A754" s="53" t="s">
        <v>1673</v>
      </c>
      <c r="B754" s="60">
        <v>5.906660789383E12</v>
      </c>
      <c r="C754" s="9" t="s">
        <v>1674</v>
      </c>
      <c r="D754" s="15" t="s">
        <v>1670</v>
      </c>
      <c r="E754" s="16">
        <v>89.6</v>
      </c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</row>
    <row r="755">
      <c r="A755" s="53" t="s">
        <v>1675</v>
      </c>
      <c r="B755" s="60">
        <v>5.906660787532E12</v>
      </c>
      <c r="C755" s="9" t="s">
        <v>1676</v>
      </c>
      <c r="D755" s="15" t="s">
        <v>1670</v>
      </c>
      <c r="E755" s="16">
        <v>29.9</v>
      </c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</row>
    <row r="756">
      <c r="A756" s="53" t="s">
        <v>1677</v>
      </c>
      <c r="B756" s="60">
        <v>5.906660787525E12</v>
      </c>
      <c r="C756" s="9" t="s">
        <v>1678</v>
      </c>
      <c r="D756" s="15" t="s">
        <v>1670</v>
      </c>
      <c r="E756" s="16">
        <v>59.7</v>
      </c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</row>
    <row r="757">
      <c r="A757" s="53" t="s">
        <v>1679</v>
      </c>
      <c r="B757" s="60">
        <v>5.902280303619E12</v>
      </c>
      <c r="C757" s="9" t="s">
        <v>1680</v>
      </c>
      <c r="D757" s="15" t="s">
        <v>1670</v>
      </c>
      <c r="E757" s="16">
        <v>89.6</v>
      </c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</row>
    <row r="758">
      <c r="A758" s="41" t="s">
        <v>1681</v>
      </c>
      <c r="B758" s="33">
        <v>5.906660788768E12</v>
      </c>
      <c r="C758" s="9" t="s">
        <v>1682</v>
      </c>
      <c r="D758" s="15" t="s">
        <v>1683</v>
      </c>
      <c r="E758" s="16">
        <v>69.4</v>
      </c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</row>
    <row r="759">
      <c r="A759" s="41" t="s">
        <v>1684</v>
      </c>
      <c r="B759" s="33">
        <v>5.906660788652E12</v>
      </c>
      <c r="C759" s="9" t="s">
        <v>1685</v>
      </c>
      <c r="D759" s="15" t="s">
        <v>1683</v>
      </c>
      <c r="E759" s="16">
        <v>138.7</v>
      </c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</row>
    <row r="760">
      <c r="A760" s="41" t="s">
        <v>1686</v>
      </c>
      <c r="B760" s="33">
        <v>5.90666078997E12</v>
      </c>
      <c r="C760" s="9" t="s">
        <v>1687</v>
      </c>
      <c r="D760" s="15" t="s">
        <v>1683</v>
      </c>
      <c r="E760" s="16">
        <v>208.1</v>
      </c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</row>
    <row r="761">
      <c r="A761" s="41" t="s">
        <v>1688</v>
      </c>
      <c r="B761" s="33">
        <v>5.902280303541E12</v>
      </c>
      <c r="C761" s="9" t="s">
        <v>1689</v>
      </c>
      <c r="D761" s="15" t="s">
        <v>1690</v>
      </c>
      <c r="E761" s="16">
        <v>66.0</v>
      </c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</row>
    <row r="762">
      <c r="A762" s="41" t="s">
        <v>1691</v>
      </c>
      <c r="B762" s="33">
        <v>5.902280303534E12</v>
      </c>
      <c r="C762" s="9" t="s">
        <v>1692</v>
      </c>
      <c r="D762" s="15" t="s">
        <v>1690</v>
      </c>
      <c r="E762" s="16">
        <v>131.9</v>
      </c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</row>
    <row r="763">
      <c r="A763" s="41" t="s">
        <v>1693</v>
      </c>
      <c r="B763" s="33">
        <v>5.902280304692E12</v>
      </c>
      <c r="C763" s="9" t="s">
        <v>1694</v>
      </c>
      <c r="D763" s="15" t="s">
        <v>1690</v>
      </c>
      <c r="E763" s="16">
        <v>197.9</v>
      </c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</row>
    <row r="764">
      <c r="A764" s="41" t="s">
        <v>1695</v>
      </c>
      <c r="B764" s="33">
        <v>5.902280303688E12</v>
      </c>
      <c r="C764" s="9" t="s">
        <v>1696</v>
      </c>
      <c r="D764" s="15" t="s">
        <v>1697</v>
      </c>
      <c r="E764" s="16">
        <v>71.6</v>
      </c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</row>
    <row r="765">
      <c r="A765" s="41" t="s">
        <v>1698</v>
      </c>
      <c r="B765" s="33">
        <v>5.902280303695E12</v>
      </c>
      <c r="C765" s="9" t="s">
        <v>1699</v>
      </c>
      <c r="D765" s="15" t="s">
        <v>1697</v>
      </c>
      <c r="E765" s="16">
        <v>143.2</v>
      </c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</row>
    <row r="766">
      <c r="A766" s="41" t="s">
        <v>1700</v>
      </c>
      <c r="B766" s="33">
        <v>5.902280303701E12</v>
      </c>
      <c r="C766" s="9" t="s">
        <v>1701</v>
      </c>
      <c r="D766" s="15" t="s">
        <v>1697</v>
      </c>
      <c r="E766" s="16">
        <v>214.8</v>
      </c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</row>
    <row r="767">
      <c r="A767" s="32" t="s">
        <v>1702</v>
      </c>
      <c r="B767" s="40">
        <v>5.902280307457E12</v>
      </c>
      <c r="C767" s="9" t="s">
        <v>1703</v>
      </c>
      <c r="D767" s="15" t="s">
        <v>1704</v>
      </c>
      <c r="E767" s="16">
        <v>77.1</v>
      </c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</row>
    <row r="768">
      <c r="A768" s="32" t="s">
        <v>1705</v>
      </c>
      <c r="B768" s="40">
        <v>5.902280307464E12</v>
      </c>
      <c r="C768" s="9" t="s">
        <v>1706</v>
      </c>
      <c r="D768" s="15" t="s">
        <v>1704</v>
      </c>
      <c r="E768" s="16">
        <v>154.1</v>
      </c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</row>
    <row r="769">
      <c r="A769" s="32" t="s">
        <v>1707</v>
      </c>
      <c r="B769" s="40">
        <v>5.902280309451E12</v>
      </c>
      <c r="C769" s="9" t="s">
        <v>1708</v>
      </c>
      <c r="D769" s="15" t="s">
        <v>1704</v>
      </c>
      <c r="E769" s="16">
        <v>231.2</v>
      </c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</row>
    <row r="770">
      <c r="A770" s="23" t="s">
        <v>1709</v>
      </c>
      <c r="B770" s="24">
        <v>5.906660787389E12</v>
      </c>
      <c r="C770" s="9" t="s">
        <v>1710</v>
      </c>
      <c r="D770" s="15" t="s">
        <v>1711</v>
      </c>
      <c r="E770" s="16">
        <v>83.8</v>
      </c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</row>
    <row r="771">
      <c r="A771" s="23" t="s">
        <v>1712</v>
      </c>
      <c r="B771" s="24">
        <v>5.906660787372E12</v>
      </c>
      <c r="C771" s="9" t="s">
        <v>1713</v>
      </c>
      <c r="D771" s="15" t="s">
        <v>1711</v>
      </c>
      <c r="E771" s="16">
        <v>167.6</v>
      </c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</row>
    <row r="772">
      <c r="A772" s="25" t="s">
        <v>1714</v>
      </c>
      <c r="B772" s="26">
        <v>5.906660781134E12</v>
      </c>
      <c r="C772" s="9" t="s">
        <v>1715</v>
      </c>
      <c r="D772" s="15" t="s">
        <v>1716</v>
      </c>
      <c r="E772" s="16">
        <v>16.7</v>
      </c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</row>
    <row r="773">
      <c r="A773" s="25" t="s">
        <v>1717</v>
      </c>
      <c r="B773" s="26">
        <v>5.906660780601E12</v>
      </c>
      <c r="C773" s="9" t="s">
        <v>1718</v>
      </c>
      <c r="D773" s="15" t="s">
        <v>1716</v>
      </c>
      <c r="E773" s="16">
        <v>33.4</v>
      </c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</row>
    <row r="774">
      <c r="A774" s="42" t="s">
        <v>1719</v>
      </c>
      <c r="B774" s="26">
        <v>5.906660786276E12</v>
      </c>
      <c r="C774" s="9" t="s">
        <v>1720</v>
      </c>
      <c r="D774" s="15" t="s">
        <v>1716</v>
      </c>
      <c r="E774" s="16">
        <v>50.1</v>
      </c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</row>
    <row r="775">
      <c r="A775" s="69" t="s">
        <v>1721</v>
      </c>
      <c r="B775" s="24"/>
      <c r="C775" s="9" t="s">
        <v>1722</v>
      </c>
      <c r="D775" s="15"/>
      <c r="E775" s="16">
        <v>73.7</v>
      </c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</row>
    <row r="776">
      <c r="A776" s="69" t="s">
        <v>1723</v>
      </c>
      <c r="B776" s="24"/>
      <c r="C776" s="9" t="s">
        <v>1724</v>
      </c>
      <c r="D776" s="15"/>
      <c r="E776" s="16">
        <v>147.4</v>
      </c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</row>
    <row r="777">
      <c r="A777" s="69" t="s">
        <v>1725</v>
      </c>
      <c r="B777" s="24"/>
      <c r="C777" s="9" t="s">
        <v>1726</v>
      </c>
      <c r="D777" s="15"/>
      <c r="E777" s="16">
        <v>221.1</v>
      </c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</row>
    <row r="778">
      <c r="A778" s="23" t="s">
        <v>1727</v>
      </c>
      <c r="B778" s="24">
        <v>5.902280310877E12</v>
      </c>
      <c r="C778" s="9" t="s">
        <v>1728</v>
      </c>
      <c r="D778" s="15" t="s">
        <v>1729</v>
      </c>
      <c r="E778" s="16">
        <v>47.3</v>
      </c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</row>
    <row r="779">
      <c r="A779" s="23" t="s">
        <v>1730</v>
      </c>
      <c r="B779" s="24">
        <v>5.90228030827E12</v>
      </c>
      <c r="C779" s="9" t="s">
        <v>1731</v>
      </c>
      <c r="D779" s="15" t="s">
        <v>1729</v>
      </c>
      <c r="E779" s="16">
        <v>94.6</v>
      </c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</row>
    <row r="780">
      <c r="A780" s="23" t="s">
        <v>1732</v>
      </c>
      <c r="B780" s="24">
        <v>5.902280310839E12</v>
      </c>
      <c r="C780" s="9" t="s">
        <v>1733</v>
      </c>
      <c r="D780" s="15" t="s">
        <v>1729</v>
      </c>
      <c r="E780" s="16">
        <v>141.9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</row>
    <row r="781">
      <c r="A781" s="23" t="s">
        <v>1734</v>
      </c>
      <c r="B781" s="24">
        <v>5.902280343264E12</v>
      </c>
      <c r="C781" s="9" t="s">
        <v>1735</v>
      </c>
      <c r="D781" s="15" t="s">
        <v>1736</v>
      </c>
      <c r="E781" s="16">
        <v>47.5</v>
      </c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</row>
    <row r="782">
      <c r="A782" s="23" t="s">
        <v>1737</v>
      </c>
      <c r="B782" s="24">
        <v>5.902280337065E12</v>
      </c>
      <c r="C782" s="9" t="s">
        <v>1738</v>
      </c>
      <c r="D782" s="15" t="s">
        <v>1736</v>
      </c>
      <c r="E782" s="16">
        <v>94.9</v>
      </c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</row>
    <row r="783">
      <c r="A783" s="23" t="s">
        <v>1739</v>
      </c>
      <c r="B783" s="24">
        <v>5.902280337096E12</v>
      </c>
      <c r="C783" s="9" t="s">
        <v>1740</v>
      </c>
      <c r="D783" s="15" t="s">
        <v>1736</v>
      </c>
      <c r="E783" s="16">
        <v>142.4</v>
      </c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</row>
    <row r="784">
      <c r="A784" s="23" t="s">
        <v>1741</v>
      </c>
      <c r="B784" s="24">
        <v>5.90228034267E12</v>
      </c>
      <c r="C784" s="9" t="s">
        <v>1742</v>
      </c>
      <c r="D784" s="15" t="s">
        <v>1743</v>
      </c>
      <c r="E784" s="16">
        <v>9.8</v>
      </c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</row>
    <row r="785">
      <c r="A785" s="23" t="s">
        <v>1744</v>
      </c>
      <c r="B785" s="24">
        <v>5.902280342656E12</v>
      </c>
      <c r="C785" s="9" t="s">
        <v>1745</v>
      </c>
      <c r="D785" s="15" t="s">
        <v>1743</v>
      </c>
      <c r="E785" s="16">
        <v>19.6</v>
      </c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</row>
    <row r="786">
      <c r="A786" s="23" t="s">
        <v>1746</v>
      </c>
      <c r="B786" s="24">
        <v>5.902280342663E12</v>
      </c>
      <c r="C786" s="9" t="s">
        <v>1747</v>
      </c>
      <c r="D786" s="15" t="s">
        <v>1743</v>
      </c>
      <c r="E786" s="16">
        <v>29.4</v>
      </c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</row>
    <row r="787">
      <c r="A787" s="53" t="s">
        <v>1748</v>
      </c>
      <c r="B787" s="60">
        <v>5.902280308287E12</v>
      </c>
      <c r="C787" s="9" t="s">
        <v>1749</v>
      </c>
      <c r="D787" s="15" t="s">
        <v>1750</v>
      </c>
      <c r="E787" s="16">
        <v>48.2</v>
      </c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</row>
    <row r="788">
      <c r="A788" s="53" t="s">
        <v>1751</v>
      </c>
      <c r="B788" s="60">
        <v>5.902280308294E12</v>
      </c>
      <c r="C788" s="9" t="s">
        <v>1752</v>
      </c>
      <c r="D788" s="15" t="s">
        <v>1750</v>
      </c>
      <c r="E788" s="16">
        <v>96.4</v>
      </c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</row>
    <row r="789">
      <c r="A789" s="53" t="s">
        <v>1753</v>
      </c>
      <c r="B789" s="60">
        <v>5.9022803083E12</v>
      </c>
      <c r="C789" s="9" t="s">
        <v>1754</v>
      </c>
      <c r="D789" s="15" t="s">
        <v>1750</v>
      </c>
      <c r="E789" s="16">
        <v>144.6</v>
      </c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</row>
    <row r="790">
      <c r="A790" s="23" t="s">
        <v>1755</v>
      </c>
      <c r="B790" s="24">
        <v>5.902280319566E12</v>
      </c>
      <c r="C790" s="9" t="s">
        <v>1756</v>
      </c>
      <c r="D790" s="15" t="s">
        <v>1757</v>
      </c>
      <c r="E790" s="16">
        <v>19.5</v>
      </c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</row>
    <row r="791">
      <c r="A791" s="23" t="s">
        <v>1758</v>
      </c>
      <c r="B791" s="24">
        <v>5.902280318606E12</v>
      </c>
      <c r="C791" s="9" t="s">
        <v>1759</v>
      </c>
      <c r="D791" s="15" t="s">
        <v>1757</v>
      </c>
      <c r="E791" s="16">
        <v>38.9</v>
      </c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</row>
    <row r="792">
      <c r="A792" s="23" t="s">
        <v>1760</v>
      </c>
      <c r="B792" s="24">
        <v>5.902280318682E12</v>
      </c>
      <c r="C792" s="9" t="s">
        <v>1761</v>
      </c>
      <c r="D792" s="15" t="s">
        <v>1757</v>
      </c>
      <c r="E792" s="16">
        <v>58.4</v>
      </c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</row>
    <row r="793">
      <c r="A793" s="23" t="s">
        <v>1762</v>
      </c>
      <c r="B793" s="24">
        <v>5.902280325703E12</v>
      </c>
      <c r="C793" s="9" t="s">
        <v>1763</v>
      </c>
      <c r="D793" s="15" t="s">
        <v>1757</v>
      </c>
      <c r="E793" s="16">
        <v>27.1</v>
      </c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</row>
    <row r="794">
      <c r="A794" s="23" t="s">
        <v>1764</v>
      </c>
      <c r="B794" s="24">
        <v>5.90228032245E12</v>
      </c>
      <c r="C794" s="9" t="s">
        <v>1765</v>
      </c>
      <c r="D794" s="15" t="s">
        <v>1757</v>
      </c>
      <c r="E794" s="16">
        <v>54.2</v>
      </c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</row>
    <row r="795">
      <c r="A795" s="23" t="s">
        <v>1766</v>
      </c>
      <c r="B795" s="24">
        <v>5.902280322467E12</v>
      </c>
      <c r="C795" s="9" t="s">
        <v>1767</v>
      </c>
      <c r="D795" s="15" t="s">
        <v>1757</v>
      </c>
      <c r="E795" s="16">
        <v>81.3</v>
      </c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</row>
    <row r="796">
      <c r="A796" s="49" t="s">
        <v>1768</v>
      </c>
      <c r="B796" s="50">
        <v>5.902280350392E12</v>
      </c>
      <c r="C796" s="9" t="s">
        <v>1769</v>
      </c>
      <c r="D796" s="15" t="s">
        <v>1770</v>
      </c>
      <c r="E796" s="16">
        <v>50.0</v>
      </c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</row>
    <row r="797">
      <c r="A797" s="49" t="s">
        <v>1771</v>
      </c>
      <c r="B797" s="50">
        <v>5.902280346449E12</v>
      </c>
      <c r="C797" s="9" t="s">
        <v>1772</v>
      </c>
      <c r="D797" s="15" t="s">
        <v>1770</v>
      </c>
      <c r="E797" s="16">
        <v>100.0</v>
      </c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</row>
    <row r="798">
      <c r="A798" s="49" t="s">
        <v>1773</v>
      </c>
      <c r="B798" s="50">
        <v>5.902280346456E12</v>
      </c>
      <c r="C798" s="9" t="s">
        <v>1774</v>
      </c>
      <c r="D798" s="15" t="s">
        <v>1770</v>
      </c>
      <c r="E798" s="16">
        <v>150.0</v>
      </c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</row>
    <row r="799">
      <c r="A799" s="49" t="s">
        <v>1775</v>
      </c>
      <c r="B799" s="50">
        <v>5.90228033798E12</v>
      </c>
      <c r="C799" s="9" t="s">
        <v>1776</v>
      </c>
      <c r="D799" s="15" t="s">
        <v>1777</v>
      </c>
      <c r="E799" s="16">
        <v>54.9</v>
      </c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</row>
    <row r="800">
      <c r="A800" s="49" t="s">
        <v>1778</v>
      </c>
      <c r="B800" s="50">
        <v>5.902280337973E12</v>
      </c>
      <c r="C800" s="9" t="s">
        <v>1779</v>
      </c>
      <c r="D800" s="15" t="s">
        <v>1777</v>
      </c>
      <c r="E800" s="16">
        <v>109.8</v>
      </c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</row>
    <row r="801">
      <c r="A801" s="49" t="s">
        <v>1780</v>
      </c>
      <c r="B801" s="50">
        <v>5.902280337997E12</v>
      </c>
      <c r="C801" s="9" t="s">
        <v>1781</v>
      </c>
      <c r="D801" s="15" t="s">
        <v>1777</v>
      </c>
      <c r="E801" s="16">
        <v>164.6</v>
      </c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</row>
    <row r="802">
      <c r="A802" s="49" t="s">
        <v>1782</v>
      </c>
      <c r="B802" s="50">
        <v>5.902280351849E12</v>
      </c>
      <c r="C802" s="9" t="s">
        <v>1783</v>
      </c>
      <c r="D802" s="15" t="s">
        <v>1784</v>
      </c>
      <c r="E802" s="16">
        <v>108.7</v>
      </c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</row>
    <row r="803">
      <c r="A803" s="49" t="s">
        <v>1785</v>
      </c>
      <c r="B803" s="50">
        <v>5.902280351856E12</v>
      </c>
      <c r="C803" s="9" t="s">
        <v>1786</v>
      </c>
      <c r="D803" s="15" t="s">
        <v>1784</v>
      </c>
      <c r="E803" s="16">
        <v>217.4</v>
      </c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</row>
    <row r="804">
      <c r="A804" s="49" t="s">
        <v>1787</v>
      </c>
      <c r="B804" s="50">
        <v>5.902280351863E12</v>
      </c>
      <c r="C804" s="9" t="s">
        <v>1788</v>
      </c>
      <c r="D804" s="15" t="s">
        <v>1784</v>
      </c>
      <c r="E804" s="16">
        <v>326.7</v>
      </c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</row>
    <row r="805">
      <c r="A805" s="70" t="s">
        <v>1789</v>
      </c>
      <c r="B805" s="71">
        <v>5.902280357889E12</v>
      </c>
      <c r="C805" s="9" t="s">
        <v>1790</v>
      </c>
      <c r="D805" s="15" t="s">
        <v>1791</v>
      </c>
      <c r="E805" s="16">
        <v>22.0</v>
      </c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</row>
    <row r="806">
      <c r="A806" s="72" t="s">
        <v>1792</v>
      </c>
      <c r="B806" s="71">
        <v>5.902280351351E12</v>
      </c>
      <c r="C806" s="9" t="s">
        <v>1793</v>
      </c>
      <c r="D806" s="15" t="s">
        <v>1791</v>
      </c>
      <c r="E806" s="16">
        <v>44.0</v>
      </c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</row>
    <row r="807">
      <c r="A807" s="72" t="s">
        <v>1794</v>
      </c>
      <c r="B807" s="71">
        <v>5.902280351368E12</v>
      </c>
      <c r="C807" s="9" t="s">
        <v>1795</v>
      </c>
      <c r="D807" s="15" t="s">
        <v>1791</v>
      </c>
      <c r="E807" s="16">
        <v>66.0</v>
      </c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</row>
    <row r="808">
      <c r="A808" s="72" t="s">
        <v>1796</v>
      </c>
      <c r="B808" s="71">
        <v>5.902280357896E12</v>
      </c>
      <c r="C808" s="9" t="s">
        <v>1797</v>
      </c>
      <c r="D808" s="15" t="s">
        <v>1791</v>
      </c>
      <c r="E808" s="16">
        <v>220.0</v>
      </c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</row>
    <row r="809">
      <c r="A809" s="21">
        <v>24202.0</v>
      </c>
      <c r="B809" s="24">
        <v>5.902280308188E12</v>
      </c>
      <c r="C809" s="9" t="s">
        <v>1798</v>
      </c>
      <c r="D809" s="15" t="s">
        <v>1799</v>
      </c>
      <c r="E809" s="16">
        <v>2.2</v>
      </c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</row>
    <row r="810">
      <c r="A810" s="23">
        <v>24299.0</v>
      </c>
      <c r="B810" s="24">
        <v>5.902280321576E12</v>
      </c>
      <c r="C810" s="9" t="s">
        <v>1800</v>
      </c>
      <c r="D810" s="15" t="s">
        <v>1799</v>
      </c>
      <c r="E810" s="16">
        <v>3.2</v>
      </c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</row>
    <row r="811">
      <c r="A811" s="23">
        <v>24321.0</v>
      </c>
      <c r="B811" s="24">
        <v>5.902280326496E12</v>
      </c>
      <c r="C811" s="9" t="s">
        <v>1801</v>
      </c>
      <c r="D811" s="15" t="s">
        <v>1802</v>
      </c>
      <c r="E811" s="16">
        <v>2.6</v>
      </c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</row>
    <row r="812">
      <c r="A812" s="23">
        <v>24376.0</v>
      </c>
      <c r="B812" s="24">
        <v>5.902280337089E12</v>
      </c>
      <c r="C812" s="9" t="s">
        <v>1803</v>
      </c>
      <c r="D812" s="15" t="s">
        <v>1802</v>
      </c>
      <c r="E812" s="16">
        <v>3.3</v>
      </c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</row>
    <row r="813">
      <c r="A813" s="23">
        <v>24413.0</v>
      </c>
      <c r="B813" s="24">
        <v>5.90228034069E12</v>
      </c>
      <c r="C813" s="9" t="s">
        <v>1804</v>
      </c>
      <c r="D813" s="15" t="s">
        <v>1802</v>
      </c>
      <c r="E813" s="16">
        <v>2.6</v>
      </c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</row>
    <row r="814">
      <c r="A814" s="23">
        <v>24414.0</v>
      </c>
      <c r="B814" s="24">
        <v>5.902280340706E12</v>
      </c>
      <c r="C814" s="9" t="s">
        <v>1805</v>
      </c>
      <c r="D814" s="15" t="s">
        <v>1802</v>
      </c>
      <c r="E814" s="16">
        <v>3.5</v>
      </c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</row>
    <row r="815">
      <c r="A815" s="23">
        <v>24369.0</v>
      </c>
      <c r="B815" s="24">
        <v>5.902280334903E12</v>
      </c>
      <c r="C815" s="9" t="s">
        <v>1806</v>
      </c>
      <c r="D815" s="15" t="s">
        <v>1802</v>
      </c>
      <c r="E815" s="16">
        <v>22.0</v>
      </c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</row>
    <row r="816">
      <c r="A816" s="23">
        <v>24303.0</v>
      </c>
      <c r="B816" s="24">
        <v>5.902280321682E12</v>
      </c>
      <c r="C816" s="9" t="s">
        <v>1807</v>
      </c>
      <c r="D816" s="15" t="s">
        <v>1808</v>
      </c>
      <c r="E816" s="16">
        <v>3.3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</row>
    <row r="817">
      <c r="A817" s="23">
        <v>24307.0</v>
      </c>
      <c r="B817" s="24">
        <v>5.902280322993E12</v>
      </c>
      <c r="C817" s="9" t="s">
        <v>1809</v>
      </c>
      <c r="D817" s="15" t="s">
        <v>1810</v>
      </c>
      <c r="E817" s="16">
        <v>2.9</v>
      </c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</row>
    <row r="818">
      <c r="A818" s="23">
        <v>24359.0</v>
      </c>
      <c r="B818" s="24">
        <v>5.902280331551E12</v>
      </c>
      <c r="C818" s="9" t="s">
        <v>1811</v>
      </c>
      <c r="D818" s="15" t="s">
        <v>1810</v>
      </c>
      <c r="E818" s="16">
        <v>3.3</v>
      </c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</row>
    <row r="819">
      <c r="A819" s="23">
        <v>24201.0</v>
      </c>
      <c r="B819" s="24">
        <v>5.902280308171E12</v>
      </c>
      <c r="C819" s="9" t="s">
        <v>1812</v>
      </c>
      <c r="D819" s="15" t="s">
        <v>1813</v>
      </c>
      <c r="E819" s="16">
        <v>2.6</v>
      </c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</row>
    <row r="820">
      <c r="A820" s="23">
        <v>24250.0</v>
      </c>
      <c r="B820" s="24">
        <v>5.902280321583E12</v>
      </c>
      <c r="C820" s="9" t="s">
        <v>1814</v>
      </c>
      <c r="D820" s="15" t="s">
        <v>1799</v>
      </c>
      <c r="E820" s="16">
        <v>3.6</v>
      </c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</row>
    <row r="821">
      <c r="A821" s="25">
        <v>1058.0</v>
      </c>
      <c r="B821" s="26">
        <v>5.906660780779E12</v>
      </c>
      <c r="C821" s="9" t="s">
        <v>1815</v>
      </c>
      <c r="D821" s="15" t="s">
        <v>1816</v>
      </c>
      <c r="E821" s="16">
        <v>2.7</v>
      </c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</row>
    <row r="822">
      <c r="A822" s="25">
        <v>1060.0</v>
      </c>
      <c r="B822" s="26">
        <v>5.906660780786E12</v>
      </c>
      <c r="C822" s="9" t="s">
        <v>1817</v>
      </c>
      <c r="D822" s="15" t="s">
        <v>1816</v>
      </c>
      <c r="E822" s="16">
        <v>2.7</v>
      </c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</row>
    <row r="823">
      <c r="A823" s="49">
        <v>24392.0</v>
      </c>
      <c r="B823" s="24">
        <v>5.902280339434E12</v>
      </c>
      <c r="C823" s="9" t="s">
        <v>1818</v>
      </c>
      <c r="D823" s="15" t="s">
        <v>1819</v>
      </c>
      <c r="E823" s="16">
        <v>3.9</v>
      </c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</row>
    <row r="824">
      <c r="A824" s="49">
        <v>24393.0</v>
      </c>
      <c r="B824" s="24">
        <v>5.902280339441E12</v>
      </c>
      <c r="C824" s="9" t="s">
        <v>1820</v>
      </c>
      <c r="D824" s="15" t="s">
        <v>1819</v>
      </c>
      <c r="E824" s="16">
        <v>4.8</v>
      </c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</row>
    <row r="825">
      <c r="A825" s="49" t="s">
        <v>1821</v>
      </c>
      <c r="B825" s="24">
        <v>5.90228035851E12</v>
      </c>
      <c r="C825" s="9" t="s">
        <v>1822</v>
      </c>
      <c r="D825" s="15" t="s">
        <v>1819</v>
      </c>
      <c r="E825" s="16">
        <v>3.9</v>
      </c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</row>
    <row r="826">
      <c r="A826" s="49" t="s">
        <v>1823</v>
      </c>
      <c r="B826" s="24">
        <v>5.902280358527E12</v>
      </c>
      <c r="C826" s="9" t="s">
        <v>1824</v>
      </c>
      <c r="D826" s="15" t="s">
        <v>1819</v>
      </c>
      <c r="E826" s="16">
        <v>3.9</v>
      </c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</row>
    <row r="827">
      <c r="A827" s="49" t="s">
        <v>1825</v>
      </c>
      <c r="B827" s="24">
        <v>5.902280358534E12</v>
      </c>
      <c r="C827" s="9" t="s">
        <v>1826</v>
      </c>
      <c r="D827" s="15" t="s">
        <v>1819</v>
      </c>
      <c r="E827" s="16">
        <v>6.0</v>
      </c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</row>
    <row r="828">
      <c r="A828" s="49" t="s">
        <v>1827</v>
      </c>
      <c r="B828" s="24">
        <v>5.902280358541E12</v>
      </c>
      <c r="C828" s="9" t="s">
        <v>1828</v>
      </c>
      <c r="D828" s="15" t="s">
        <v>1819</v>
      </c>
      <c r="E828" s="16">
        <v>7.0</v>
      </c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</row>
    <row r="829">
      <c r="A829" s="23">
        <v>24216.0</v>
      </c>
      <c r="B829" s="24">
        <v>5.902280319627E12</v>
      </c>
      <c r="C829" s="9" t="s">
        <v>1829</v>
      </c>
      <c r="D829" s="15" t="s">
        <v>1830</v>
      </c>
      <c r="E829" s="16">
        <v>2.7</v>
      </c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</row>
    <row r="830">
      <c r="A830" s="23">
        <v>24261.0</v>
      </c>
      <c r="B830" s="24">
        <v>5.90228031507E12</v>
      </c>
      <c r="C830" s="9" t="s">
        <v>1831</v>
      </c>
      <c r="D830" s="15" t="s">
        <v>1832</v>
      </c>
      <c r="E830" s="16">
        <v>2.7</v>
      </c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</row>
    <row r="831">
      <c r="A831" s="25">
        <v>1430.0</v>
      </c>
      <c r="B831" s="26">
        <v>5.906660780816E12</v>
      </c>
      <c r="C831" s="9" t="s">
        <v>1833</v>
      </c>
      <c r="D831" s="15" t="s">
        <v>1834</v>
      </c>
      <c r="E831" s="16">
        <v>2.7</v>
      </c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</row>
    <row r="832">
      <c r="A832" s="25">
        <v>1448.0</v>
      </c>
      <c r="B832" s="26">
        <v>5.906660780885E12</v>
      </c>
      <c r="C832" s="9" t="s">
        <v>1835</v>
      </c>
      <c r="D832" s="15" t="s">
        <v>1834</v>
      </c>
      <c r="E832" s="16">
        <v>2.7</v>
      </c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</row>
    <row r="833">
      <c r="A833" s="45">
        <v>24427.0</v>
      </c>
      <c r="B833" s="46">
        <v>5.902280344742E12</v>
      </c>
      <c r="C833" s="9" t="s">
        <v>1836</v>
      </c>
      <c r="D833" s="15" t="s">
        <v>1837</v>
      </c>
      <c r="E833" s="16">
        <v>2.7</v>
      </c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</row>
    <row r="834">
      <c r="A834" s="45">
        <v>24429.0</v>
      </c>
      <c r="B834" s="46">
        <v>5.902280344766E12</v>
      </c>
      <c r="C834" s="9" t="s">
        <v>1838</v>
      </c>
      <c r="D834" s="15" t="s">
        <v>1837</v>
      </c>
      <c r="E834" s="16">
        <v>2.8</v>
      </c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</row>
    <row r="835">
      <c r="A835" s="45">
        <v>24431.0</v>
      </c>
      <c r="B835" s="46">
        <v>5.90228034478E12</v>
      </c>
      <c r="C835" s="9" t="s">
        <v>1839</v>
      </c>
      <c r="D835" s="15" t="s">
        <v>1837</v>
      </c>
      <c r="E835" s="16">
        <v>2.7</v>
      </c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</row>
    <row r="836">
      <c r="A836" s="45">
        <v>24433.0</v>
      </c>
      <c r="B836" s="46">
        <v>5.902280344803E12</v>
      </c>
      <c r="C836" s="9" t="s">
        <v>1840</v>
      </c>
      <c r="D836" s="15" t="s">
        <v>1837</v>
      </c>
      <c r="E836" s="16">
        <v>2.8</v>
      </c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</row>
    <row r="837">
      <c r="A837" s="45">
        <v>24442.0</v>
      </c>
      <c r="B837" s="46">
        <v>5.902280346166E12</v>
      </c>
      <c r="C837" s="9" t="s">
        <v>1841</v>
      </c>
      <c r="D837" s="15" t="s">
        <v>1837</v>
      </c>
      <c r="E837" s="16">
        <v>2.7</v>
      </c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</row>
    <row r="838">
      <c r="A838" s="45">
        <v>24443.0</v>
      </c>
      <c r="B838" s="46">
        <v>5.902280346173E12</v>
      </c>
      <c r="C838" s="9" t="s">
        <v>1842</v>
      </c>
      <c r="D838" s="15" t="s">
        <v>1837</v>
      </c>
      <c r="E838" s="16">
        <v>2.8</v>
      </c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</row>
    <row r="839">
      <c r="A839" s="45">
        <v>24445.0</v>
      </c>
      <c r="B839" s="46">
        <v>5.90228034618E12</v>
      </c>
      <c r="C839" s="9" t="s">
        <v>1843</v>
      </c>
      <c r="D839" s="15" t="s">
        <v>1837</v>
      </c>
      <c r="E839" s="16">
        <v>5.7</v>
      </c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</row>
    <row r="840">
      <c r="A840" s="45">
        <v>24446.0</v>
      </c>
      <c r="B840" s="46">
        <v>5.902280346197E12</v>
      </c>
      <c r="C840" s="9" t="s">
        <v>1844</v>
      </c>
      <c r="D840" s="15" t="s">
        <v>1837</v>
      </c>
      <c r="E840" s="16">
        <v>5.7</v>
      </c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</row>
    <row r="841">
      <c r="A841" s="25">
        <v>24346.0</v>
      </c>
      <c r="B841" s="26">
        <v>5.902280329626E12</v>
      </c>
      <c r="C841" s="9" t="s">
        <v>1845</v>
      </c>
      <c r="D841" s="15" t="s">
        <v>1837</v>
      </c>
      <c r="E841" s="16">
        <v>2.7</v>
      </c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</row>
    <row r="842">
      <c r="A842" s="25">
        <v>24347.0</v>
      </c>
      <c r="B842" s="26">
        <v>5.902280329633E12</v>
      </c>
      <c r="C842" s="9" t="s">
        <v>1846</v>
      </c>
      <c r="D842" s="15" t="s">
        <v>1837</v>
      </c>
      <c r="E842" s="16">
        <v>2.7</v>
      </c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</row>
    <row r="843">
      <c r="A843" s="45">
        <v>24408.0</v>
      </c>
      <c r="B843" s="46">
        <v>5.902280340393E12</v>
      </c>
      <c r="C843" s="9" t="s">
        <v>1847</v>
      </c>
      <c r="D843" s="15" t="s">
        <v>1837</v>
      </c>
      <c r="E843" s="16">
        <v>2.7</v>
      </c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</row>
    <row r="844">
      <c r="A844" s="45">
        <v>24409.0</v>
      </c>
      <c r="B844" s="46">
        <v>5.902280340409E12</v>
      </c>
      <c r="C844" s="9" t="s">
        <v>1848</v>
      </c>
      <c r="D844" s="15" t="s">
        <v>1837</v>
      </c>
      <c r="E844" s="16">
        <v>2.7</v>
      </c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</row>
    <row r="845">
      <c r="A845" s="45">
        <v>24450.0</v>
      </c>
      <c r="B845" s="46">
        <v>5.90228034762E12</v>
      </c>
      <c r="C845" s="9" t="s">
        <v>1849</v>
      </c>
      <c r="D845" s="15" t="s">
        <v>1837</v>
      </c>
      <c r="E845" s="16">
        <v>5.7</v>
      </c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</row>
    <row r="846">
      <c r="A846" s="45">
        <v>24451.0</v>
      </c>
      <c r="B846" s="46">
        <v>5.902280347613E12</v>
      </c>
      <c r="C846" s="9" t="s">
        <v>1850</v>
      </c>
      <c r="D846" s="15" t="s">
        <v>1837</v>
      </c>
      <c r="E846" s="16">
        <v>5.7</v>
      </c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</row>
    <row r="847">
      <c r="A847" s="25">
        <v>24337.0</v>
      </c>
      <c r="B847" s="26">
        <v>5.902280328155E12</v>
      </c>
      <c r="C847" s="9" t="s">
        <v>1851</v>
      </c>
      <c r="D847" s="15" t="s">
        <v>1852</v>
      </c>
      <c r="E847" s="16">
        <v>3.9</v>
      </c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</row>
    <row r="848">
      <c r="A848" s="25">
        <v>24341.0</v>
      </c>
      <c r="B848" s="26">
        <v>5.902280328506E12</v>
      </c>
      <c r="C848" s="9" t="s">
        <v>1853</v>
      </c>
      <c r="D848" s="15" t="s">
        <v>1852</v>
      </c>
      <c r="E848" s="16">
        <v>4.8</v>
      </c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</row>
    <row r="849">
      <c r="A849" s="25">
        <v>24423.0</v>
      </c>
      <c r="B849" s="26">
        <v>5.902280344131E12</v>
      </c>
      <c r="C849" s="9" t="s">
        <v>1854</v>
      </c>
      <c r="D849" s="15" t="s">
        <v>1852</v>
      </c>
      <c r="E849" s="16">
        <v>5.7</v>
      </c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</row>
    <row r="850">
      <c r="A850" s="45">
        <v>24236.0</v>
      </c>
      <c r="B850" s="46">
        <v>5.9022803113E12</v>
      </c>
      <c r="C850" s="9" t="s">
        <v>1855</v>
      </c>
      <c r="D850" s="15" t="s">
        <v>1424</v>
      </c>
      <c r="E850" s="16">
        <v>2.7</v>
      </c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</row>
    <row r="851">
      <c r="A851" s="25">
        <v>24428.0</v>
      </c>
      <c r="B851" s="26">
        <v>5.902280344759E12</v>
      </c>
      <c r="C851" s="9" t="s">
        <v>1856</v>
      </c>
      <c r="D851" s="15" t="s">
        <v>1857</v>
      </c>
      <c r="E851" s="16">
        <v>2.7</v>
      </c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</row>
    <row r="852">
      <c r="A852" s="25">
        <v>24430.0</v>
      </c>
      <c r="B852" s="26">
        <v>5.902280344773E12</v>
      </c>
      <c r="C852" s="9" t="s">
        <v>1858</v>
      </c>
      <c r="D852" s="15" t="s">
        <v>1857</v>
      </c>
      <c r="E852" s="16">
        <v>2.8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</row>
    <row r="853">
      <c r="A853" s="25">
        <v>24432.0</v>
      </c>
      <c r="B853" s="26">
        <v>5.902280344797E12</v>
      </c>
      <c r="C853" s="9" t="s">
        <v>1859</v>
      </c>
      <c r="D853" s="15" t="s">
        <v>1857</v>
      </c>
      <c r="E853" s="16">
        <v>2.7</v>
      </c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</row>
    <row r="854">
      <c r="A854" s="25">
        <v>24434.0</v>
      </c>
      <c r="B854" s="26">
        <v>5.90228034481E12</v>
      </c>
      <c r="C854" s="9" t="s">
        <v>1860</v>
      </c>
      <c r="D854" s="15" t="s">
        <v>1857</v>
      </c>
      <c r="E854" s="16">
        <v>2.8</v>
      </c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</row>
    <row r="855">
      <c r="A855" s="25">
        <v>24438.0</v>
      </c>
      <c r="B855" s="26">
        <v>5.902280346074E12</v>
      </c>
      <c r="C855" s="9" t="s">
        <v>1861</v>
      </c>
      <c r="D855" s="15" t="s">
        <v>1857</v>
      </c>
      <c r="E855" s="16">
        <v>2.7</v>
      </c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</row>
    <row r="856">
      <c r="A856" s="25">
        <v>24439.0</v>
      </c>
      <c r="B856" s="26">
        <v>5.902280346081E12</v>
      </c>
      <c r="C856" s="9" t="s">
        <v>1862</v>
      </c>
      <c r="D856" s="15" t="s">
        <v>1857</v>
      </c>
      <c r="E856" s="16">
        <v>2.8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</row>
    <row r="857">
      <c r="A857" s="25">
        <v>24440.0</v>
      </c>
      <c r="B857" s="26">
        <v>5.902280346098E12</v>
      </c>
      <c r="C857" s="9" t="s">
        <v>1863</v>
      </c>
      <c r="D857" s="15" t="s">
        <v>1857</v>
      </c>
      <c r="E857" s="16">
        <v>5.7</v>
      </c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</row>
    <row r="858">
      <c r="A858" s="25">
        <v>24441.0</v>
      </c>
      <c r="B858" s="26">
        <v>5.902280346159E12</v>
      </c>
      <c r="C858" s="9" t="s">
        <v>1864</v>
      </c>
      <c r="D858" s="15" t="s">
        <v>1857</v>
      </c>
      <c r="E858" s="16">
        <v>5.7</v>
      </c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</row>
    <row r="859">
      <c r="A859" s="25">
        <v>24338.0</v>
      </c>
      <c r="B859" s="26">
        <v>5.902280328162E12</v>
      </c>
      <c r="C859" s="9" t="s">
        <v>1865</v>
      </c>
      <c r="D859" s="15" t="s">
        <v>1857</v>
      </c>
      <c r="E859" s="16">
        <v>2.7</v>
      </c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</row>
    <row r="860">
      <c r="A860" s="25">
        <v>24339.0</v>
      </c>
      <c r="B860" s="26">
        <v>5.902280328179E12</v>
      </c>
      <c r="C860" s="9" t="s">
        <v>1866</v>
      </c>
      <c r="D860" s="15" t="s">
        <v>1857</v>
      </c>
      <c r="E860" s="16">
        <v>2.7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</row>
    <row r="861">
      <c r="A861" s="25">
        <v>24402.0</v>
      </c>
      <c r="B861" s="26">
        <v>5.902280340287E12</v>
      </c>
      <c r="C861" s="9" t="s">
        <v>1867</v>
      </c>
      <c r="D861" s="15" t="s">
        <v>1857</v>
      </c>
      <c r="E861" s="16">
        <v>2.7</v>
      </c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</row>
    <row r="862">
      <c r="A862" s="25">
        <v>24404.0</v>
      </c>
      <c r="B862" s="26">
        <v>5.902280340294E12</v>
      </c>
      <c r="C862" s="9" t="s">
        <v>1868</v>
      </c>
      <c r="D862" s="15" t="s">
        <v>1857</v>
      </c>
      <c r="E862" s="16">
        <v>2.7</v>
      </c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</row>
    <row r="863">
      <c r="A863" s="25">
        <v>24448.0</v>
      </c>
      <c r="B863" s="26">
        <v>5.90228034759E12</v>
      </c>
      <c r="C863" s="9" t="s">
        <v>1869</v>
      </c>
      <c r="D863" s="15" t="s">
        <v>1857</v>
      </c>
      <c r="E863" s="16">
        <v>5.7</v>
      </c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</row>
    <row r="864">
      <c r="A864" s="25">
        <v>24449.0</v>
      </c>
      <c r="B864" s="26">
        <v>5.902280347606E12</v>
      </c>
      <c r="C864" s="9" t="s">
        <v>1870</v>
      </c>
      <c r="D864" s="15" t="s">
        <v>1857</v>
      </c>
      <c r="E864" s="16">
        <v>5.7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</row>
    <row r="865">
      <c r="A865" s="49">
        <v>24206.0</v>
      </c>
      <c r="B865" s="50">
        <v>5.902280308225E12</v>
      </c>
      <c r="C865" s="9" t="s">
        <v>1871</v>
      </c>
      <c r="D865" s="15" t="s">
        <v>1872</v>
      </c>
      <c r="E865" s="16">
        <v>2.7</v>
      </c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</row>
    <row r="866">
      <c r="A866" s="25">
        <v>1383.0</v>
      </c>
      <c r="B866" s="26">
        <v>5.906660780793E12</v>
      </c>
      <c r="C866" s="9" t="s">
        <v>1873</v>
      </c>
      <c r="D866" s="15" t="s">
        <v>1874</v>
      </c>
      <c r="E866" s="16">
        <v>2.7</v>
      </c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</row>
    <row r="867">
      <c r="A867" s="25">
        <v>1440.0</v>
      </c>
      <c r="B867" s="26">
        <v>5.906660780847E12</v>
      </c>
      <c r="C867" s="9" t="s">
        <v>1875</v>
      </c>
      <c r="D867" s="15" t="s">
        <v>1874</v>
      </c>
      <c r="E867" s="16">
        <v>2.7</v>
      </c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</row>
    <row r="868">
      <c r="A868" s="41">
        <v>24104.0</v>
      </c>
      <c r="B868" s="33">
        <v>5.906660788904E12</v>
      </c>
      <c r="C868" s="9" t="s">
        <v>1876</v>
      </c>
      <c r="D868" s="15" t="s">
        <v>1877</v>
      </c>
      <c r="E868" s="16">
        <v>4.4</v>
      </c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</row>
    <row r="869">
      <c r="A869" s="25">
        <v>24157.0</v>
      </c>
      <c r="B869" s="26">
        <v>5.90228030757E12</v>
      </c>
      <c r="C869" s="9" t="s">
        <v>1878</v>
      </c>
      <c r="D869" s="15" t="s">
        <v>1879</v>
      </c>
      <c r="E869" s="16">
        <v>4.4</v>
      </c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</row>
    <row r="870">
      <c r="A870" s="41">
        <v>24145.0</v>
      </c>
      <c r="B870" s="33">
        <v>5.902280305187E12</v>
      </c>
      <c r="C870" s="9" t="s">
        <v>1880</v>
      </c>
      <c r="D870" s="15" t="s">
        <v>1881</v>
      </c>
      <c r="E870" s="16">
        <v>3.6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</row>
    <row r="871">
      <c r="A871" s="53">
        <v>24021.0</v>
      </c>
      <c r="B871" s="60">
        <v>5.906660788034E12</v>
      </c>
      <c r="C871" s="9" t="s">
        <v>1882</v>
      </c>
      <c r="D871" s="15" t="s">
        <v>1883</v>
      </c>
      <c r="E871" s="16">
        <v>3.8</v>
      </c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</row>
    <row r="872">
      <c r="A872" s="53">
        <v>24014.0</v>
      </c>
      <c r="B872" s="60">
        <v>5.902280301172E12</v>
      </c>
      <c r="C872" s="9" t="s">
        <v>1884</v>
      </c>
      <c r="D872" s="15" t="s">
        <v>1885</v>
      </c>
      <c r="E872" s="16">
        <v>6.0</v>
      </c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</row>
    <row r="873">
      <c r="A873" s="53">
        <v>24111.0</v>
      </c>
      <c r="B873" s="60">
        <v>5.902280304036E12</v>
      </c>
      <c r="C873" s="9" t="s">
        <v>1886</v>
      </c>
      <c r="D873" s="15" t="s">
        <v>1887</v>
      </c>
      <c r="E873" s="16">
        <v>6.0</v>
      </c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</row>
    <row r="874">
      <c r="A874" s="25">
        <v>1439.0</v>
      </c>
      <c r="B874" s="26">
        <v>5.90666078083E12</v>
      </c>
      <c r="C874" s="9" t="s">
        <v>1888</v>
      </c>
      <c r="D874" s="15" t="s">
        <v>1889</v>
      </c>
      <c r="E874" s="16">
        <v>2.7</v>
      </c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</row>
    <row r="875">
      <c r="A875" s="25">
        <v>1441.0</v>
      </c>
      <c r="B875" s="26">
        <v>5.906660780854E12</v>
      </c>
      <c r="C875" s="9" t="s">
        <v>1890</v>
      </c>
      <c r="D875" s="15" t="s">
        <v>1889</v>
      </c>
      <c r="E875" s="16">
        <v>2.7</v>
      </c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</row>
    <row r="876">
      <c r="A876" s="23">
        <v>24203.0</v>
      </c>
      <c r="B876" s="24">
        <v>5.902280308195E12</v>
      </c>
      <c r="C876" s="9" t="s">
        <v>1891</v>
      </c>
      <c r="D876" s="15" t="s">
        <v>1892</v>
      </c>
      <c r="E876" s="16">
        <v>2.7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</row>
    <row r="877">
      <c r="A877" s="23">
        <v>24204.0</v>
      </c>
      <c r="B877" s="24">
        <v>5.902280308201E12</v>
      </c>
      <c r="C877" s="9" t="s">
        <v>1893</v>
      </c>
      <c r="D877" s="15" t="s">
        <v>1894</v>
      </c>
      <c r="E877" s="16">
        <v>2.7</v>
      </c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</row>
    <row r="878">
      <c r="A878" s="23">
        <v>24212.0</v>
      </c>
      <c r="B878" s="24">
        <v>5.90228031028E12</v>
      </c>
      <c r="C878" s="9" t="s">
        <v>1895</v>
      </c>
      <c r="D878" s="15" t="s">
        <v>1896</v>
      </c>
      <c r="E878" s="16">
        <v>2.7</v>
      </c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</row>
    <row r="879">
      <c r="A879" s="23">
        <v>310.0</v>
      </c>
      <c r="B879" s="24">
        <v>5.906660785521E12</v>
      </c>
      <c r="C879" s="9" t="s">
        <v>1897</v>
      </c>
      <c r="D879" s="15" t="s">
        <v>1898</v>
      </c>
      <c r="E879" s="16">
        <v>2.7</v>
      </c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</row>
    <row r="880">
      <c r="A880" s="23" t="s">
        <v>1899</v>
      </c>
      <c r="B880" s="24">
        <v>5.902280322504E12</v>
      </c>
      <c r="C880" s="9" t="s">
        <v>1900</v>
      </c>
      <c r="D880" s="15" t="s">
        <v>1901</v>
      </c>
      <c r="E880" s="16">
        <v>3.7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</row>
    <row r="881">
      <c r="A881" s="23">
        <v>24273.0</v>
      </c>
      <c r="B881" s="24">
        <v>5.902280315094E12</v>
      </c>
      <c r="C881" s="9" t="s">
        <v>1902</v>
      </c>
      <c r="D881" s="15" t="s">
        <v>1903</v>
      </c>
      <c r="E881" s="16">
        <v>5.9</v>
      </c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</row>
    <row r="882">
      <c r="A882" s="23">
        <v>24274.0</v>
      </c>
      <c r="B882" s="24">
        <v>5.9022803151E12</v>
      </c>
      <c r="C882" s="9" t="s">
        <v>1904</v>
      </c>
      <c r="D882" s="15" t="s">
        <v>1905</v>
      </c>
      <c r="E882" s="16">
        <v>5.9</v>
      </c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</row>
    <row r="883">
      <c r="A883" s="23">
        <v>85.0</v>
      </c>
      <c r="B883" s="24">
        <v>5.906660781028E12</v>
      </c>
      <c r="C883" s="9" t="s">
        <v>1906</v>
      </c>
      <c r="D883" s="15" t="s">
        <v>1907</v>
      </c>
      <c r="E883" s="16">
        <v>2.7</v>
      </c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</row>
    <row r="884">
      <c r="A884" s="23">
        <v>24040.0</v>
      </c>
      <c r="B884" s="24">
        <v>5.906660788898E12</v>
      </c>
      <c r="C884" s="9" t="s">
        <v>1908</v>
      </c>
      <c r="D884" s="15" t="s">
        <v>1909</v>
      </c>
      <c r="E884" s="16">
        <v>3.8</v>
      </c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</row>
    <row r="885">
      <c r="A885" s="23">
        <v>24039.0</v>
      </c>
      <c r="B885" s="24">
        <v>5.906660788881E12</v>
      </c>
      <c r="C885" s="9" t="s">
        <v>1910</v>
      </c>
      <c r="D885" s="15" t="s">
        <v>1911</v>
      </c>
      <c r="E885" s="16">
        <v>4.1</v>
      </c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</row>
    <row r="886">
      <c r="A886" s="23">
        <v>84.0</v>
      </c>
      <c r="B886" s="24">
        <v>5.906660781035E12</v>
      </c>
      <c r="C886" s="9" t="s">
        <v>1912</v>
      </c>
      <c r="D886" s="15" t="s">
        <v>1913</v>
      </c>
      <c r="E886" s="16">
        <v>2.7</v>
      </c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</row>
    <row r="887">
      <c r="A887" s="25">
        <v>24115.0</v>
      </c>
      <c r="B887" s="26">
        <v>5.902280303718E12</v>
      </c>
      <c r="C887" s="9" t="s">
        <v>1914</v>
      </c>
      <c r="D887" s="15" t="s">
        <v>1915</v>
      </c>
      <c r="E887" s="16">
        <v>6.2</v>
      </c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</row>
    <row r="888">
      <c r="A888" s="25">
        <v>24116.0</v>
      </c>
      <c r="B888" s="26">
        <v>5.902280303725E12</v>
      </c>
      <c r="C888" s="9" t="s">
        <v>1916</v>
      </c>
      <c r="D888" s="15" t="s">
        <v>1917</v>
      </c>
      <c r="E888" s="16">
        <v>6.2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</row>
    <row r="889">
      <c r="A889" s="25">
        <v>24117.0</v>
      </c>
      <c r="B889" s="26">
        <v>5.902280303732E12</v>
      </c>
      <c r="C889" s="9" t="s">
        <v>1918</v>
      </c>
      <c r="D889" s="15" t="s">
        <v>1919</v>
      </c>
      <c r="E889" s="16">
        <v>6.2</v>
      </c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</row>
    <row r="890">
      <c r="A890" s="23">
        <v>24173.0</v>
      </c>
      <c r="B890" s="24">
        <v>5.902280307594E12</v>
      </c>
      <c r="C890" s="9" t="s">
        <v>1920</v>
      </c>
      <c r="D890" s="15" t="s">
        <v>1921</v>
      </c>
      <c r="E890" s="16">
        <v>6.2</v>
      </c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</row>
    <row r="891">
      <c r="A891" s="23">
        <v>24172.0</v>
      </c>
      <c r="B891" s="24">
        <v>5.902280307587E12</v>
      </c>
      <c r="C891" s="9" t="s">
        <v>1922</v>
      </c>
      <c r="D891" s="15" t="s">
        <v>1923</v>
      </c>
      <c r="E891" s="16">
        <v>6.2</v>
      </c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</row>
    <row r="892">
      <c r="A892" s="23">
        <v>24175.0</v>
      </c>
      <c r="B892" s="24">
        <v>5.902280307617E12</v>
      </c>
      <c r="C892" s="9" t="s">
        <v>1924</v>
      </c>
      <c r="D892" s="15" t="s">
        <v>1925</v>
      </c>
      <c r="E892" s="16">
        <v>6.2</v>
      </c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</row>
    <row r="893">
      <c r="A893" s="23">
        <v>24174.0</v>
      </c>
      <c r="B893" s="24">
        <v>5.9022803076E12</v>
      </c>
      <c r="C893" s="9" t="s">
        <v>1926</v>
      </c>
      <c r="D893" s="15" t="s">
        <v>1927</v>
      </c>
      <c r="E893" s="16">
        <v>6.2</v>
      </c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</row>
    <row r="894">
      <c r="A894" s="23">
        <v>24022.0</v>
      </c>
      <c r="B894" s="24">
        <v>5.906660788041E12</v>
      </c>
      <c r="C894" s="9" t="s">
        <v>1928</v>
      </c>
      <c r="D894" s="15" t="s">
        <v>1929</v>
      </c>
      <c r="E894" s="16">
        <v>3.1</v>
      </c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</row>
    <row r="895">
      <c r="A895" s="23">
        <v>24023.0</v>
      </c>
      <c r="B895" s="24">
        <v>5.906660788058E12</v>
      </c>
      <c r="C895" s="9" t="s">
        <v>1930</v>
      </c>
      <c r="D895" s="15" t="s">
        <v>1931</v>
      </c>
      <c r="E895" s="16">
        <v>3.1</v>
      </c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</row>
    <row r="896">
      <c r="A896" s="23">
        <v>90.0</v>
      </c>
      <c r="B896" s="24">
        <v>5.90666078067E12</v>
      </c>
      <c r="C896" s="9" t="s">
        <v>1932</v>
      </c>
      <c r="D896" s="15" t="s">
        <v>1933</v>
      </c>
      <c r="E896" s="16">
        <v>6.2</v>
      </c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</row>
    <row r="897">
      <c r="A897" s="23">
        <v>24044.0</v>
      </c>
      <c r="B897" s="24">
        <v>5.906660788454E12</v>
      </c>
      <c r="C897" s="9" t="s">
        <v>1934</v>
      </c>
      <c r="D897" s="15" t="s">
        <v>1935</v>
      </c>
      <c r="E897" s="16">
        <v>5.0</v>
      </c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</row>
    <row r="898">
      <c r="A898" s="23">
        <v>24043.0</v>
      </c>
      <c r="B898" s="24">
        <v>5.906660788447E12</v>
      </c>
      <c r="C898" s="9" t="s">
        <v>1936</v>
      </c>
      <c r="D898" s="15" t="s">
        <v>1937</v>
      </c>
      <c r="E898" s="16">
        <v>5.2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</row>
    <row r="899">
      <c r="A899" s="23">
        <v>100.0</v>
      </c>
      <c r="B899" s="24">
        <v>5.906660780687E12</v>
      </c>
      <c r="C899" s="9" t="s">
        <v>1938</v>
      </c>
      <c r="D899" s="15" t="s">
        <v>1939</v>
      </c>
      <c r="E899" s="16">
        <v>6.2</v>
      </c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</row>
    <row r="900">
      <c r="A900" s="73">
        <v>24141.0</v>
      </c>
      <c r="B900" s="74">
        <v>5.902280304852E12</v>
      </c>
      <c r="C900" s="9" t="s">
        <v>1940</v>
      </c>
      <c r="D900" s="15" t="s">
        <v>1941</v>
      </c>
      <c r="E900" s="16">
        <v>3.1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</row>
    <row r="901">
      <c r="A901" s="73">
        <v>24140.0</v>
      </c>
      <c r="B901" s="74">
        <v>5.902280304845E12</v>
      </c>
      <c r="C901" s="9" t="s">
        <v>1942</v>
      </c>
      <c r="D901" s="15" t="s">
        <v>1943</v>
      </c>
      <c r="E901" s="16">
        <v>3.1</v>
      </c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</row>
    <row r="902">
      <c r="A902" s="41">
        <v>24100.0</v>
      </c>
      <c r="B902" s="33">
        <v>5.906660788607E12</v>
      </c>
      <c r="C902" s="9" t="s">
        <v>1944</v>
      </c>
      <c r="D902" s="15" t="s">
        <v>1945</v>
      </c>
      <c r="E902" s="16">
        <v>2.3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</row>
    <row r="903">
      <c r="A903" s="73">
        <v>24128.0</v>
      </c>
      <c r="B903" s="74">
        <v>5.902280304654E12</v>
      </c>
      <c r="C903" s="9" t="s">
        <v>1946</v>
      </c>
      <c r="D903" s="15" t="s">
        <v>1947</v>
      </c>
      <c r="E903" s="16">
        <v>3.7</v>
      </c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</row>
    <row r="904">
      <c r="A904" s="23">
        <v>10.0</v>
      </c>
      <c r="B904" s="24">
        <v>5.906660781509E12</v>
      </c>
      <c r="C904" s="9" t="s">
        <v>1948</v>
      </c>
      <c r="D904" s="15" t="s">
        <v>1949</v>
      </c>
      <c r="E904" s="16">
        <v>2.7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</row>
    <row r="905">
      <c r="A905" s="25">
        <v>1384.0</v>
      </c>
      <c r="B905" s="26">
        <v>5.906660780809E12</v>
      </c>
      <c r="C905" s="9" t="s">
        <v>1950</v>
      </c>
      <c r="D905" s="15" t="s">
        <v>1951</v>
      </c>
      <c r="E905" s="16">
        <v>2.7</v>
      </c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</row>
    <row r="906">
      <c r="A906" s="25">
        <v>24388.0</v>
      </c>
      <c r="B906" s="26">
        <v>5.902280338581E12</v>
      </c>
      <c r="C906" s="9" t="s">
        <v>1952</v>
      </c>
      <c r="D906" s="15" t="s">
        <v>1953</v>
      </c>
      <c r="E906" s="16">
        <v>9.0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</row>
    <row r="907">
      <c r="A907" s="25">
        <v>24389.0</v>
      </c>
      <c r="B907" s="26">
        <v>5.902280338598E12</v>
      </c>
      <c r="C907" s="9" t="s">
        <v>1954</v>
      </c>
      <c r="D907" s="15" t="s">
        <v>1955</v>
      </c>
      <c r="E907" s="16">
        <v>9.0</v>
      </c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</row>
    <row r="908">
      <c r="A908" s="25">
        <v>24391.0</v>
      </c>
      <c r="B908" s="26">
        <v>5.902280338611E12</v>
      </c>
      <c r="C908" s="9" t="s">
        <v>1956</v>
      </c>
      <c r="D908" s="15" t="s">
        <v>1957</v>
      </c>
      <c r="E908" s="16">
        <v>11.2</v>
      </c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</row>
    <row r="909">
      <c r="A909" s="25">
        <v>24387.0</v>
      </c>
      <c r="B909" s="26">
        <v>5.902280338574E12</v>
      </c>
      <c r="C909" s="9" t="s">
        <v>1958</v>
      </c>
      <c r="D909" s="15" t="s">
        <v>1959</v>
      </c>
      <c r="E909" s="16">
        <v>9.0</v>
      </c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</row>
    <row r="910">
      <c r="A910" s="25">
        <v>24416.0</v>
      </c>
      <c r="B910" s="26">
        <v>5.902280342625E12</v>
      </c>
      <c r="C910" s="9" t="s">
        <v>1960</v>
      </c>
      <c r="D910" s="15" t="s">
        <v>1953</v>
      </c>
      <c r="E910" s="16">
        <v>4.1</v>
      </c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</row>
    <row r="911">
      <c r="A911" s="25">
        <v>70547.0</v>
      </c>
      <c r="B911" s="26">
        <v>5.902280342687E12</v>
      </c>
      <c r="C911" s="9" t="s">
        <v>1961</v>
      </c>
      <c r="D911" s="15" t="s">
        <v>1962</v>
      </c>
      <c r="E911" s="16">
        <v>4.1</v>
      </c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</row>
    <row r="912">
      <c r="A912" s="25">
        <v>963.0</v>
      </c>
      <c r="B912" s="26">
        <v>5.906660780663E12</v>
      </c>
      <c r="C912" s="9" t="s">
        <v>1963</v>
      </c>
      <c r="D912" s="15" t="s">
        <v>1964</v>
      </c>
      <c r="E912" s="16">
        <v>2.7</v>
      </c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</row>
    <row r="913">
      <c r="A913" s="23">
        <v>24033.0</v>
      </c>
      <c r="B913" s="24">
        <v>5.906660789451E12</v>
      </c>
      <c r="C913" s="9" t="s">
        <v>1965</v>
      </c>
      <c r="D913" s="15" t="s">
        <v>1966</v>
      </c>
      <c r="E913" s="16">
        <v>6.6</v>
      </c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</row>
    <row r="914">
      <c r="A914" s="23">
        <v>24028.0</v>
      </c>
      <c r="B914" s="24">
        <v>5.90666078939E12</v>
      </c>
      <c r="C914" s="9" t="s">
        <v>1967</v>
      </c>
      <c r="D914" s="15" t="s">
        <v>1968</v>
      </c>
      <c r="E914" s="16">
        <v>6.6</v>
      </c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</row>
    <row r="915">
      <c r="A915" s="23">
        <v>24308.0</v>
      </c>
      <c r="B915" s="24">
        <v>5.902280323129E12</v>
      </c>
      <c r="C915" s="9" t="s">
        <v>1969</v>
      </c>
      <c r="D915" s="15" t="s">
        <v>1968</v>
      </c>
      <c r="E915" s="16">
        <v>6.7</v>
      </c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</row>
    <row r="916">
      <c r="A916" s="25">
        <v>24113.0</v>
      </c>
      <c r="B916" s="26">
        <v>5.902280300151E12</v>
      </c>
      <c r="C916" s="9" t="s">
        <v>1970</v>
      </c>
      <c r="D916" s="15" t="s">
        <v>1971</v>
      </c>
      <c r="E916" s="16">
        <v>7.9</v>
      </c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</row>
    <row r="917">
      <c r="A917" s="25">
        <v>24114.0</v>
      </c>
      <c r="B917" s="26">
        <v>5.902280300144E12</v>
      </c>
      <c r="C917" s="9" t="s">
        <v>1972</v>
      </c>
      <c r="D917" s="15" t="s">
        <v>1973</v>
      </c>
      <c r="E917" s="16">
        <v>7.9</v>
      </c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</row>
    <row r="918">
      <c r="A918" s="23">
        <v>24230.0</v>
      </c>
      <c r="B918" s="24">
        <v>5.902280310389E12</v>
      </c>
      <c r="C918" s="9" t="s">
        <v>1974</v>
      </c>
      <c r="D918" s="15" t="s">
        <v>1975</v>
      </c>
      <c r="E918" s="16">
        <v>7.9</v>
      </c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</row>
    <row r="919">
      <c r="A919" s="23">
        <v>24229.0</v>
      </c>
      <c r="B919" s="24">
        <v>5.902280310372E12</v>
      </c>
      <c r="C919" s="9" t="s">
        <v>1976</v>
      </c>
      <c r="D919" s="15" t="s">
        <v>1975</v>
      </c>
      <c r="E919" s="16">
        <v>7.9</v>
      </c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</row>
    <row r="920">
      <c r="A920" s="23">
        <v>24037.0</v>
      </c>
      <c r="B920" s="24">
        <v>5.906660788461E12</v>
      </c>
      <c r="C920" s="9" t="s">
        <v>1977</v>
      </c>
      <c r="D920" s="15" t="s">
        <v>1978</v>
      </c>
      <c r="E920" s="16">
        <v>4.0</v>
      </c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</row>
    <row r="921">
      <c r="A921" s="23">
        <v>24038.0</v>
      </c>
      <c r="B921" s="24">
        <v>5.906660788478E12</v>
      </c>
      <c r="C921" s="9" t="s">
        <v>1979</v>
      </c>
      <c r="D921" s="15" t="s">
        <v>1980</v>
      </c>
      <c r="E921" s="16">
        <v>4.0</v>
      </c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</row>
    <row r="922">
      <c r="A922" s="41">
        <v>24127.0</v>
      </c>
      <c r="B922" s="33">
        <v>5.902280303763E12</v>
      </c>
      <c r="C922" s="9" t="s">
        <v>1981</v>
      </c>
      <c r="D922" s="15" t="s">
        <v>1982</v>
      </c>
      <c r="E922" s="16">
        <v>6.2</v>
      </c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</row>
    <row r="923">
      <c r="A923" s="23">
        <v>305.0</v>
      </c>
      <c r="B923" s="24">
        <v>5.906660785422E12</v>
      </c>
      <c r="C923" s="9" t="s">
        <v>1983</v>
      </c>
      <c r="D923" s="15" t="s">
        <v>1984</v>
      </c>
      <c r="E923" s="16">
        <v>13.7</v>
      </c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</row>
    <row r="924">
      <c r="A924" s="23">
        <v>24007.0</v>
      </c>
      <c r="B924" s="24">
        <v>5.906660787143E12</v>
      </c>
      <c r="C924" s="9" t="s">
        <v>1985</v>
      </c>
      <c r="D924" s="15" t="s">
        <v>1986</v>
      </c>
      <c r="E924" s="16">
        <v>3.4</v>
      </c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</row>
    <row r="925">
      <c r="A925" s="23">
        <v>24281.0</v>
      </c>
      <c r="B925" s="24">
        <v>5.90228032076E12</v>
      </c>
      <c r="C925" s="9" t="s">
        <v>1987</v>
      </c>
      <c r="D925" s="15" t="s">
        <v>1988</v>
      </c>
      <c r="E925" s="16">
        <v>4.5</v>
      </c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</row>
    <row r="926">
      <c r="A926" s="23">
        <v>24264.0</v>
      </c>
      <c r="B926" s="24">
        <v>5.902280315124E12</v>
      </c>
      <c r="C926" s="9" t="s">
        <v>1989</v>
      </c>
      <c r="D926" s="15" t="s">
        <v>1990</v>
      </c>
      <c r="E926" s="16">
        <v>3.5</v>
      </c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</row>
    <row r="927">
      <c r="A927" s="25">
        <v>24313.0</v>
      </c>
      <c r="B927" s="26">
        <v>5.902280325963E12</v>
      </c>
      <c r="C927" s="9" t="s">
        <v>1991</v>
      </c>
      <c r="D927" s="15" t="s">
        <v>1992</v>
      </c>
      <c r="E927" s="16">
        <v>3.5</v>
      </c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</row>
    <row r="928">
      <c r="A928" s="23">
        <v>24003.0</v>
      </c>
      <c r="B928" s="24">
        <v>5.906660787082E12</v>
      </c>
      <c r="C928" s="9" t="s">
        <v>1993</v>
      </c>
      <c r="D928" s="15" t="s">
        <v>1994</v>
      </c>
      <c r="E928" s="16">
        <v>1.5</v>
      </c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</row>
    <row r="929">
      <c r="A929" s="23">
        <v>24217.0</v>
      </c>
      <c r="B929" s="24">
        <v>5.902280310273E12</v>
      </c>
      <c r="C929" s="9" t="s">
        <v>1995</v>
      </c>
      <c r="D929" s="15" t="s">
        <v>1996</v>
      </c>
      <c r="E929" s="16">
        <v>2.7</v>
      </c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</row>
    <row r="930">
      <c r="A930" s="23">
        <v>24238.0</v>
      </c>
      <c r="B930" s="24">
        <v>5.902280317838E12</v>
      </c>
      <c r="C930" s="9" t="s">
        <v>1997</v>
      </c>
      <c r="D930" s="15" t="s">
        <v>1998</v>
      </c>
      <c r="E930" s="16">
        <v>7.3</v>
      </c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</row>
    <row r="931">
      <c r="A931" s="23">
        <v>24239.0</v>
      </c>
      <c r="B931" s="24">
        <v>5.902280319979E12</v>
      </c>
      <c r="C931" s="9" t="s">
        <v>1999</v>
      </c>
      <c r="D931" s="15" t="s">
        <v>2000</v>
      </c>
      <c r="E931" s="16">
        <v>4.7</v>
      </c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</row>
    <row r="932">
      <c r="A932" s="23">
        <v>24004.0</v>
      </c>
      <c r="B932" s="24">
        <v>5.906660787075E12</v>
      </c>
      <c r="C932" s="9" t="s">
        <v>2001</v>
      </c>
      <c r="D932" s="15" t="s">
        <v>2002</v>
      </c>
      <c r="E932" s="16">
        <v>3.5</v>
      </c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</row>
    <row r="933">
      <c r="A933" s="49">
        <v>24371.0</v>
      </c>
      <c r="B933" s="24">
        <v>5.902280335962E12</v>
      </c>
      <c r="C933" s="9" t="s">
        <v>2003</v>
      </c>
      <c r="D933" s="15" t="s">
        <v>2002</v>
      </c>
      <c r="E933" s="16">
        <v>7.1</v>
      </c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</row>
    <row r="934">
      <c r="A934" s="23">
        <v>24005.0</v>
      </c>
      <c r="B934" s="24">
        <v>5.906660787112E12</v>
      </c>
      <c r="C934" s="9" t="s">
        <v>2004</v>
      </c>
      <c r="D934" s="15" t="s">
        <v>2005</v>
      </c>
      <c r="E934" s="16">
        <v>3.5</v>
      </c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</row>
    <row r="935">
      <c r="A935" s="23">
        <v>24006.0</v>
      </c>
      <c r="B935" s="24">
        <v>5.906660787129E12</v>
      </c>
      <c r="C935" s="9" t="s">
        <v>2006</v>
      </c>
      <c r="D935" s="15" t="s">
        <v>2007</v>
      </c>
      <c r="E935" s="16">
        <v>3.5</v>
      </c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</row>
    <row r="936">
      <c r="A936" s="23">
        <v>24298.0</v>
      </c>
      <c r="B936" s="24">
        <v>5.902280321194E12</v>
      </c>
      <c r="C936" s="9" t="s">
        <v>2008</v>
      </c>
      <c r="D936" s="15" t="s">
        <v>2007</v>
      </c>
      <c r="E936" s="16">
        <v>7.0</v>
      </c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</row>
    <row r="937">
      <c r="A937" s="53">
        <v>24045.0</v>
      </c>
      <c r="B937" s="60">
        <v>5.906660788492E12</v>
      </c>
      <c r="C937" s="9" t="s">
        <v>2009</v>
      </c>
      <c r="D937" s="15" t="s">
        <v>2010</v>
      </c>
      <c r="E937" s="16">
        <v>4.3</v>
      </c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</row>
    <row r="938">
      <c r="A938" s="41">
        <v>24034.0</v>
      </c>
      <c r="B938" s="33">
        <v>5.906660788522E12</v>
      </c>
      <c r="C938" s="9" t="s">
        <v>2011</v>
      </c>
      <c r="D938" s="15" t="s">
        <v>2012</v>
      </c>
      <c r="E938" s="16">
        <v>4.0</v>
      </c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</row>
    <row r="939">
      <c r="A939" s="36">
        <v>24280.0</v>
      </c>
      <c r="B939" s="37">
        <v>5.90228032232E12</v>
      </c>
      <c r="C939" s="9" t="s">
        <v>2013</v>
      </c>
      <c r="D939" s="15" t="s">
        <v>2014</v>
      </c>
      <c r="E939" s="16">
        <v>5.2</v>
      </c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</row>
    <row r="940">
      <c r="A940" s="53">
        <v>24020.0</v>
      </c>
      <c r="B940" s="60">
        <v>5.906660789345E12</v>
      </c>
      <c r="C940" s="9" t="s">
        <v>2015</v>
      </c>
      <c r="D940" s="15" t="s">
        <v>2016</v>
      </c>
      <c r="E940" s="16">
        <v>3.4</v>
      </c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</row>
    <row r="941">
      <c r="A941" s="53">
        <v>24029.0</v>
      </c>
      <c r="B941" s="60">
        <v>5.906660789437E12</v>
      </c>
      <c r="C941" s="9" t="s">
        <v>2017</v>
      </c>
      <c r="D941" s="15" t="s">
        <v>2018</v>
      </c>
      <c r="E941" s="16">
        <v>4.4</v>
      </c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</row>
    <row r="942">
      <c r="A942" s="53">
        <v>24030.0</v>
      </c>
      <c r="B942" s="60">
        <v>5.906660789444E12</v>
      </c>
      <c r="C942" s="9" t="s">
        <v>2019</v>
      </c>
      <c r="D942" s="15" t="s">
        <v>2020</v>
      </c>
      <c r="E942" s="16">
        <v>4.4</v>
      </c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</row>
    <row r="943">
      <c r="A943" s="23">
        <v>24335.0</v>
      </c>
      <c r="B943" s="24">
        <v>5.90228032795E12</v>
      </c>
      <c r="C943" s="9" t="s">
        <v>2021</v>
      </c>
      <c r="D943" s="15" t="s">
        <v>2022</v>
      </c>
      <c r="E943" s="16">
        <v>8.5</v>
      </c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</row>
    <row r="944">
      <c r="A944" s="23">
        <v>24336.0</v>
      </c>
      <c r="B944" s="24">
        <v>5.902280327967E12</v>
      </c>
      <c r="C944" s="9" t="s">
        <v>2023</v>
      </c>
      <c r="D944" s="15" t="s">
        <v>2024</v>
      </c>
      <c r="E944" s="16">
        <v>8.8</v>
      </c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</row>
    <row r="945">
      <c r="A945" s="23">
        <v>24329.0</v>
      </c>
      <c r="B945" s="24">
        <v>5.902280327042E12</v>
      </c>
      <c r="C945" s="9" t="s">
        <v>2025</v>
      </c>
      <c r="D945" s="15" t="s">
        <v>2026</v>
      </c>
      <c r="E945" s="16">
        <v>5.2</v>
      </c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</row>
    <row r="946">
      <c r="A946" s="23">
        <v>24406.0</v>
      </c>
      <c r="B946" s="24">
        <v>5.902280340317E12</v>
      </c>
      <c r="C946" s="9" t="s">
        <v>2027</v>
      </c>
      <c r="D946" s="15" t="s">
        <v>2026</v>
      </c>
      <c r="E946" s="16">
        <v>7.1</v>
      </c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</row>
    <row r="947">
      <c r="A947" s="23">
        <v>24334.0</v>
      </c>
      <c r="B947" s="24">
        <v>5.902280327943E12</v>
      </c>
      <c r="C947" s="9" t="s">
        <v>2028</v>
      </c>
      <c r="D947" s="15" t="s">
        <v>2029</v>
      </c>
      <c r="E947" s="16">
        <v>8.8</v>
      </c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</row>
    <row r="948">
      <c r="A948" s="23">
        <v>24353.0</v>
      </c>
      <c r="B948" s="24">
        <v>5.902280329824E12</v>
      </c>
      <c r="C948" s="9" t="s">
        <v>2030</v>
      </c>
      <c r="D948" s="15" t="s">
        <v>2031</v>
      </c>
      <c r="E948" s="16">
        <v>9.6</v>
      </c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</row>
    <row r="949">
      <c r="A949" s="23">
        <v>24350.0</v>
      </c>
      <c r="B949" s="24">
        <v>5.902280329701E12</v>
      </c>
      <c r="C949" s="9" t="s">
        <v>2032</v>
      </c>
      <c r="D949" s="15" t="s">
        <v>2033</v>
      </c>
      <c r="E949" s="16">
        <v>5.3</v>
      </c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</row>
    <row r="950">
      <c r="A950" s="23">
        <v>24355.0</v>
      </c>
      <c r="B950" s="24">
        <v>5.902280330387E12</v>
      </c>
      <c r="C950" s="9" t="s">
        <v>2034</v>
      </c>
      <c r="D950" s="15" t="s">
        <v>2035</v>
      </c>
      <c r="E950" s="16">
        <v>8.8</v>
      </c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</row>
    <row r="951">
      <c r="A951" s="23">
        <v>24354.0</v>
      </c>
      <c r="B951" s="24">
        <v>5.902280329831E12</v>
      </c>
      <c r="C951" s="9" t="s">
        <v>2036</v>
      </c>
      <c r="D951" s="15" t="s">
        <v>2037</v>
      </c>
      <c r="E951" s="16">
        <v>10.5</v>
      </c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</row>
    <row r="952">
      <c r="A952" s="23">
        <v>24351.0</v>
      </c>
      <c r="B952" s="24">
        <v>5.902280329718E12</v>
      </c>
      <c r="C952" s="9" t="s">
        <v>2038</v>
      </c>
      <c r="D952" s="15" t="s">
        <v>2039</v>
      </c>
      <c r="E952" s="16">
        <v>7.8</v>
      </c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</row>
    <row r="953">
      <c r="A953" s="23">
        <v>24356.0</v>
      </c>
      <c r="B953" s="24">
        <v>5.902280330394E12</v>
      </c>
      <c r="C953" s="9" t="s">
        <v>2040</v>
      </c>
      <c r="D953" s="15" t="s">
        <v>2041</v>
      </c>
      <c r="E953" s="16">
        <v>11.6</v>
      </c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</row>
    <row r="954">
      <c r="A954" s="23">
        <v>24357.0</v>
      </c>
      <c r="B954" s="24">
        <v>5.9022803304E12</v>
      </c>
      <c r="C954" s="9" t="s">
        <v>2042</v>
      </c>
      <c r="D954" s="15" t="s">
        <v>2043</v>
      </c>
      <c r="E954" s="16">
        <v>8.8</v>
      </c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</row>
    <row r="955">
      <c r="A955" s="23">
        <v>24349.0</v>
      </c>
      <c r="B955" s="24">
        <v>5.902280329695E12</v>
      </c>
      <c r="C955" s="9" t="s">
        <v>2044</v>
      </c>
      <c r="D955" s="15" t="s">
        <v>2045</v>
      </c>
      <c r="E955" s="16">
        <v>5.1</v>
      </c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</row>
    <row r="956">
      <c r="A956" s="23">
        <v>314.0</v>
      </c>
      <c r="B956" s="24">
        <v>5.906660785842E12</v>
      </c>
      <c r="C956" s="9" t="s">
        <v>2046</v>
      </c>
      <c r="D956" s="15" t="s">
        <v>2047</v>
      </c>
      <c r="E956" s="16">
        <v>5.7</v>
      </c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</row>
    <row r="957">
      <c r="A957" s="23">
        <v>24001.0</v>
      </c>
      <c r="B957" s="24">
        <v>5.906660787105E12</v>
      </c>
      <c r="C957" s="9" t="s">
        <v>2048</v>
      </c>
      <c r="D957" s="15" t="s">
        <v>2049</v>
      </c>
      <c r="E957" s="16">
        <v>6.1</v>
      </c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</row>
    <row r="958">
      <c r="A958" s="23">
        <v>24011.0</v>
      </c>
      <c r="B958" s="24">
        <v>5.906660787648E12</v>
      </c>
      <c r="C958" s="9" t="s">
        <v>2050</v>
      </c>
      <c r="D958" s="15" t="s">
        <v>2051</v>
      </c>
      <c r="E958" s="16">
        <v>5.7</v>
      </c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</row>
    <row r="959">
      <c r="A959" s="23">
        <v>24211.0</v>
      </c>
      <c r="B959" s="24">
        <v>5.902280308997E12</v>
      </c>
      <c r="C959" s="9" t="s">
        <v>2052</v>
      </c>
      <c r="D959" s="15" t="s">
        <v>2051</v>
      </c>
      <c r="E959" s="16">
        <v>8.8</v>
      </c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</row>
    <row r="960">
      <c r="A960" s="23">
        <v>24016.0</v>
      </c>
      <c r="B960" s="24">
        <v>5.906660787679E12</v>
      </c>
      <c r="C960" s="9" t="s">
        <v>2053</v>
      </c>
      <c r="D960" s="15" t="s">
        <v>2054</v>
      </c>
      <c r="E960" s="16">
        <v>5.7</v>
      </c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</row>
    <row r="961">
      <c r="A961" s="23">
        <v>24017.0</v>
      </c>
      <c r="B961" s="24">
        <v>5.906660787686E12</v>
      </c>
      <c r="C961" s="9" t="s">
        <v>2055</v>
      </c>
      <c r="D961" s="15" t="s">
        <v>2056</v>
      </c>
      <c r="E961" s="16">
        <v>5.7</v>
      </c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</row>
    <row r="962">
      <c r="A962" s="23">
        <v>24012.0</v>
      </c>
      <c r="B962" s="24">
        <v>5.906660787655E12</v>
      </c>
      <c r="C962" s="9" t="s">
        <v>2057</v>
      </c>
      <c r="D962" s="15" t="s">
        <v>2058</v>
      </c>
      <c r="E962" s="16">
        <v>5.7</v>
      </c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</row>
    <row r="963">
      <c r="A963" s="23">
        <v>24013.0</v>
      </c>
      <c r="B963" s="24">
        <v>5.906660787662E12</v>
      </c>
      <c r="C963" s="9" t="s">
        <v>2059</v>
      </c>
      <c r="D963" s="15" t="s">
        <v>2060</v>
      </c>
      <c r="E963" s="16">
        <v>5.7</v>
      </c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</row>
    <row r="964">
      <c r="A964" s="23">
        <v>24107.0</v>
      </c>
      <c r="B964" s="24">
        <v>5.902280300106E12</v>
      </c>
      <c r="C964" s="9" t="s">
        <v>2061</v>
      </c>
      <c r="D964" s="15" t="s">
        <v>2062</v>
      </c>
      <c r="E964" s="16">
        <v>12.6</v>
      </c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</row>
    <row r="965">
      <c r="A965" s="23">
        <v>24109.0</v>
      </c>
      <c r="B965" s="24">
        <v>5.90228030012E12</v>
      </c>
      <c r="C965" s="9" t="s">
        <v>2063</v>
      </c>
      <c r="D965" s="15" t="s">
        <v>2064</v>
      </c>
      <c r="E965" s="16">
        <v>12.4</v>
      </c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</row>
    <row r="966">
      <c r="A966" s="23">
        <v>24181.0</v>
      </c>
      <c r="B966" s="24">
        <v>5.902280307679E12</v>
      </c>
      <c r="C966" s="9" t="s">
        <v>2065</v>
      </c>
      <c r="D966" s="15" t="s">
        <v>2066</v>
      </c>
      <c r="E966" s="16">
        <v>3.1</v>
      </c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</row>
    <row r="967">
      <c r="A967" s="23">
        <v>24180.0</v>
      </c>
      <c r="B967" s="24">
        <v>5.902280307662E12</v>
      </c>
      <c r="C967" s="9" t="s">
        <v>2067</v>
      </c>
      <c r="D967" s="15" t="s">
        <v>2068</v>
      </c>
      <c r="E967" s="16">
        <v>3.1</v>
      </c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</row>
    <row r="968">
      <c r="A968" s="23">
        <v>24148.0</v>
      </c>
      <c r="B968" s="24">
        <v>5.902280304814E12</v>
      </c>
      <c r="C968" s="9" t="s">
        <v>2069</v>
      </c>
      <c r="D968" s="15" t="s">
        <v>2070</v>
      </c>
      <c r="E968" s="16">
        <v>4.7</v>
      </c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</row>
    <row r="969">
      <c r="A969" s="23">
        <v>24282.0</v>
      </c>
      <c r="B969" s="24">
        <v>5.902280322382E12</v>
      </c>
      <c r="C969" s="9" t="s">
        <v>2071</v>
      </c>
      <c r="D969" s="15" t="s">
        <v>2072</v>
      </c>
      <c r="E969" s="16">
        <v>5.5</v>
      </c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</row>
    <row r="970">
      <c r="A970" s="25">
        <v>20001.0</v>
      </c>
      <c r="B970" s="26">
        <v>5.906660785873E12</v>
      </c>
      <c r="C970" s="9" t="s">
        <v>2073</v>
      </c>
      <c r="D970" s="15" t="s">
        <v>1816</v>
      </c>
      <c r="E970" s="16">
        <v>1.0</v>
      </c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</row>
    <row r="971">
      <c r="A971" s="25">
        <v>20004.0</v>
      </c>
      <c r="B971" s="26">
        <v>5.906660785903E12</v>
      </c>
      <c r="C971" s="9" t="s">
        <v>2074</v>
      </c>
      <c r="D971" s="15" t="s">
        <v>2075</v>
      </c>
      <c r="E971" s="16">
        <v>1.0</v>
      </c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</row>
    <row r="972">
      <c r="A972" s="25">
        <v>21001.0</v>
      </c>
      <c r="B972" s="26">
        <v>5.906660785934E12</v>
      </c>
      <c r="C972" s="9" t="s">
        <v>2076</v>
      </c>
      <c r="D972" s="15" t="s">
        <v>1816</v>
      </c>
      <c r="E972" s="16">
        <v>1.0</v>
      </c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</row>
    <row r="973">
      <c r="A973" s="25">
        <v>21002.0</v>
      </c>
      <c r="B973" s="26">
        <v>5.906660785958E12</v>
      </c>
      <c r="C973" s="9" t="s">
        <v>2077</v>
      </c>
      <c r="D973" s="15" t="s">
        <v>2078</v>
      </c>
      <c r="E973" s="16">
        <v>1.0</v>
      </c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</row>
    <row r="974">
      <c r="A974" s="25">
        <v>21004.0</v>
      </c>
      <c r="B974" s="26">
        <v>5.906660785941E12</v>
      </c>
      <c r="C974" s="9" t="s">
        <v>2079</v>
      </c>
      <c r="D974" s="15" t="s">
        <v>2080</v>
      </c>
      <c r="E974" s="16">
        <v>1.0</v>
      </c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</row>
    <row r="975">
      <c r="A975" s="25">
        <v>22003.0</v>
      </c>
      <c r="B975" s="26">
        <v>5.906660786016E12</v>
      </c>
      <c r="C975" s="9" t="s">
        <v>2081</v>
      </c>
      <c r="D975" s="15" t="s">
        <v>2082</v>
      </c>
      <c r="E975" s="16">
        <v>1.0</v>
      </c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</row>
    <row r="976">
      <c r="A976" s="25">
        <v>23003.0</v>
      </c>
      <c r="B976" s="26">
        <v>5.906660786023E12</v>
      </c>
      <c r="C976" s="9" t="s">
        <v>2083</v>
      </c>
      <c r="D976" s="15" t="s">
        <v>2084</v>
      </c>
      <c r="E976" s="16">
        <v>2.0</v>
      </c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</row>
    <row r="977">
      <c r="A977" s="23">
        <v>20051.0</v>
      </c>
      <c r="B977" s="24">
        <v>5.906660786375E12</v>
      </c>
      <c r="C977" s="9" t="s">
        <v>2085</v>
      </c>
      <c r="D977" s="15" t="s">
        <v>2086</v>
      </c>
      <c r="E977" s="16">
        <v>1.4</v>
      </c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</row>
    <row r="978">
      <c r="A978" s="25">
        <v>20003.0</v>
      </c>
      <c r="B978" s="26">
        <v>5.906660785897E12</v>
      </c>
      <c r="C978" s="9" t="s">
        <v>2087</v>
      </c>
      <c r="D978" s="15" t="s">
        <v>2082</v>
      </c>
      <c r="E978" s="16">
        <v>1.4</v>
      </c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</row>
    <row r="979">
      <c r="A979" s="25">
        <v>21003.0</v>
      </c>
      <c r="B979" s="26">
        <v>5.906660785927E12</v>
      </c>
      <c r="C979" s="9" t="s">
        <v>2088</v>
      </c>
      <c r="D979" s="15" t="s">
        <v>2082</v>
      </c>
      <c r="E979" s="16">
        <v>1.6</v>
      </c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</row>
    <row r="980">
      <c r="A980" s="25">
        <v>20052.0</v>
      </c>
      <c r="B980" s="26">
        <v>5.906660786429E12</v>
      </c>
      <c r="C980" s="9" t="s">
        <v>2089</v>
      </c>
      <c r="D980" s="15" t="s">
        <v>2090</v>
      </c>
      <c r="E980" s="16">
        <v>1.4</v>
      </c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</row>
    <row r="981">
      <c r="A981" s="25">
        <v>20053.0</v>
      </c>
      <c r="B981" s="26">
        <v>5.90666078632E12</v>
      </c>
      <c r="C981" s="9" t="s">
        <v>2091</v>
      </c>
      <c r="D981" s="15" t="s">
        <v>2092</v>
      </c>
      <c r="E981" s="16">
        <v>1.4</v>
      </c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</row>
    <row r="982">
      <c r="A982" s="25">
        <v>20054.0</v>
      </c>
      <c r="B982" s="26">
        <v>5.90666078645E12</v>
      </c>
      <c r="C982" s="9" t="s">
        <v>2093</v>
      </c>
      <c r="D982" s="15" t="s">
        <v>2094</v>
      </c>
      <c r="E982" s="16">
        <v>1.4</v>
      </c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</row>
    <row r="983">
      <c r="A983" s="23">
        <v>24129.0</v>
      </c>
      <c r="B983" s="24">
        <v>5.902280304586E12</v>
      </c>
      <c r="C983" s="9" t="s">
        <v>2095</v>
      </c>
      <c r="D983" s="15" t="s">
        <v>2096</v>
      </c>
      <c r="E983" s="16">
        <v>3.4</v>
      </c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</row>
    <row r="984">
      <c r="A984" s="23">
        <v>24132.0</v>
      </c>
      <c r="B984" s="24">
        <v>5.902280304593E12</v>
      </c>
      <c r="C984" s="9" t="s">
        <v>2097</v>
      </c>
      <c r="D984" s="15" t="s">
        <v>2096</v>
      </c>
      <c r="E984" s="16">
        <v>4.4</v>
      </c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</row>
    <row r="985">
      <c r="A985" s="23">
        <v>24134.0</v>
      </c>
      <c r="B985" s="24">
        <v>5.902280304609E12</v>
      </c>
      <c r="C985" s="9" t="s">
        <v>2098</v>
      </c>
      <c r="D985" s="15" t="s">
        <v>2096</v>
      </c>
      <c r="E985" s="16">
        <v>4.4</v>
      </c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</row>
    <row r="986">
      <c r="A986" s="23">
        <v>24277.0</v>
      </c>
      <c r="B986" s="24">
        <v>5.902280319931E12</v>
      </c>
      <c r="C986" s="9" t="s">
        <v>2099</v>
      </c>
      <c r="D986" s="15" t="s">
        <v>2100</v>
      </c>
      <c r="E986" s="16">
        <v>3.3</v>
      </c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</row>
    <row r="987">
      <c r="A987" s="49">
        <v>24294.0</v>
      </c>
      <c r="B987" s="50">
        <v>5.902280347163E12</v>
      </c>
      <c r="C987" s="9" t="s">
        <v>2101</v>
      </c>
      <c r="D987" s="15" t="s">
        <v>2102</v>
      </c>
      <c r="E987" s="16">
        <v>6.0</v>
      </c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</row>
    <row r="988">
      <c r="A988" s="75">
        <v>24379.0</v>
      </c>
      <c r="B988" s="76">
        <v>5.902280337812E12</v>
      </c>
      <c r="C988" s="9" t="s">
        <v>2103</v>
      </c>
      <c r="D988" s="15" t="s">
        <v>2104</v>
      </c>
      <c r="E988" s="16">
        <v>2.5</v>
      </c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</row>
    <row r="989">
      <c r="A989" s="75">
        <v>24399.0</v>
      </c>
      <c r="B989" s="76">
        <v>5.902280340249E12</v>
      </c>
      <c r="C989" s="9" t="s">
        <v>2105</v>
      </c>
      <c r="D989" s="15" t="s">
        <v>2104</v>
      </c>
      <c r="E989" s="16">
        <v>3.5</v>
      </c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</row>
    <row r="990">
      <c r="A990" s="75">
        <v>24384.0</v>
      </c>
      <c r="B990" s="76">
        <v>5.902280338154E12</v>
      </c>
      <c r="C990" s="9" t="s">
        <v>2106</v>
      </c>
      <c r="D990" s="15" t="s">
        <v>2107</v>
      </c>
      <c r="E990" s="16">
        <v>3.2</v>
      </c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</row>
    <row r="991">
      <c r="A991" s="75">
        <v>24400.0</v>
      </c>
      <c r="B991" s="76">
        <v>5.902280340256E12</v>
      </c>
      <c r="C991" s="9" t="s">
        <v>2108</v>
      </c>
      <c r="D991" s="15" t="s">
        <v>2107</v>
      </c>
      <c r="E991" s="16">
        <v>3.6</v>
      </c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</row>
    <row r="992">
      <c r="A992" s="75">
        <v>24327.0</v>
      </c>
      <c r="B992" s="76">
        <v>5.90228032683E12</v>
      </c>
      <c r="C992" s="9" t="s">
        <v>2109</v>
      </c>
      <c r="D992" s="15" t="s">
        <v>2110</v>
      </c>
      <c r="E992" s="16">
        <v>2.6</v>
      </c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</row>
    <row r="993">
      <c r="A993" s="75">
        <v>24360.0</v>
      </c>
      <c r="B993" s="76">
        <v>5.902280331568E12</v>
      </c>
      <c r="C993" s="9" t="s">
        <v>2111</v>
      </c>
      <c r="D993" s="15" t="s">
        <v>2110</v>
      </c>
      <c r="E993" s="16">
        <v>3.5</v>
      </c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</row>
    <row r="994">
      <c r="A994" s="73">
        <v>24320.0</v>
      </c>
      <c r="B994" s="74">
        <v>5.902280326441E12</v>
      </c>
      <c r="C994" s="9" t="s">
        <v>2112</v>
      </c>
      <c r="D994" s="15" t="s">
        <v>2113</v>
      </c>
      <c r="E994" s="16">
        <v>3.6</v>
      </c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</row>
    <row r="995">
      <c r="A995" s="23">
        <v>24344.0</v>
      </c>
      <c r="B995" s="24">
        <v>5.902280328537E12</v>
      </c>
      <c r="C995" s="9" t="s">
        <v>2114</v>
      </c>
      <c r="D995" s="15" t="s">
        <v>1852</v>
      </c>
      <c r="E995" s="16">
        <v>4.4</v>
      </c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</row>
    <row r="996">
      <c r="A996" s="23">
        <v>24345.0</v>
      </c>
      <c r="B996" s="24">
        <v>5.902280328544E12</v>
      </c>
      <c r="C996" s="9" t="s">
        <v>2115</v>
      </c>
      <c r="D996" s="15" t="s">
        <v>1852</v>
      </c>
      <c r="E996" s="16">
        <v>5.3</v>
      </c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</row>
    <row r="997">
      <c r="A997" s="23">
        <v>24342.0</v>
      </c>
      <c r="B997" s="24">
        <v>5.902280328513E12</v>
      </c>
      <c r="C997" s="9" t="s">
        <v>2116</v>
      </c>
      <c r="D997" s="15" t="s">
        <v>1857</v>
      </c>
      <c r="E997" s="16">
        <v>2.7</v>
      </c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</row>
    <row r="998">
      <c r="A998" s="23">
        <v>24343.0</v>
      </c>
      <c r="B998" s="24">
        <v>5.90228032852E12</v>
      </c>
      <c r="C998" s="9" t="s">
        <v>2117</v>
      </c>
      <c r="D998" s="15" t="s">
        <v>1857</v>
      </c>
      <c r="E998" s="16">
        <v>2.7</v>
      </c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</row>
    <row r="999">
      <c r="A999" s="73">
        <v>24365.0</v>
      </c>
      <c r="B999" s="74">
        <v>5.90228033251E12</v>
      </c>
      <c r="C999" s="9" t="s">
        <v>2118</v>
      </c>
      <c r="D999" s="15" t="s">
        <v>2119</v>
      </c>
      <c r="E999" s="16">
        <v>4.4</v>
      </c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</row>
    <row r="1000">
      <c r="A1000" s="23">
        <v>24382.0</v>
      </c>
      <c r="B1000" s="24">
        <v>5.902280337904E12</v>
      </c>
      <c r="C1000" s="9" t="s">
        <v>2120</v>
      </c>
      <c r="D1000" s="15" t="s">
        <v>1424</v>
      </c>
      <c r="E1000" s="16">
        <v>3.0</v>
      </c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</row>
    <row r="1001">
      <c r="A1001" s="73">
        <v>24068.0</v>
      </c>
      <c r="B1001" s="74">
        <v>5.906660789765E12</v>
      </c>
      <c r="C1001" s="9" t="s">
        <v>2121</v>
      </c>
      <c r="D1001" s="15" t="s">
        <v>2122</v>
      </c>
      <c r="E1001" s="16">
        <v>2.7</v>
      </c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</row>
    <row r="1002">
      <c r="A1002" s="73">
        <v>24083.0</v>
      </c>
      <c r="B1002" s="74">
        <v>5.906660789796E12</v>
      </c>
      <c r="C1002" s="9" t="s">
        <v>2123</v>
      </c>
      <c r="D1002" s="15" t="s">
        <v>2122</v>
      </c>
      <c r="E1002" s="16">
        <v>2.7</v>
      </c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</row>
    <row r="1003">
      <c r="A1003" s="73">
        <v>24161.0</v>
      </c>
      <c r="B1003" s="74">
        <v>5.902280321538E12</v>
      </c>
      <c r="C1003" s="9" t="s">
        <v>2124</v>
      </c>
      <c r="D1003" s="15" t="s">
        <v>2122</v>
      </c>
      <c r="E1003" s="16">
        <v>4.3</v>
      </c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</row>
    <row r="1004">
      <c r="A1004" s="49">
        <v>24419.0</v>
      </c>
      <c r="B1004" s="24">
        <v>5.902280342724E12</v>
      </c>
      <c r="C1004" s="9" t="s">
        <v>2125</v>
      </c>
      <c r="D1004" s="15" t="s">
        <v>2126</v>
      </c>
      <c r="E1004" s="16">
        <v>4.4</v>
      </c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</row>
    <row r="1005">
      <c r="A1005" s="49">
        <v>24420.0</v>
      </c>
      <c r="B1005" s="24">
        <v>5.902280342731E12</v>
      </c>
      <c r="C1005" s="9" t="s">
        <v>2127</v>
      </c>
      <c r="D1005" s="15" t="s">
        <v>2126</v>
      </c>
      <c r="E1005" s="16">
        <v>5.3</v>
      </c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</row>
    <row r="1006">
      <c r="A1006" s="73">
        <v>24331.0</v>
      </c>
      <c r="B1006" s="74">
        <v>5.902280327271E12</v>
      </c>
      <c r="C1006" s="9" t="s">
        <v>2128</v>
      </c>
      <c r="D1006" s="15" t="s">
        <v>2129</v>
      </c>
      <c r="E1006" s="16">
        <v>3.6</v>
      </c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</row>
    <row r="1007">
      <c r="A1007" s="23">
        <v>24362.0</v>
      </c>
      <c r="B1007" s="24">
        <v>5.902280332268E12</v>
      </c>
      <c r="C1007" s="9" t="s">
        <v>2130</v>
      </c>
      <c r="D1007" s="15" t="s">
        <v>1837</v>
      </c>
      <c r="E1007" s="16">
        <v>2.7</v>
      </c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</row>
    <row r="1008">
      <c r="A1008" s="23">
        <v>24363.0</v>
      </c>
      <c r="B1008" s="24">
        <v>5.902280332275E12</v>
      </c>
      <c r="C1008" s="9" t="s">
        <v>2131</v>
      </c>
      <c r="D1008" s="15" t="s">
        <v>1837</v>
      </c>
      <c r="E1008" s="16">
        <v>2.7</v>
      </c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</row>
    <row r="1009">
      <c r="A1009" s="73">
        <v>24380.0</v>
      </c>
      <c r="B1009" s="74">
        <v>5.902280337829E12</v>
      </c>
      <c r="C1009" s="9" t="s">
        <v>2132</v>
      </c>
      <c r="D1009" s="15" t="s">
        <v>2133</v>
      </c>
      <c r="E1009" s="16">
        <v>3.2</v>
      </c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</row>
    <row r="1010">
      <c r="A1010" s="73">
        <v>24381.0</v>
      </c>
      <c r="B1010" s="74">
        <v>5.902280337836E12</v>
      </c>
      <c r="C1010" s="9" t="s">
        <v>2134</v>
      </c>
      <c r="D1010" s="15" t="s">
        <v>2135</v>
      </c>
      <c r="E1010" s="16">
        <v>3.2</v>
      </c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</row>
    <row r="1011">
      <c r="A1011" s="73">
        <v>24070.0</v>
      </c>
      <c r="B1011" s="74">
        <v>5.906660789772E12</v>
      </c>
      <c r="C1011" s="9" t="s">
        <v>2136</v>
      </c>
      <c r="D1011" s="15" t="s">
        <v>2082</v>
      </c>
      <c r="E1011" s="16">
        <v>2.7</v>
      </c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</row>
    <row r="1012">
      <c r="A1012" s="73">
        <v>24085.0</v>
      </c>
      <c r="B1012" s="74">
        <v>5.902280302049E12</v>
      </c>
      <c r="C1012" s="9" t="s">
        <v>2137</v>
      </c>
      <c r="D1012" s="15" t="s">
        <v>2082</v>
      </c>
      <c r="E1012" s="16">
        <v>2.7</v>
      </c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</row>
    <row r="1013">
      <c r="A1013" s="73">
        <v>24130.0</v>
      </c>
      <c r="B1013" s="76">
        <v>5.902280304579E12</v>
      </c>
      <c r="C1013" s="9" t="s">
        <v>2138</v>
      </c>
      <c r="D1013" s="15" t="s">
        <v>2139</v>
      </c>
      <c r="E1013" s="16">
        <v>3.4</v>
      </c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</row>
    <row r="1014">
      <c r="A1014" s="73">
        <v>24133.0</v>
      </c>
      <c r="B1014" s="76">
        <v>5.902280304562E12</v>
      </c>
      <c r="C1014" s="9" t="s">
        <v>2140</v>
      </c>
      <c r="D1014" s="15" t="s">
        <v>2139</v>
      </c>
      <c r="E1014" s="16">
        <v>4.4</v>
      </c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</row>
    <row r="1015">
      <c r="A1015" s="73">
        <v>24135.0</v>
      </c>
      <c r="B1015" s="76">
        <v>5.902280304555E12</v>
      </c>
      <c r="C1015" s="9" t="s">
        <v>2141</v>
      </c>
      <c r="D1015" s="15" t="s">
        <v>2139</v>
      </c>
      <c r="E1015" s="16">
        <v>4.4</v>
      </c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</row>
    <row r="1016">
      <c r="A1016" s="75">
        <v>24385.0</v>
      </c>
      <c r="B1016" s="76">
        <v>5.90228033826E12</v>
      </c>
      <c r="C1016" s="9" t="s">
        <v>2142</v>
      </c>
      <c r="D1016" s="15" t="s">
        <v>2143</v>
      </c>
      <c r="E1016" s="16">
        <v>5.7</v>
      </c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</row>
    <row r="1017">
      <c r="A1017" s="73">
        <v>24263.0</v>
      </c>
      <c r="B1017" s="74">
        <v>5.902280317845E12</v>
      </c>
      <c r="C1017" s="9" t="s">
        <v>2144</v>
      </c>
      <c r="D1017" s="15" t="s">
        <v>2145</v>
      </c>
      <c r="E1017" s="16">
        <v>3.5</v>
      </c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</row>
    <row r="1018">
      <c r="A1018" s="73">
        <v>24009.0</v>
      </c>
      <c r="B1018" s="74">
        <v>5.902280334446E12</v>
      </c>
      <c r="C1018" s="9" t="s">
        <v>2146</v>
      </c>
      <c r="D1018" s="15" t="s">
        <v>2147</v>
      </c>
      <c r="E1018" s="16">
        <v>3.8</v>
      </c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</row>
    <row r="1019">
      <c r="A1019" s="73">
        <v>24405.0</v>
      </c>
      <c r="B1019" s="74">
        <v>5.9022803403E12</v>
      </c>
      <c r="C1019" s="9" t="s">
        <v>2148</v>
      </c>
      <c r="D1019" s="15" t="s">
        <v>2149</v>
      </c>
      <c r="E1019" s="16">
        <v>7.1</v>
      </c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</row>
    <row r="1020">
      <c r="A1020" s="73">
        <v>24348.0</v>
      </c>
      <c r="B1020" s="74">
        <v>5.902280329664E12</v>
      </c>
      <c r="C1020" s="9" t="s">
        <v>2150</v>
      </c>
      <c r="D1020" s="15" t="s">
        <v>2151</v>
      </c>
      <c r="E1020" s="16">
        <v>8.4</v>
      </c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</row>
    <row r="1021">
      <c r="A1021" s="75">
        <v>24126.0</v>
      </c>
      <c r="B1021" s="76">
        <v>5.902280303749E12</v>
      </c>
      <c r="C1021" s="9" t="s">
        <v>2152</v>
      </c>
      <c r="D1021" s="15" t="s">
        <v>2153</v>
      </c>
      <c r="E1021" s="16">
        <v>7.9</v>
      </c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</row>
    <row r="1022">
      <c r="A1022" s="75">
        <v>24125.0</v>
      </c>
      <c r="B1022" s="76">
        <v>5.902280303756E12</v>
      </c>
      <c r="C1022" s="9" t="s">
        <v>2154</v>
      </c>
      <c r="D1022" s="15" t="s">
        <v>2155</v>
      </c>
      <c r="E1022" s="16">
        <v>7.9</v>
      </c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</row>
    <row r="1023">
      <c r="A1023" s="75">
        <v>24318.0</v>
      </c>
      <c r="B1023" s="76">
        <v>5.902280326083E12</v>
      </c>
      <c r="C1023" s="9" t="s">
        <v>2156</v>
      </c>
      <c r="D1023" s="15" t="s">
        <v>2157</v>
      </c>
      <c r="E1023" s="16">
        <v>8.3</v>
      </c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</row>
    <row r="1024">
      <c r="A1024" s="75">
        <v>24317.0</v>
      </c>
      <c r="B1024" s="76">
        <v>5.902280326076E12</v>
      </c>
      <c r="C1024" s="9" t="s">
        <v>2158</v>
      </c>
      <c r="D1024" s="15" t="s">
        <v>2155</v>
      </c>
      <c r="E1024" s="16">
        <v>8.3</v>
      </c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</row>
    <row r="1025">
      <c r="A1025" s="75">
        <v>24247.0</v>
      </c>
      <c r="B1025" s="76">
        <v>5.902280310761E12</v>
      </c>
      <c r="C1025" s="9" t="s">
        <v>2159</v>
      </c>
      <c r="D1025" s="15" t="s">
        <v>2160</v>
      </c>
      <c r="E1025" s="16">
        <v>4.0</v>
      </c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</row>
    <row r="1026">
      <c r="A1026" s="75">
        <v>24246.0</v>
      </c>
      <c r="B1026" s="76">
        <v>5.902280310778E12</v>
      </c>
      <c r="C1026" s="9" t="s">
        <v>2161</v>
      </c>
      <c r="D1026" s="15" t="s">
        <v>2162</v>
      </c>
      <c r="E1026" s="16">
        <v>4.0</v>
      </c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</row>
    <row r="1027">
      <c r="A1027" s="23">
        <v>24285.0</v>
      </c>
      <c r="B1027" s="24">
        <v>5.902280320067E12</v>
      </c>
      <c r="C1027" s="9" t="s">
        <v>2163</v>
      </c>
      <c r="D1027" s="15" t="s">
        <v>2100</v>
      </c>
      <c r="E1027" s="16">
        <v>3.3</v>
      </c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</row>
    <row r="1028">
      <c r="A1028" s="23">
        <v>24062.0</v>
      </c>
      <c r="B1028" s="24">
        <v>5.906660788379E12</v>
      </c>
      <c r="C1028" s="9" t="s">
        <v>2164</v>
      </c>
      <c r="D1028" s="15" t="s">
        <v>1816</v>
      </c>
      <c r="E1028" s="16">
        <v>5.6</v>
      </c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</row>
    <row r="1029">
      <c r="A1029" s="23">
        <v>24065.0</v>
      </c>
      <c r="B1029" s="24">
        <v>5.906660788393E12</v>
      </c>
      <c r="C1029" s="9" t="s">
        <v>2165</v>
      </c>
      <c r="D1029" s="15" t="s">
        <v>2166</v>
      </c>
      <c r="E1029" s="16">
        <v>5.0</v>
      </c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</row>
    <row r="1030">
      <c r="A1030" s="23">
        <v>24055.0</v>
      </c>
      <c r="B1030" s="24">
        <v>5.906660788539E12</v>
      </c>
      <c r="C1030" s="9" t="s">
        <v>2167</v>
      </c>
      <c r="D1030" s="15" t="s">
        <v>2168</v>
      </c>
      <c r="E1030" s="16">
        <v>5.1</v>
      </c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</row>
    <row r="1031">
      <c r="A1031" s="23">
        <v>24054.0</v>
      </c>
      <c r="B1031" s="24">
        <v>5.906660788867E12</v>
      </c>
      <c r="C1031" s="9" t="s">
        <v>2169</v>
      </c>
      <c r="D1031" s="15" t="s">
        <v>1911</v>
      </c>
      <c r="E1031" s="16">
        <v>5.5</v>
      </c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</row>
    <row r="1032">
      <c r="A1032" s="23">
        <v>24056.0</v>
      </c>
      <c r="B1032" s="24">
        <v>5.906660788416E12</v>
      </c>
      <c r="C1032" s="9" t="s">
        <v>2170</v>
      </c>
      <c r="D1032" s="15" t="s">
        <v>2171</v>
      </c>
      <c r="E1032" s="16">
        <v>8.0</v>
      </c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</row>
    <row r="1033">
      <c r="A1033" s="23">
        <v>24058.0</v>
      </c>
      <c r="B1033" s="24">
        <v>5.90666078843E12</v>
      </c>
      <c r="C1033" s="9" t="s">
        <v>2172</v>
      </c>
      <c r="D1033" s="15" t="s">
        <v>1935</v>
      </c>
      <c r="E1033" s="16">
        <v>6.4</v>
      </c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</row>
    <row r="1034">
      <c r="A1034" s="23">
        <v>24057.0</v>
      </c>
      <c r="B1034" s="24">
        <v>5.906660788423E12</v>
      </c>
      <c r="C1034" s="9" t="s">
        <v>2173</v>
      </c>
      <c r="D1034" s="15" t="s">
        <v>1937</v>
      </c>
      <c r="E1034" s="16">
        <v>6.7</v>
      </c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</row>
    <row r="1035">
      <c r="A1035" s="36">
        <v>24051.0</v>
      </c>
      <c r="B1035" s="37">
        <v>5.906660788348E12</v>
      </c>
      <c r="C1035" s="9" t="s">
        <v>2174</v>
      </c>
      <c r="D1035" s="15" t="s">
        <v>2002</v>
      </c>
      <c r="E1035" s="16">
        <v>6.5</v>
      </c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</row>
    <row r="1036">
      <c r="A1036" s="36">
        <v>24394.0</v>
      </c>
      <c r="B1036" s="60">
        <v>5.902280339656E12</v>
      </c>
      <c r="C1036" s="9" t="s">
        <v>2175</v>
      </c>
      <c r="D1036" s="15" t="s">
        <v>2176</v>
      </c>
      <c r="E1036" s="16">
        <v>9.7</v>
      </c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</row>
    <row r="1037">
      <c r="A1037" s="36">
        <v>24103.0</v>
      </c>
      <c r="B1037" s="37">
        <v>5.902280302254E12</v>
      </c>
      <c r="C1037" s="9" t="s">
        <v>2177</v>
      </c>
      <c r="D1037" s="15" t="s">
        <v>2005</v>
      </c>
      <c r="E1037" s="16">
        <v>6.5</v>
      </c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</row>
    <row r="1038">
      <c r="A1038" s="36">
        <v>24102.0</v>
      </c>
      <c r="B1038" s="37">
        <v>5.906660788843E12</v>
      </c>
      <c r="C1038" s="9" t="s">
        <v>2178</v>
      </c>
      <c r="D1038" s="15" t="s">
        <v>2007</v>
      </c>
      <c r="E1038" s="16">
        <v>6.5</v>
      </c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</row>
    <row r="1039">
      <c r="A1039" s="23">
        <v>24177.0</v>
      </c>
      <c r="B1039" s="24">
        <v>5.902280307631E12</v>
      </c>
      <c r="C1039" s="9" t="s">
        <v>2179</v>
      </c>
      <c r="D1039" s="15" t="s">
        <v>2180</v>
      </c>
      <c r="E1039" s="16">
        <v>7.9</v>
      </c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</row>
    <row r="1040">
      <c r="A1040" s="23">
        <v>24176.0</v>
      </c>
      <c r="B1040" s="24">
        <v>5.902280307624E12</v>
      </c>
      <c r="C1040" s="9" t="s">
        <v>2181</v>
      </c>
      <c r="D1040" s="15" t="s">
        <v>2182</v>
      </c>
      <c r="E1040" s="16">
        <v>7.9</v>
      </c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</row>
    <row r="1041">
      <c r="A1041" s="23">
        <v>24179.0</v>
      </c>
      <c r="B1041" s="24">
        <v>5.902280307655E12</v>
      </c>
      <c r="C1041" s="9" t="s">
        <v>2183</v>
      </c>
      <c r="D1041" s="15" t="s">
        <v>2184</v>
      </c>
      <c r="E1041" s="16">
        <v>7.9</v>
      </c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</row>
    <row r="1042">
      <c r="A1042" s="23">
        <v>24178.0</v>
      </c>
      <c r="B1042" s="24">
        <v>5.902280307648E12</v>
      </c>
      <c r="C1042" s="9" t="s">
        <v>2185</v>
      </c>
      <c r="D1042" s="15" t="s">
        <v>2186</v>
      </c>
      <c r="E1042" s="16">
        <v>7.9</v>
      </c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</row>
    <row r="1043">
      <c r="A1043" s="53">
        <v>24052.0</v>
      </c>
      <c r="B1043" s="60">
        <v>5.906660788508E12</v>
      </c>
      <c r="C1043" s="9" t="s">
        <v>2187</v>
      </c>
      <c r="D1043" s="15" t="s">
        <v>2010</v>
      </c>
      <c r="E1043" s="16">
        <v>6.1</v>
      </c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</row>
    <row r="1044">
      <c r="A1044" s="53">
        <v>24377.0</v>
      </c>
      <c r="B1044" s="60">
        <v>5.902280337232E12</v>
      </c>
      <c r="C1044" s="9" t="s">
        <v>2188</v>
      </c>
      <c r="D1044" s="15" t="s">
        <v>2189</v>
      </c>
      <c r="E1044" s="16">
        <v>6.6</v>
      </c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</row>
    <row r="1045">
      <c r="A1045" s="53">
        <v>24035.0</v>
      </c>
      <c r="B1045" s="60">
        <v>5.906660788355E12</v>
      </c>
      <c r="C1045" s="9" t="s">
        <v>2190</v>
      </c>
      <c r="D1045" s="15" t="s">
        <v>2018</v>
      </c>
      <c r="E1045" s="16">
        <v>6.9</v>
      </c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</row>
    <row r="1046">
      <c r="A1046" s="53">
        <v>24036.0</v>
      </c>
      <c r="B1046" s="60">
        <v>5.906660788362E12</v>
      </c>
      <c r="C1046" s="9" t="s">
        <v>2191</v>
      </c>
      <c r="D1046" s="15" t="s">
        <v>2020</v>
      </c>
      <c r="E1046" s="16">
        <v>6.9</v>
      </c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</row>
    <row r="1047">
      <c r="A1047" s="53">
        <v>24193.0</v>
      </c>
      <c r="B1047" s="60">
        <v>5.902280306962E12</v>
      </c>
      <c r="C1047" s="9" t="s">
        <v>2192</v>
      </c>
      <c r="D1047" s="15" t="s">
        <v>2193</v>
      </c>
      <c r="E1047" s="16">
        <v>13.6</v>
      </c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</row>
    <row r="1048">
      <c r="A1048" s="53">
        <v>24196.0</v>
      </c>
      <c r="B1048" s="60">
        <v>5.902280306979E12</v>
      </c>
      <c r="C1048" s="9" t="s">
        <v>2194</v>
      </c>
      <c r="D1048" s="15" t="s">
        <v>2195</v>
      </c>
      <c r="E1048" s="16">
        <v>13.6</v>
      </c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</row>
    <row r="1049">
      <c r="A1049" s="23">
        <v>24106.0</v>
      </c>
      <c r="B1049" s="24">
        <v>5.902280300083E12</v>
      </c>
      <c r="C1049" s="9" t="s">
        <v>2196</v>
      </c>
      <c r="D1049" s="15" t="s">
        <v>2197</v>
      </c>
      <c r="E1049" s="16">
        <v>17.4</v>
      </c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</row>
    <row r="1050">
      <c r="A1050" s="23">
        <v>24105.0</v>
      </c>
      <c r="B1050" s="24">
        <v>5.90228030009E12</v>
      </c>
      <c r="C1050" s="9" t="s">
        <v>2198</v>
      </c>
      <c r="D1050" s="15" t="s">
        <v>2199</v>
      </c>
      <c r="E1050" s="16">
        <v>11.8</v>
      </c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</row>
    <row r="1051">
      <c r="A1051" s="23">
        <v>24108.0</v>
      </c>
      <c r="B1051" s="24">
        <v>5.902280302353E12</v>
      </c>
      <c r="C1051" s="9" t="s">
        <v>2200</v>
      </c>
      <c r="D1051" s="15" t="s">
        <v>2201</v>
      </c>
      <c r="E1051" s="16">
        <v>15.6</v>
      </c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</row>
    <row r="1052">
      <c r="A1052" s="23">
        <v>24110.0</v>
      </c>
      <c r="B1052" s="24">
        <v>5.902280300137E12</v>
      </c>
      <c r="C1052" s="9" t="s">
        <v>2202</v>
      </c>
      <c r="D1052" s="15" t="s">
        <v>2203</v>
      </c>
      <c r="E1052" s="16">
        <v>15.8</v>
      </c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</row>
    <row r="1053">
      <c r="A1053" s="23">
        <v>24220.0</v>
      </c>
      <c r="B1053" s="24">
        <v>5.902280309819E12</v>
      </c>
      <c r="C1053" s="9" t="s">
        <v>2204</v>
      </c>
      <c r="D1053" s="15" t="s">
        <v>2205</v>
      </c>
      <c r="E1053" s="16">
        <v>8.1</v>
      </c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</row>
    <row r="1054">
      <c r="A1054" s="23">
        <v>24221.0</v>
      </c>
      <c r="B1054" s="24">
        <v>5.902280312789E12</v>
      </c>
      <c r="C1054" s="9" t="s">
        <v>2206</v>
      </c>
      <c r="D1054" s="15" t="s">
        <v>2207</v>
      </c>
      <c r="E1054" s="16">
        <v>8.1</v>
      </c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</row>
    <row r="1055">
      <c r="A1055" s="23">
        <v>24222.0</v>
      </c>
      <c r="B1055" s="24">
        <v>5.902280322405E12</v>
      </c>
      <c r="C1055" s="9" t="s">
        <v>2208</v>
      </c>
      <c r="D1055" s="15" t="s">
        <v>2209</v>
      </c>
      <c r="E1055" s="16">
        <v>8.1</v>
      </c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</row>
    <row r="1056">
      <c r="A1056" s="23">
        <v>24151.0</v>
      </c>
      <c r="B1056" s="24">
        <v>5.902280304869E12</v>
      </c>
      <c r="C1056" s="9" t="s">
        <v>2210</v>
      </c>
      <c r="D1056" s="15" t="s">
        <v>2211</v>
      </c>
      <c r="E1056" s="16">
        <v>14.0</v>
      </c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</row>
    <row r="1057">
      <c r="A1057" s="23">
        <v>24152.0</v>
      </c>
      <c r="B1057" s="24">
        <v>5.902280310266E12</v>
      </c>
      <c r="C1057" s="9" t="s">
        <v>2212</v>
      </c>
      <c r="D1057" s="15" t="s">
        <v>2213</v>
      </c>
      <c r="E1057" s="16">
        <v>14.0</v>
      </c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</row>
    <row r="1058">
      <c r="A1058" s="23">
        <v>24153.0</v>
      </c>
      <c r="B1058" s="24">
        <v>5.902280310563E12</v>
      </c>
      <c r="C1058" s="9" t="s">
        <v>2214</v>
      </c>
      <c r="D1058" s="15" t="s">
        <v>2215</v>
      </c>
      <c r="E1058" s="16">
        <v>13.4</v>
      </c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</row>
    <row r="1059">
      <c r="A1059" s="23">
        <v>24.0</v>
      </c>
      <c r="B1059" s="24">
        <v>5.906660780939E12</v>
      </c>
      <c r="C1059" s="9" t="s">
        <v>2216</v>
      </c>
      <c r="D1059" s="15" t="s">
        <v>1816</v>
      </c>
      <c r="E1059" s="16">
        <v>2.7</v>
      </c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</row>
    <row r="1060">
      <c r="A1060" s="23">
        <v>28.0</v>
      </c>
      <c r="B1060" s="24">
        <v>5.906660780977E12</v>
      </c>
      <c r="C1060" s="9" t="s">
        <v>2217</v>
      </c>
      <c r="D1060" s="15" t="s">
        <v>1889</v>
      </c>
      <c r="E1060" s="16">
        <v>2.7</v>
      </c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</row>
    <row r="1061">
      <c r="A1061" s="23">
        <v>29.0</v>
      </c>
      <c r="B1061" s="24">
        <v>5.906660780984E12</v>
      </c>
      <c r="C1061" s="9" t="s">
        <v>2218</v>
      </c>
      <c r="D1061" s="15" t="s">
        <v>1889</v>
      </c>
      <c r="E1061" s="16">
        <v>2.7</v>
      </c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</row>
    <row r="1062">
      <c r="A1062" s="23">
        <v>30.0</v>
      </c>
      <c r="B1062" s="24">
        <v>5.906660780991E12</v>
      </c>
      <c r="C1062" s="9" t="s">
        <v>2219</v>
      </c>
      <c r="D1062" s="15" t="s">
        <v>1874</v>
      </c>
      <c r="E1062" s="16">
        <v>2.7</v>
      </c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</row>
    <row r="1063">
      <c r="A1063" s="23">
        <v>31.0</v>
      </c>
      <c r="B1063" s="24">
        <v>5.906660781004E12</v>
      </c>
      <c r="C1063" s="9" t="s">
        <v>2220</v>
      </c>
      <c r="D1063" s="15" t="s">
        <v>1874</v>
      </c>
      <c r="E1063" s="16">
        <v>2.7</v>
      </c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</row>
    <row r="1064">
      <c r="A1064" s="25">
        <v>962.0</v>
      </c>
      <c r="B1064" s="26">
        <v>5.906660780748E12</v>
      </c>
      <c r="C1064" s="9" t="s">
        <v>2221</v>
      </c>
      <c r="D1064" s="15" t="s">
        <v>1964</v>
      </c>
      <c r="E1064" s="16">
        <v>2.7</v>
      </c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</row>
    <row r="1065">
      <c r="A1065" s="25">
        <v>1452.0</v>
      </c>
      <c r="B1065" s="26">
        <v>5.906660780922E12</v>
      </c>
      <c r="C1065" s="9" t="s">
        <v>2222</v>
      </c>
      <c r="D1065" s="15" t="s">
        <v>1964</v>
      </c>
      <c r="E1065" s="16">
        <v>2.7</v>
      </c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</row>
    <row r="1066">
      <c r="A1066" s="23">
        <v>24340.0</v>
      </c>
      <c r="B1066" s="24">
        <v>5.902280328438E12</v>
      </c>
      <c r="C1066" s="9" t="s">
        <v>2223</v>
      </c>
      <c r="D1066" s="15" t="s">
        <v>2224</v>
      </c>
      <c r="E1066" s="16">
        <v>3.7</v>
      </c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</row>
    <row r="1067">
      <c r="A1067" s="23">
        <v>24375.0</v>
      </c>
      <c r="B1067" s="24">
        <v>5.902280336266E12</v>
      </c>
      <c r="C1067" s="9" t="s">
        <v>2225</v>
      </c>
      <c r="D1067" s="15" t="s">
        <v>1802</v>
      </c>
      <c r="E1067" s="16">
        <v>7.0</v>
      </c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</row>
    <row r="1068">
      <c r="A1068" s="25">
        <v>42141.0</v>
      </c>
      <c r="B1068" s="26">
        <v>5.902280350453E12</v>
      </c>
      <c r="C1068" s="56" t="s">
        <v>2226</v>
      </c>
      <c r="D1068" s="57" t="s">
        <v>2227</v>
      </c>
      <c r="E1068" s="58">
        <v>26.9</v>
      </c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</row>
    <row r="1069">
      <c r="A1069" s="23">
        <v>42150.0</v>
      </c>
      <c r="B1069" s="24">
        <v>5.902280311409E12</v>
      </c>
      <c r="C1069" s="9" t="s">
        <v>2228</v>
      </c>
      <c r="D1069" s="15" t="s">
        <v>2229</v>
      </c>
      <c r="E1069" s="16">
        <v>6.0</v>
      </c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</row>
    <row r="1070">
      <c r="A1070" s="23">
        <v>24190.0</v>
      </c>
      <c r="B1070" s="24">
        <v>5.902280306955E12</v>
      </c>
      <c r="C1070" s="9" t="s">
        <v>2230</v>
      </c>
      <c r="D1070" s="15" t="s">
        <v>2231</v>
      </c>
      <c r="E1070" s="16">
        <v>2.7</v>
      </c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</row>
    <row r="1071">
      <c r="A1071" s="23">
        <v>24189.0</v>
      </c>
      <c r="B1071" s="24">
        <v>5.902280312796E12</v>
      </c>
      <c r="C1071" s="9" t="s">
        <v>2232</v>
      </c>
      <c r="D1071" s="15" t="s">
        <v>2231</v>
      </c>
      <c r="E1071" s="16">
        <v>4.7</v>
      </c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</row>
    <row r="1072">
      <c r="A1072" s="23">
        <v>24223.0</v>
      </c>
      <c r="B1072" s="24">
        <v>5.902280310501E12</v>
      </c>
      <c r="C1072" s="9" t="s">
        <v>2233</v>
      </c>
      <c r="D1072" s="15" t="s">
        <v>2231</v>
      </c>
      <c r="E1072" s="16">
        <v>4.7</v>
      </c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</row>
    <row r="1073">
      <c r="A1073" s="25">
        <v>24455.0</v>
      </c>
      <c r="B1073" s="26">
        <v>5.902280351481E12</v>
      </c>
      <c r="C1073" s="56" t="s">
        <v>2234</v>
      </c>
      <c r="D1073" s="57" t="s">
        <v>2235</v>
      </c>
      <c r="E1073" s="58">
        <v>7.0</v>
      </c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</row>
    <row r="1074">
      <c r="A1074" s="25">
        <v>24456.0</v>
      </c>
      <c r="B1074" s="26">
        <v>5.902280351498E12</v>
      </c>
      <c r="C1074" s="56" t="s">
        <v>2236</v>
      </c>
      <c r="D1074" s="57" t="s">
        <v>2235</v>
      </c>
      <c r="E1074" s="58">
        <v>7.0</v>
      </c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</row>
    <row r="1075">
      <c r="A1075" s="25">
        <v>24457.0</v>
      </c>
      <c r="B1075" s="26">
        <v>5.902280351504E12</v>
      </c>
      <c r="C1075" s="56" t="s">
        <v>2237</v>
      </c>
      <c r="D1075" s="57" t="s">
        <v>2235</v>
      </c>
      <c r="E1075" s="58">
        <v>7.0</v>
      </c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</row>
    <row r="1076">
      <c r="A1076" s="25">
        <v>24458.0</v>
      </c>
      <c r="B1076" s="26">
        <v>5.902280351511E12</v>
      </c>
      <c r="C1076" s="56" t="s">
        <v>2238</v>
      </c>
      <c r="D1076" s="57" t="s">
        <v>2235</v>
      </c>
      <c r="E1076" s="58">
        <v>7.0</v>
      </c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</row>
    <row r="1077">
      <c r="A1077" s="49">
        <v>24367.0</v>
      </c>
      <c r="B1077" s="50">
        <v>5.902280334163E12</v>
      </c>
      <c r="C1077" s="9" t="s">
        <v>2239</v>
      </c>
      <c r="D1077" s="15" t="s">
        <v>2235</v>
      </c>
      <c r="E1077" s="16">
        <v>7.0</v>
      </c>
      <c r="F1077" s="31"/>
      <c r="G1077" s="31"/>
      <c r="H1077" s="31"/>
      <c r="I1077" s="31"/>
      <c r="J1077" s="31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1"/>
      <c r="AK1077" s="31"/>
      <c r="AL1077" s="31"/>
      <c r="AM1077" s="31"/>
      <c r="AN1077" s="31"/>
      <c r="AO1077" s="31"/>
      <c r="AP1077" s="31"/>
      <c r="AQ1077" s="31"/>
      <c r="AR1077" s="31"/>
      <c r="AS1077" s="31"/>
      <c r="AT1077" s="31"/>
      <c r="AU1077" s="31"/>
      <c r="AV1077" s="31"/>
      <c r="AW1077" s="31"/>
      <c r="AX1077" s="31"/>
      <c r="AY1077" s="31"/>
      <c r="AZ1077" s="31"/>
      <c r="BA1077" s="31"/>
      <c r="BB1077" s="31"/>
      <c r="BC1077" s="31"/>
      <c r="BD1077" s="31"/>
      <c r="BE1077" s="31"/>
      <c r="BF1077" s="31"/>
      <c r="BG1077" s="31"/>
      <c r="BH1077" s="31"/>
      <c r="BI1077" s="31"/>
      <c r="BJ1077" s="31"/>
      <c r="BK1077" s="31"/>
      <c r="BL1077" s="31"/>
      <c r="BM1077" s="31"/>
      <c r="BN1077" s="31"/>
      <c r="BO1077" s="31"/>
      <c r="BP1077" s="31"/>
      <c r="BQ1077" s="31"/>
    </row>
    <row r="1078">
      <c r="A1078" s="49">
        <v>24370.0</v>
      </c>
      <c r="B1078" s="50">
        <v>5.902280335191E12</v>
      </c>
      <c r="C1078" s="9" t="s">
        <v>2240</v>
      </c>
      <c r="D1078" s="15" t="s">
        <v>2235</v>
      </c>
      <c r="E1078" s="16">
        <v>7.0</v>
      </c>
      <c r="F1078" s="31"/>
      <c r="G1078" s="31"/>
      <c r="H1078" s="31"/>
      <c r="I1078" s="31"/>
      <c r="J1078" s="31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1"/>
      <c r="AK1078" s="31"/>
      <c r="AL1078" s="31"/>
      <c r="AM1078" s="31"/>
      <c r="AN1078" s="31"/>
      <c r="AO1078" s="31"/>
      <c r="AP1078" s="31"/>
      <c r="AQ1078" s="31"/>
      <c r="AR1078" s="31"/>
      <c r="AS1078" s="31"/>
      <c r="AT1078" s="31"/>
      <c r="AU1078" s="31"/>
      <c r="AV1078" s="31"/>
      <c r="AW1078" s="31"/>
      <c r="AX1078" s="31"/>
      <c r="AY1078" s="31"/>
      <c r="AZ1078" s="31"/>
      <c r="BA1078" s="31"/>
      <c r="BB1078" s="31"/>
      <c r="BC1078" s="31"/>
      <c r="BD1078" s="31"/>
      <c r="BE1078" s="31"/>
      <c r="BF1078" s="31"/>
      <c r="BG1078" s="31"/>
      <c r="BH1078" s="31"/>
      <c r="BI1078" s="31"/>
      <c r="BJ1078" s="31"/>
      <c r="BK1078" s="31"/>
      <c r="BL1078" s="31"/>
      <c r="BM1078" s="31"/>
      <c r="BN1078" s="31"/>
      <c r="BO1078" s="31"/>
      <c r="BP1078" s="31"/>
      <c r="BQ1078" s="31"/>
    </row>
    <row r="1079">
      <c r="A1079" s="49">
        <v>24426.0</v>
      </c>
      <c r="B1079" s="50">
        <v>5.902280344193E12</v>
      </c>
      <c r="C1079" s="9" t="s">
        <v>2241</v>
      </c>
      <c r="D1079" s="15" t="s">
        <v>2235</v>
      </c>
      <c r="E1079" s="16">
        <v>36.8</v>
      </c>
      <c r="F1079" s="31"/>
      <c r="G1079" s="31"/>
      <c r="H1079" s="31"/>
      <c r="I1079" s="31"/>
      <c r="J1079" s="31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  <c r="AA1079" s="31"/>
      <c r="AB1079" s="31"/>
      <c r="AC1079" s="31"/>
      <c r="AD1079" s="31"/>
      <c r="AE1079" s="31"/>
      <c r="AF1079" s="31"/>
      <c r="AG1079" s="31"/>
      <c r="AH1079" s="31"/>
      <c r="AI1079" s="31"/>
      <c r="AJ1079" s="31"/>
      <c r="AK1079" s="31"/>
      <c r="AL1079" s="31"/>
      <c r="AM1079" s="31"/>
      <c r="AN1079" s="31"/>
      <c r="AO1079" s="31"/>
      <c r="AP1079" s="31"/>
      <c r="AQ1079" s="31"/>
      <c r="AR1079" s="31"/>
      <c r="AS1079" s="31"/>
      <c r="AT1079" s="31"/>
      <c r="AU1079" s="31"/>
      <c r="AV1079" s="31"/>
      <c r="AW1079" s="31"/>
      <c r="AX1079" s="31"/>
      <c r="AY1079" s="31"/>
      <c r="AZ1079" s="31"/>
      <c r="BA1079" s="31"/>
      <c r="BB1079" s="31"/>
      <c r="BC1079" s="31"/>
      <c r="BD1079" s="31"/>
      <c r="BE1079" s="31"/>
      <c r="BF1079" s="31"/>
      <c r="BG1079" s="31"/>
      <c r="BH1079" s="31"/>
      <c r="BI1079" s="31"/>
      <c r="BJ1079" s="31"/>
      <c r="BK1079" s="31"/>
      <c r="BL1079" s="31"/>
      <c r="BM1079" s="31"/>
      <c r="BN1079" s="31"/>
      <c r="BO1079" s="31"/>
      <c r="BP1079" s="31"/>
      <c r="BQ1079" s="31"/>
    </row>
    <row r="1080">
      <c r="A1080" s="23">
        <v>24041.0</v>
      </c>
      <c r="B1080" s="24">
        <v>5.906660788515E12</v>
      </c>
      <c r="C1080" s="9" t="s">
        <v>2242</v>
      </c>
      <c r="D1080" s="15" t="s">
        <v>2231</v>
      </c>
      <c r="E1080" s="16">
        <v>1.8</v>
      </c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</row>
    <row r="1081">
      <c r="A1081" s="23">
        <v>24214.0</v>
      </c>
      <c r="B1081" s="24">
        <v>5.902280322399E12</v>
      </c>
      <c r="C1081" s="9" t="s">
        <v>2243</v>
      </c>
      <c r="D1081" s="15" t="s">
        <v>2244</v>
      </c>
      <c r="E1081" s="16">
        <v>2.7</v>
      </c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</row>
    <row r="1082">
      <c r="A1082" s="23">
        <v>24144.0</v>
      </c>
      <c r="B1082" s="24">
        <v>5.902280304876E12</v>
      </c>
      <c r="C1082" s="9" t="s">
        <v>2245</v>
      </c>
      <c r="D1082" s="15" t="s">
        <v>2246</v>
      </c>
      <c r="E1082" s="16">
        <v>2.2</v>
      </c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</row>
    <row r="1083">
      <c r="A1083" s="23">
        <v>24262.0</v>
      </c>
      <c r="B1083" s="24">
        <v>5.902280317784E12</v>
      </c>
      <c r="C1083" s="9" t="s">
        <v>2247</v>
      </c>
      <c r="D1083" s="15" t="s">
        <v>2246</v>
      </c>
      <c r="E1083" s="16">
        <v>4.5</v>
      </c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</row>
    <row r="1084">
      <c r="A1084" s="23">
        <v>24265.0</v>
      </c>
      <c r="B1084" s="24">
        <v>5.902280317791E12</v>
      </c>
      <c r="C1084" s="9" t="s">
        <v>2248</v>
      </c>
      <c r="D1084" s="15" t="s">
        <v>2246</v>
      </c>
      <c r="E1084" s="16">
        <v>4.5</v>
      </c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</row>
    <row r="1085">
      <c r="A1085" s="23">
        <v>24332.0</v>
      </c>
      <c r="B1085" s="24">
        <v>5.902280327738E12</v>
      </c>
      <c r="C1085" s="9" t="s">
        <v>2249</v>
      </c>
      <c r="D1085" s="15" t="s">
        <v>2250</v>
      </c>
      <c r="E1085" s="16">
        <v>5.0</v>
      </c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</row>
    <row r="1086">
      <c r="A1086" s="23">
        <v>24310.0</v>
      </c>
      <c r="B1086" s="24">
        <v>5.902280323815E12</v>
      </c>
      <c r="C1086" s="9" t="s">
        <v>2251</v>
      </c>
      <c r="D1086" s="15" t="s">
        <v>2250</v>
      </c>
      <c r="E1086" s="16">
        <v>6.2</v>
      </c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</row>
    <row r="1087">
      <c r="A1087" s="23">
        <v>24328.0</v>
      </c>
      <c r="B1087" s="24">
        <v>5.902280326922E12</v>
      </c>
      <c r="C1087" s="9" t="s">
        <v>2252</v>
      </c>
      <c r="D1087" s="15" t="s">
        <v>2250</v>
      </c>
      <c r="E1087" s="16">
        <v>6.2</v>
      </c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</row>
    <row r="1088">
      <c r="A1088" s="25">
        <v>24447.0</v>
      </c>
      <c r="B1088" s="26">
        <v>5.902280345442E12</v>
      </c>
      <c r="C1088" s="56" t="s">
        <v>2253</v>
      </c>
      <c r="D1088" s="57" t="s">
        <v>2254</v>
      </c>
      <c r="E1088" s="58">
        <v>8.0</v>
      </c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</row>
    <row r="1089">
      <c r="A1089" s="23">
        <v>24112.0</v>
      </c>
      <c r="B1089" s="24">
        <v>5.902280304623E12</v>
      </c>
      <c r="C1089" s="9" t="s">
        <v>2255</v>
      </c>
      <c r="D1089" s="15" t="s">
        <v>1947</v>
      </c>
      <c r="E1089" s="16">
        <v>6.0</v>
      </c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</row>
    <row r="1090">
      <c r="A1090" s="23">
        <v>24121.0</v>
      </c>
      <c r="B1090" s="24">
        <v>5.90228030476E12</v>
      </c>
      <c r="C1090" s="9" t="s">
        <v>2256</v>
      </c>
      <c r="D1090" s="15" t="s">
        <v>1947</v>
      </c>
      <c r="E1090" s="16">
        <v>9.6</v>
      </c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</row>
    <row r="1091">
      <c r="A1091" s="23">
        <v>24122.0</v>
      </c>
      <c r="B1091" s="24">
        <v>5.902280304777E12</v>
      </c>
      <c r="C1091" s="9" t="s">
        <v>2257</v>
      </c>
      <c r="D1091" s="15" t="s">
        <v>1947</v>
      </c>
      <c r="E1091" s="16">
        <v>9.6</v>
      </c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</row>
    <row r="1092">
      <c r="A1092" s="23">
        <v>24333.0</v>
      </c>
      <c r="B1092" s="24">
        <v>5.902280327806E12</v>
      </c>
      <c r="C1092" s="9" t="s">
        <v>2258</v>
      </c>
      <c r="D1092" s="15" t="s">
        <v>2259</v>
      </c>
      <c r="E1092" s="16">
        <v>11.5</v>
      </c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</row>
    <row r="1093">
      <c r="A1093" s="23">
        <v>24235.0</v>
      </c>
      <c r="B1093" s="24">
        <v>5.902280321903E12</v>
      </c>
      <c r="C1093" s="9" t="s">
        <v>2260</v>
      </c>
      <c r="D1093" s="15" t="s">
        <v>2261</v>
      </c>
      <c r="E1093" s="16">
        <v>6.1</v>
      </c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</row>
    <row r="1094">
      <c r="A1094" s="25">
        <v>800.0</v>
      </c>
      <c r="B1094" s="26">
        <v>5.906660785767E12</v>
      </c>
      <c r="C1094" s="9" t="s">
        <v>2262</v>
      </c>
      <c r="D1094" s="15" t="s">
        <v>2263</v>
      </c>
      <c r="E1094" s="16">
        <v>3.6</v>
      </c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</row>
    <row r="1095">
      <c r="A1095" s="25">
        <v>293.0</v>
      </c>
      <c r="B1095" s="26">
        <v>5.90666078575E12</v>
      </c>
      <c r="C1095" s="9" t="s">
        <v>2264</v>
      </c>
      <c r="D1095" s="15" t="s">
        <v>2265</v>
      </c>
      <c r="E1095" s="16">
        <v>3.6</v>
      </c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</row>
    <row r="1096">
      <c r="A1096" s="25">
        <v>801.0</v>
      </c>
      <c r="B1096" s="26">
        <v>5.902280300915E12</v>
      </c>
      <c r="C1096" s="9" t="s">
        <v>2266</v>
      </c>
      <c r="D1096" s="15" t="s">
        <v>2267</v>
      </c>
      <c r="E1096" s="16">
        <v>3.6</v>
      </c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</row>
    <row r="1097">
      <c r="A1097" s="25">
        <v>838.0</v>
      </c>
      <c r="B1097" s="26">
        <v>5.902280312413E12</v>
      </c>
      <c r="C1097" s="9" t="s">
        <v>2268</v>
      </c>
      <c r="D1097" s="15" t="s">
        <v>2269</v>
      </c>
      <c r="E1097" s="16">
        <v>5.9</v>
      </c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</row>
    <row r="1098">
      <c r="A1098" s="25" t="s">
        <v>2270</v>
      </c>
      <c r="B1098" s="26">
        <v>5.902280312406E12</v>
      </c>
      <c r="C1098" s="9" t="s">
        <v>2271</v>
      </c>
      <c r="D1098" s="15" t="s">
        <v>2272</v>
      </c>
      <c r="E1098" s="16">
        <v>5.9</v>
      </c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</row>
    <row r="1099">
      <c r="A1099" s="23">
        <v>42731.0</v>
      </c>
      <c r="B1099" s="24">
        <v>5.902280300045E12</v>
      </c>
      <c r="C1099" s="9" t="s">
        <v>2273</v>
      </c>
      <c r="D1099" s="15" t="s">
        <v>2274</v>
      </c>
      <c r="E1099" s="16">
        <v>2.5</v>
      </c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</row>
    <row r="1100">
      <c r="A1100" s="23">
        <v>42737.0</v>
      </c>
      <c r="B1100" s="24">
        <v>5.902280329671E12</v>
      </c>
      <c r="C1100" s="9" t="s">
        <v>2275</v>
      </c>
      <c r="D1100" s="15" t="s">
        <v>2276</v>
      </c>
      <c r="E1100" s="16">
        <v>2.6</v>
      </c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</row>
    <row r="1101">
      <c r="A1101" s="23">
        <v>42738.0</v>
      </c>
      <c r="B1101" s="24">
        <v>5.902280329688E12</v>
      </c>
      <c r="C1101" s="9" t="s">
        <v>2277</v>
      </c>
      <c r="D1101" s="15" t="s">
        <v>2278</v>
      </c>
      <c r="E1101" s="16">
        <v>3.2</v>
      </c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</row>
    <row r="1102">
      <c r="A1102" s="23">
        <v>42127.0</v>
      </c>
      <c r="B1102" s="24">
        <v>5.902280345992E12</v>
      </c>
      <c r="C1102" s="9" t="s">
        <v>2279</v>
      </c>
      <c r="D1102" s="15" t="s">
        <v>2280</v>
      </c>
      <c r="E1102" s="16">
        <v>90.8</v>
      </c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</row>
    <row r="1103">
      <c r="A1103" s="23">
        <v>42128.0</v>
      </c>
      <c r="B1103" s="24">
        <v>5.902280346005E12</v>
      </c>
      <c r="C1103" s="9" t="s">
        <v>2281</v>
      </c>
      <c r="D1103" s="15" t="s">
        <v>2280</v>
      </c>
      <c r="E1103" s="16">
        <v>118.3</v>
      </c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</row>
    <row r="1104">
      <c r="A1104" s="23">
        <v>42129.0</v>
      </c>
      <c r="B1104" s="24">
        <v>5.902280346364E12</v>
      </c>
      <c r="C1104" s="9" t="s">
        <v>2282</v>
      </c>
      <c r="D1104" s="15" t="s">
        <v>2283</v>
      </c>
      <c r="E1104" s="16">
        <v>112.9</v>
      </c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</row>
    <row r="1105">
      <c r="A1105" s="23">
        <v>42130.0</v>
      </c>
      <c r="B1105" s="24">
        <v>5.902280346371E12</v>
      </c>
      <c r="C1105" s="9" t="s">
        <v>2284</v>
      </c>
      <c r="D1105" s="15" t="s">
        <v>2283</v>
      </c>
      <c r="E1105" s="16">
        <v>147.9</v>
      </c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</row>
    <row r="1106">
      <c r="A1106" s="23">
        <v>42652.0</v>
      </c>
      <c r="B1106" s="24">
        <v>5.902280336259E12</v>
      </c>
      <c r="C1106" s="9" t="s">
        <v>2285</v>
      </c>
      <c r="D1106" s="15" t="s">
        <v>2286</v>
      </c>
      <c r="E1106" s="16">
        <v>49.0</v>
      </c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</row>
    <row r="1107">
      <c r="A1107" s="49">
        <v>42676.0</v>
      </c>
      <c r="B1107" s="50">
        <v>5.902280347101E12</v>
      </c>
      <c r="C1107" s="9" t="s">
        <v>2287</v>
      </c>
      <c r="D1107" s="15" t="s">
        <v>2288</v>
      </c>
      <c r="E1107" s="16">
        <v>75.0</v>
      </c>
      <c r="F1107" s="31"/>
      <c r="G1107" s="31"/>
      <c r="H1107" s="31"/>
      <c r="I1107" s="31"/>
      <c r="J1107" s="31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  <c r="AA1107" s="31"/>
      <c r="AB1107" s="31"/>
      <c r="AC1107" s="31"/>
      <c r="AD1107" s="31"/>
      <c r="AE1107" s="31"/>
      <c r="AF1107" s="31"/>
      <c r="AG1107" s="31"/>
      <c r="AH1107" s="31"/>
      <c r="AI1107" s="31"/>
      <c r="AJ1107" s="31"/>
      <c r="AK1107" s="31"/>
      <c r="AL1107" s="31"/>
      <c r="AM1107" s="31"/>
      <c r="AN1107" s="31"/>
      <c r="AO1107" s="31"/>
      <c r="AP1107" s="31"/>
      <c r="AQ1107" s="31"/>
      <c r="AR1107" s="31"/>
      <c r="AS1107" s="31"/>
      <c r="AT1107" s="31"/>
      <c r="AU1107" s="31"/>
      <c r="AV1107" s="31"/>
      <c r="AW1107" s="31"/>
      <c r="AX1107" s="31"/>
      <c r="AY1107" s="31"/>
      <c r="AZ1107" s="31"/>
      <c r="BA1107" s="31"/>
      <c r="BB1107" s="31"/>
      <c r="BC1107" s="31"/>
      <c r="BD1107" s="31"/>
      <c r="BE1107" s="31"/>
      <c r="BF1107" s="31"/>
      <c r="BG1107" s="31"/>
      <c r="BH1107" s="31"/>
      <c r="BI1107" s="31"/>
      <c r="BJ1107" s="31"/>
      <c r="BK1107" s="31"/>
      <c r="BL1107" s="31"/>
      <c r="BM1107" s="31"/>
      <c r="BN1107" s="31"/>
      <c r="BO1107" s="31"/>
      <c r="BP1107" s="31"/>
      <c r="BQ1107" s="31"/>
    </row>
    <row r="1108">
      <c r="A1108" s="23">
        <v>79106.0</v>
      </c>
      <c r="B1108" s="24">
        <v>5.902280328452E12</v>
      </c>
      <c r="C1108" s="9" t="s">
        <v>2289</v>
      </c>
      <c r="D1108" s="15" t="s">
        <v>2290</v>
      </c>
      <c r="E1108" s="16">
        <v>1.5</v>
      </c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</row>
    <row r="1109">
      <c r="A1109" s="23">
        <v>24270.0</v>
      </c>
      <c r="B1109" s="24">
        <v>5.902280322375E12</v>
      </c>
      <c r="C1109" s="9" t="s">
        <v>2291</v>
      </c>
      <c r="D1109" s="15" t="s">
        <v>2292</v>
      </c>
      <c r="E1109" s="16">
        <v>17.0</v>
      </c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</row>
    <row r="1110">
      <c r="A1110" s="23">
        <v>24271.0</v>
      </c>
      <c r="B1110" s="24">
        <v>5.902280317876E12</v>
      </c>
      <c r="C1110" s="9" t="s">
        <v>2293</v>
      </c>
      <c r="D1110" s="15" t="s">
        <v>2294</v>
      </c>
      <c r="E1110" s="16">
        <v>18.2</v>
      </c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</row>
    <row r="1111">
      <c r="A1111" s="23">
        <v>42121.0</v>
      </c>
      <c r="B1111" s="24">
        <v>5.902280338956E12</v>
      </c>
      <c r="C1111" s="9" t="s">
        <v>2295</v>
      </c>
      <c r="D1111" s="15" t="s">
        <v>2296</v>
      </c>
      <c r="E1111" s="16">
        <v>33.6</v>
      </c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</row>
    <row r="1112">
      <c r="A1112" s="23">
        <v>42124.0</v>
      </c>
      <c r="B1112" s="24">
        <v>5.902280344674E12</v>
      </c>
      <c r="C1112" s="9" t="s">
        <v>2297</v>
      </c>
      <c r="D1112" s="15" t="s">
        <v>2296</v>
      </c>
      <c r="E1112" s="16">
        <v>72.0</v>
      </c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</row>
    <row r="1113">
      <c r="A1113" s="23">
        <v>42125.0</v>
      </c>
      <c r="B1113" s="24">
        <v>5.902280344681E12</v>
      </c>
      <c r="C1113" s="9" t="s">
        <v>2298</v>
      </c>
      <c r="D1113" s="15" t="s">
        <v>2296</v>
      </c>
      <c r="E1113" s="16">
        <v>72.0</v>
      </c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</row>
    <row r="1114">
      <c r="A1114" s="23">
        <v>42126.0</v>
      </c>
      <c r="B1114" s="24">
        <v>5.902280344698E12</v>
      </c>
      <c r="C1114" s="9" t="s">
        <v>2299</v>
      </c>
      <c r="D1114" s="15" t="s">
        <v>2296</v>
      </c>
      <c r="E1114" s="16">
        <v>72.0</v>
      </c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</row>
    <row r="1115">
      <c r="A1115" s="23">
        <v>42138.0</v>
      </c>
      <c r="B1115" s="24">
        <v>5.902280346746E12</v>
      </c>
      <c r="C1115" s="9" t="s">
        <v>2300</v>
      </c>
      <c r="D1115" s="15" t="s">
        <v>2296</v>
      </c>
      <c r="E1115" s="16">
        <v>72.0</v>
      </c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</row>
    <row r="1116">
      <c r="A1116" s="23">
        <v>42170.0</v>
      </c>
      <c r="B1116" s="24">
        <v>5.902280354581E12</v>
      </c>
      <c r="C1116" s="9" t="s">
        <v>2301</v>
      </c>
      <c r="D1116" s="15" t="s">
        <v>2296</v>
      </c>
      <c r="E1116" s="16">
        <v>72.0</v>
      </c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</row>
    <row r="1117">
      <c r="A1117" s="25">
        <v>997.0</v>
      </c>
      <c r="B1117" s="26">
        <v>5.902280300724E12</v>
      </c>
      <c r="C1117" s="9" t="s">
        <v>2302</v>
      </c>
      <c r="D1117" s="15" t="s">
        <v>2303</v>
      </c>
      <c r="E1117" s="16">
        <v>57.8</v>
      </c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</row>
    <row r="1118">
      <c r="A1118" s="25">
        <v>899.0</v>
      </c>
      <c r="B1118" s="26">
        <v>5.902280300731E12</v>
      </c>
      <c r="C1118" s="9" t="s">
        <v>2304</v>
      </c>
      <c r="D1118" s="15" t="s">
        <v>2305</v>
      </c>
      <c r="E1118" s="16">
        <v>147.8</v>
      </c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</row>
    <row r="1119">
      <c r="A1119" s="23">
        <v>42624.0</v>
      </c>
      <c r="B1119" s="24">
        <v>5.902280325833E12</v>
      </c>
      <c r="C1119" s="9" t="s">
        <v>2306</v>
      </c>
      <c r="D1119" s="15" t="s">
        <v>2307</v>
      </c>
      <c r="E1119" s="16">
        <v>156.0</v>
      </c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</row>
    <row r="1120">
      <c r="A1120" s="51">
        <v>42625.0</v>
      </c>
      <c r="B1120" s="77">
        <v>5.902280325857E12</v>
      </c>
      <c r="C1120" s="9" t="s">
        <v>2308</v>
      </c>
      <c r="D1120" s="15" t="s">
        <v>2309</v>
      </c>
      <c r="E1120" s="16">
        <v>147.9</v>
      </c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</row>
    <row r="1121">
      <c r="A1121" s="23">
        <v>42626.0</v>
      </c>
      <c r="B1121" s="24">
        <v>5.902280325864E12</v>
      </c>
      <c r="C1121" s="9" t="s">
        <v>2310</v>
      </c>
      <c r="D1121" s="15" t="s">
        <v>2211</v>
      </c>
      <c r="E1121" s="16">
        <v>205.7</v>
      </c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</row>
    <row r="1122">
      <c r="A1122" s="23">
        <v>42616.0</v>
      </c>
      <c r="B1122" s="24">
        <v>5.902280309536E12</v>
      </c>
      <c r="C1122" s="9" t="s">
        <v>2311</v>
      </c>
      <c r="D1122" s="15" t="s">
        <v>2211</v>
      </c>
      <c r="E1122" s="16">
        <v>38.3</v>
      </c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</row>
    <row r="1123">
      <c r="A1123" s="23">
        <v>42627.0</v>
      </c>
      <c r="B1123" s="24">
        <v>5.902280325871E12</v>
      </c>
      <c r="C1123" s="9" t="s">
        <v>2312</v>
      </c>
      <c r="D1123" s="15" t="s">
        <v>2313</v>
      </c>
      <c r="E1123" s="16">
        <v>182.8</v>
      </c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</row>
    <row r="1124">
      <c r="A1124" s="23">
        <v>42628.0</v>
      </c>
      <c r="B1124" s="24">
        <v>5.902280325888E12</v>
      </c>
      <c r="C1124" s="9" t="s">
        <v>2314</v>
      </c>
      <c r="D1124" s="15" t="s">
        <v>2213</v>
      </c>
      <c r="E1124" s="16">
        <v>220.5</v>
      </c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</row>
    <row r="1125">
      <c r="A1125" s="23">
        <v>42617.0</v>
      </c>
      <c r="B1125" s="24">
        <v>5.902280309543E12</v>
      </c>
      <c r="C1125" s="9" t="s">
        <v>2315</v>
      </c>
      <c r="D1125" s="15" t="s">
        <v>2213</v>
      </c>
      <c r="E1125" s="16">
        <v>44.6</v>
      </c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</row>
    <row r="1126">
      <c r="A1126" s="23">
        <v>42618.0</v>
      </c>
      <c r="B1126" s="24">
        <v>5.90228030955E12</v>
      </c>
      <c r="C1126" s="9" t="s">
        <v>2316</v>
      </c>
      <c r="D1126" s="15" t="s">
        <v>2213</v>
      </c>
      <c r="E1126" s="16">
        <v>37.5</v>
      </c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</row>
    <row r="1127">
      <c r="A1127" s="23">
        <v>42629.0</v>
      </c>
      <c r="B1127" s="24">
        <v>5.902280325895E12</v>
      </c>
      <c r="C1127" s="9" t="s">
        <v>2317</v>
      </c>
      <c r="D1127" s="15" t="s">
        <v>2318</v>
      </c>
      <c r="E1127" s="16">
        <v>134.4</v>
      </c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</row>
    <row r="1128">
      <c r="A1128" s="23">
        <v>42630.0</v>
      </c>
      <c r="B1128" s="76">
        <v>5.902280325901E12</v>
      </c>
      <c r="C1128" s="9" t="s">
        <v>2319</v>
      </c>
      <c r="D1128" s="15" t="s">
        <v>1424</v>
      </c>
      <c r="E1128" s="16">
        <v>129.1</v>
      </c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</row>
    <row r="1129">
      <c r="A1129" s="78">
        <v>42631.0</v>
      </c>
      <c r="B1129" s="79">
        <v>5.902280326519E12</v>
      </c>
      <c r="C1129" s="9" t="s">
        <v>2320</v>
      </c>
      <c r="D1129" s="15" t="s">
        <v>2110</v>
      </c>
      <c r="E1129" s="16">
        <v>24.1</v>
      </c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</row>
    <row r="1130">
      <c r="A1130" s="78">
        <v>42601.0</v>
      </c>
      <c r="B1130" s="79">
        <v>5.906660789178E12</v>
      </c>
      <c r="C1130" s="9" t="s">
        <v>2321</v>
      </c>
      <c r="D1130" s="15" t="s">
        <v>2122</v>
      </c>
      <c r="E1130" s="16">
        <v>19.8</v>
      </c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</row>
    <row r="1131">
      <c r="A1131" s="80">
        <v>1443.0</v>
      </c>
      <c r="B1131" s="81">
        <v>5.906660780656E12</v>
      </c>
      <c r="C1131" s="9" t="s">
        <v>2322</v>
      </c>
      <c r="D1131" s="15" t="s">
        <v>2122</v>
      </c>
      <c r="E1131" s="16">
        <v>19.5</v>
      </c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</row>
    <row r="1132">
      <c r="A1132" s="80">
        <v>1435.0</v>
      </c>
      <c r="B1132" s="81">
        <v>5.906660780632E12</v>
      </c>
      <c r="C1132" s="9" t="s">
        <v>2323</v>
      </c>
      <c r="D1132" s="15" t="s">
        <v>2324</v>
      </c>
      <c r="E1132" s="16">
        <v>19.8</v>
      </c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</row>
    <row r="1133">
      <c r="A1133" s="80">
        <v>42615.0</v>
      </c>
      <c r="B1133" s="81">
        <v>5.906660789956E12</v>
      </c>
      <c r="C1133" s="9" t="s">
        <v>2325</v>
      </c>
      <c r="D1133" s="15" t="s">
        <v>2324</v>
      </c>
      <c r="E1133" s="16">
        <v>24.3</v>
      </c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</row>
    <row r="1134">
      <c r="A1134" s="80">
        <v>42619.0</v>
      </c>
      <c r="B1134" s="81">
        <v>5.902280327745E12</v>
      </c>
      <c r="C1134" s="9" t="s">
        <v>2326</v>
      </c>
      <c r="D1134" s="15" t="s">
        <v>2327</v>
      </c>
      <c r="E1134" s="16">
        <v>19.8</v>
      </c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</row>
    <row r="1135">
      <c r="A1135" s="78">
        <v>42620.0</v>
      </c>
      <c r="B1135" s="79">
        <v>5.902280319634E12</v>
      </c>
      <c r="C1135" s="9" t="s">
        <v>2328</v>
      </c>
      <c r="D1135" s="15" t="s">
        <v>2329</v>
      </c>
      <c r="E1135" s="16">
        <v>33.0</v>
      </c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</row>
    <row r="1136">
      <c r="A1136" s="78">
        <v>42641.0</v>
      </c>
      <c r="B1136" s="79">
        <v>5.902280326717E12</v>
      </c>
      <c r="C1136" s="9" t="s">
        <v>2330</v>
      </c>
      <c r="D1136" s="15" t="s">
        <v>2331</v>
      </c>
      <c r="E1136" s="16">
        <v>16.6</v>
      </c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</row>
    <row r="1137">
      <c r="A1137" s="78">
        <v>42644.0</v>
      </c>
      <c r="B1137" s="79">
        <v>5.902280326731E12</v>
      </c>
      <c r="C1137" s="9" t="s">
        <v>2332</v>
      </c>
      <c r="D1137" s="15" t="s">
        <v>2331</v>
      </c>
      <c r="E1137" s="16">
        <v>30.0</v>
      </c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</row>
    <row r="1138">
      <c r="A1138" s="78">
        <v>42642.0</v>
      </c>
      <c r="B1138" s="79">
        <v>5.902280326724E12</v>
      </c>
      <c r="C1138" s="9" t="s">
        <v>2333</v>
      </c>
      <c r="D1138" s="15" t="s">
        <v>2331</v>
      </c>
      <c r="E1138" s="16">
        <v>24.0</v>
      </c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</row>
    <row r="1139">
      <c r="A1139" s="78">
        <v>42660.0</v>
      </c>
      <c r="B1139" s="79">
        <v>5.90228034043E12</v>
      </c>
      <c r="C1139" s="9" t="s">
        <v>2334</v>
      </c>
      <c r="D1139" s="15" t="s">
        <v>2331</v>
      </c>
      <c r="E1139" s="16">
        <v>26.9</v>
      </c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</row>
    <row r="1140">
      <c r="A1140" s="78">
        <v>42643.0</v>
      </c>
      <c r="B1140" s="79">
        <v>5.902280326748E12</v>
      </c>
      <c r="C1140" s="9" t="s">
        <v>2335</v>
      </c>
      <c r="D1140" s="15" t="s">
        <v>2331</v>
      </c>
      <c r="E1140" s="16">
        <v>30.0</v>
      </c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</row>
    <row r="1141">
      <c r="A1141" s="78">
        <v>42632.0</v>
      </c>
      <c r="B1141" s="79">
        <v>5.9022803267E12</v>
      </c>
      <c r="C1141" s="9" t="s">
        <v>2336</v>
      </c>
      <c r="D1141" s="15" t="s">
        <v>2331</v>
      </c>
      <c r="E1141" s="16">
        <v>30.0</v>
      </c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</row>
    <row r="1142">
      <c r="A1142" s="78">
        <v>42633.0</v>
      </c>
      <c r="B1142" s="79">
        <v>5.902280327578E12</v>
      </c>
      <c r="C1142" s="9" t="s">
        <v>2337</v>
      </c>
      <c r="D1142" s="15" t="s">
        <v>2331</v>
      </c>
      <c r="E1142" s="16">
        <v>60.5</v>
      </c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</row>
    <row r="1143">
      <c r="A1143" s="78" t="s">
        <v>2338</v>
      </c>
      <c r="B1143" s="79">
        <v>5.902280331636E12</v>
      </c>
      <c r="C1143" s="9" t="s">
        <v>2339</v>
      </c>
      <c r="D1143" s="15" t="s">
        <v>2340</v>
      </c>
      <c r="E1143" s="16">
        <v>7.5</v>
      </c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</row>
    <row r="1144">
      <c r="A1144" s="78" t="s">
        <v>2341</v>
      </c>
      <c r="B1144" s="79">
        <v>5.902280331643E12</v>
      </c>
      <c r="C1144" s="9" t="s">
        <v>2342</v>
      </c>
      <c r="D1144" s="15" t="s">
        <v>2340</v>
      </c>
      <c r="E1144" s="16">
        <v>27.2</v>
      </c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</row>
    <row r="1145">
      <c r="A1145" s="78" t="s">
        <v>2343</v>
      </c>
      <c r="B1145" s="79">
        <v>5.902280331667E12</v>
      </c>
      <c r="C1145" s="9" t="s">
        <v>2344</v>
      </c>
      <c r="D1145" s="15" t="s">
        <v>2340</v>
      </c>
      <c r="E1145" s="16">
        <v>11.9</v>
      </c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</row>
    <row r="1146">
      <c r="A1146" s="78" t="s">
        <v>2345</v>
      </c>
      <c r="B1146" s="79">
        <v>5.902280331681E12</v>
      </c>
      <c r="C1146" s="9" t="s">
        <v>2346</v>
      </c>
      <c r="D1146" s="15" t="s">
        <v>2340</v>
      </c>
      <c r="E1146" s="16">
        <v>42.5</v>
      </c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</row>
    <row r="1147">
      <c r="A1147" s="78" t="s">
        <v>2347</v>
      </c>
      <c r="B1147" s="79">
        <v>5.90228033165E12</v>
      </c>
      <c r="C1147" s="9" t="s">
        <v>2348</v>
      </c>
      <c r="D1147" s="15" t="s">
        <v>2340</v>
      </c>
      <c r="E1147" s="16">
        <v>11.9</v>
      </c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</row>
    <row r="1148">
      <c r="A1148" s="78" t="s">
        <v>2349</v>
      </c>
      <c r="B1148" s="79">
        <v>5.902280331674E12</v>
      </c>
      <c r="C1148" s="9" t="s">
        <v>2350</v>
      </c>
      <c r="D1148" s="15" t="s">
        <v>2340</v>
      </c>
      <c r="E1148" s="16">
        <v>42.5</v>
      </c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</row>
    <row r="1149">
      <c r="A1149" s="78" t="s">
        <v>2351</v>
      </c>
      <c r="B1149" s="79">
        <v>5.902280350378E12</v>
      </c>
      <c r="C1149" s="9" t="s">
        <v>2352</v>
      </c>
      <c r="D1149" s="15" t="s">
        <v>2353</v>
      </c>
      <c r="E1149" s="16">
        <v>24.5</v>
      </c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</row>
    <row r="1150">
      <c r="A1150" s="78" t="s">
        <v>2354</v>
      </c>
      <c r="B1150" s="79">
        <v>5.902280346876E12</v>
      </c>
      <c r="C1150" s="9" t="s">
        <v>2355</v>
      </c>
      <c r="D1150" s="15" t="s">
        <v>2353</v>
      </c>
      <c r="E1150" s="16">
        <v>49.0</v>
      </c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</row>
    <row r="1151">
      <c r="A1151" s="78" t="s">
        <v>2356</v>
      </c>
      <c r="B1151" s="79">
        <v>5.902280346951E12</v>
      </c>
      <c r="C1151" s="9" t="s">
        <v>2357</v>
      </c>
      <c r="D1151" s="15" t="s">
        <v>2358</v>
      </c>
      <c r="E1151" s="16">
        <v>45.0</v>
      </c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</row>
    <row r="1152">
      <c r="A1152" s="78" t="s">
        <v>2359</v>
      </c>
      <c r="B1152" s="79">
        <v>5.90228034689E12</v>
      </c>
      <c r="C1152" s="9" t="s">
        <v>2360</v>
      </c>
      <c r="D1152" s="15" t="s">
        <v>2358</v>
      </c>
      <c r="E1152" s="16">
        <v>90.0</v>
      </c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</row>
    <row r="1153">
      <c r="A1153" s="78" t="s">
        <v>2361</v>
      </c>
      <c r="B1153" s="79">
        <v>5.902280346944E12</v>
      </c>
      <c r="C1153" s="9" t="s">
        <v>2362</v>
      </c>
      <c r="D1153" s="15" t="s">
        <v>2363</v>
      </c>
      <c r="E1153" s="16">
        <v>45.0</v>
      </c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</row>
    <row r="1154">
      <c r="A1154" s="78" t="s">
        <v>2364</v>
      </c>
      <c r="B1154" s="79">
        <v>5.90228034692E12</v>
      </c>
      <c r="C1154" s="9" t="s">
        <v>2365</v>
      </c>
      <c r="D1154" s="15" t="s">
        <v>2363</v>
      </c>
      <c r="E1154" s="16">
        <v>90.0</v>
      </c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</row>
    <row r="1155">
      <c r="A1155" s="73">
        <v>42055.0</v>
      </c>
      <c r="B1155" s="74">
        <v>5.902280336761E12</v>
      </c>
      <c r="C1155" s="9" t="s">
        <v>2366</v>
      </c>
      <c r="D1155" s="15" t="s">
        <v>2367</v>
      </c>
      <c r="E1155" s="16">
        <v>10.5</v>
      </c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</row>
    <row r="1156">
      <c r="A1156" s="73">
        <v>44501.0</v>
      </c>
      <c r="B1156" s="74">
        <v>5.902280335184E12</v>
      </c>
      <c r="C1156" s="9" t="s">
        <v>2368</v>
      </c>
      <c r="D1156" s="15" t="s">
        <v>2369</v>
      </c>
      <c r="E1156" s="16">
        <v>10.0</v>
      </c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</row>
    <row r="1157">
      <c r="A1157" s="75">
        <v>42338.0</v>
      </c>
      <c r="B1157" s="76">
        <v>5.902280332114E12</v>
      </c>
      <c r="C1157" s="9" t="s">
        <v>2370</v>
      </c>
      <c r="D1157" s="15" t="s">
        <v>2371</v>
      </c>
      <c r="E1157" s="16">
        <v>14.0</v>
      </c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</row>
    <row r="1158">
      <c r="A1158" s="75">
        <v>42304.0</v>
      </c>
      <c r="B1158" s="76">
        <v>5.902280330486E12</v>
      </c>
      <c r="C1158" s="9" t="s">
        <v>2372</v>
      </c>
      <c r="D1158" s="15" t="s">
        <v>2373</v>
      </c>
      <c r="E1158" s="16">
        <v>14.0</v>
      </c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</row>
    <row r="1159">
      <c r="A1159" s="75">
        <v>42306.0</v>
      </c>
      <c r="B1159" s="76">
        <v>5.902280330509E12</v>
      </c>
      <c r="C1159" s="9" t="s">
        <v>2374</v>
      </c>
      <c r="D1159" s="15" t="s">
        <v>2373</v>
      </c>
      <c r="E1159" s="16">
        <v>14.0</v>
      </c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</row>
    <row r="1160">
      <c r="A1160" s="75">
        <v>42308.0</v>
      </c>
      <c r="B1160" s="76">
        <v>5.902280330523E12</v>
      </c>
      <c r="C1160" s="9" t="s">
        <v>2375</v>
      </c>
      <c r="D1160" s="15" t="s">
        <v>2376</v>
      </c>
      <c r="E1160" s="16">
        <v>14.0</v>
      </c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</row>
    <row r="1161">
      <c r="A1161" s="75">
        <v>42310.0</v>
      </c>
      <c r="B1161" s="76">
        <v>5.902280330547E12</v>
      </c>
      <c r="C1161" s="9" t="s">
        <v>2377</v>
      </c>
      <c r="D1161" s="15" t="s">
        <v>2376</v>
      </c>
      <c r="E1161" s="16">
        <v>14.0</v>
      </c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</row>
    <row r="1162">
      <c r="A1162" s="75">
        <v>42736.0</v>
      </c>
      <c r="B1162" s="76">
        <v>5.902280323495E12</v>
      </c>
      <c r="C1162" s="9" t="s">
        <v>2378</v>
      </c>
      <c r="D1162" s="15" t="s">
        <v>2369</v>
      </c>
      <c r="E1162" s="16">
        <v>19.3</v>
      </c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</row>
    <row r="1163">
      <c r="A1163" s="75">
        <v>42716.0</v>
      </c>
      <c r="B1163" s="76">
        <v>5.906660788782E12</v>
      </c>
      <c r="C1163" s="9" t="s">
        <v>2379</v>
      </c>
      <c r="D1163" s="15" t="s">
        <v>2371</v>
      </c>
      <c r="E1163" s="16">
        <v>10.4</v>
      </c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</row>
    <row r="1164">
      <c r="A1164" s="75">
        <v>42728.0</v>
      </c>
      <c r="B1164" s="76">
        <v>5.902280319825E12</v>
      </c>
      <c r="C1164" s="9" t="s">
        <v>2380</v>
      </c>
      <c r="D1164" s="15" t="s">
        <v>2373</v>
      </c>
      <c r="E1164" s="16">
        <v>10.4</v>
      </c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</row>
    <row r="1165">
      <c r="A1165" s="75">
        <v>42720.0</v>
      </c>
      <c r="B1165" s="76">
        <v>5.906660788829E12</v>
      </c>
      <c r="C1165" s="9" t="s">
        <v>2381</v>
      </c>
      <c r="D1165" s="15" t="s">
        <v>2373</v>
      </c>
      <c r="E1165" s="16">
        <v>10.4</v>
      </c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</row>
    <row r="1166">
      <c r="A1166" s="75">
        <v>42717.0</v>
      </c>
      <c r="B1166" s="76">
        <v>5.906660788799E12</v>
      </c>
      <c r="C1166" s="9" t="s">
        <v>2382</v>
      </c>
      <c r="D1166" s="15" t="s">
        <v>2373</v>
      </c>
      <c r="E1166" s="16">
        <v>9.6</v>
      </c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</row>
    <row r="1167">
      <c r="A1167" s="73">
        <v>42324.0</v>
      </c>
      <c r="B1167" s="74">
        <v>5.902280330684E12</v>
      </c>
      <c r="C1167" s="9" t="s">
        <v>2383</v>
      </c>
      <c r="D1167" s="15" t="s">
        <v>2384</v>
      </c>
      <c r="E1167" s="16">
        <v>17.3</v>
      </c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</row>
    <row r="1168">
      <c r="A1168" s="73">
        <v>42326.0</v>
      </c>
      <c r="B1168" s="74">
        <v>5.902280330707E12</v>
      </c>
      <c r="C1168" s="9" t="s">
        <v>2385</v>
      </c>
      <c r="D1168" s="15" t="s">
        <v>2371</v>
      </c>
      <c r="E1168" s="16">
        <v>17.3</v>
      </c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</row>
    <row r="1169">
      <c r="A1169" s="73">
        <v>42328.0</v>
      </c>
      <c r="B1169" s="74">
        <v>5.902280330721E12</v>
      </c>
      <c r="C1169" s="9" t="s">
        <v>2386</v>
      </c>
      <c r="D1169" s="15" t="s">
        <v>2387</v>
      </c>
      <c r="E1169" s="16">
        <v>17.3</v>
      </c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</row>
    <row r="1170">
      <c r="A1170" s="73">
        <v>42330.0</v>
      </c>
      <c r="B1170" s="74">
        <v>5.902280330745E12</v>
      </c>
      <c r="C1170" s="9" t="s">
        <v>2388</v>
      </c>
      <c r="D1170" s="15" t="s">
        <v>2389</v>
      </c>
      <c r="E1170" s="16">
        <v>24.1</v>
      </c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</row>
    <row r="1171">
      <c r="A1171" s="73">
        <v>42332.0</v>
      </c>
      <c r="B1171" s="74">
        <v>5.902280330769E12</v>
      </c>
      <c r="C1171" s="9" t="s">
        <v>2390</v>
      </c>
      <c r="D1171" s="15" t="s">
        <v>2391</v>
      </c>
      <c r="E1171" s="16">
        <v>24.1</v>
      </c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</row>
    <row r="1172">
      <c r="A1172" s="73">
        <v>42334.0</v>
      </c>
      <c r="B1172" s="74">
        <v>5.902280330783E12</v>
      </c>
      <c r="C1172" s="9" t="s">
        <v>2392</v>
      </c>
      <c r="D1172" s="15" t="s">
        <v>2391</v>
      </c>
      <c r="E1172" s="16">
        <v>24.1</v>
      </c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</row>
    <row r="1173">
      <c r="A1173" s="73">
        <v>42336.0</v>
      </c>
      <c r="B1173" s="74">
        <v>5.902280330806E12</v>
      </c>
      <c r="C1173" s="9" t="s">
        <v>2393</v>
      </c>
      <c r="D1173" s="15" t="s">
        <v>2391</v>
      </c>
      <c r="E1173" s="16">
        <v>24.1</v>
      </c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</row>
    <row r="1174">
      <c r="A1174" s="73">
        <v>42314.0</v>
      </c>
      <c r="B1174" s="74">
        <v>5.902280330585E12</v>
      </c>
      <c r="C1174" s="9" t="s">
        <v>2394</v>
      </c>
      <c r="D1174" s="15" t="s">
        <v>2384</v>
      </c>
      <c r="E1174" s="16">
        <v>10.8</v>
      </c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</row>
    <row r="1175">
      <c r="A1175" s="73">
        <v>42316.0</v>
      </c>
      <c r="B1175" s="74">
        <v>5.902280330608E12</v>
      </c>
      <c r="C1175" s="9" t="s">
        <v>2395</v>
      </c>
      <c r="D1175" s="15" t="s">
        <v>2371</v>
      </c>
      <c r="E1175" s="16">
        <v>10.8</v>
      </c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</row>
    <row r="1176">
      <c r="A1176" s="73">
        <v>42718.0</v>
      </c>
      <c r="B1176" s="74">
        <v>5.906660788805E12</v>
      </c>
      <c r="C1176" s="9" t="s">
        <v>2396</v>
      </c>
      <c r="D1176" s="15" t="s">
        <v>2397</v>
      </c>
      <c r="E1176" s="16">
        <v>10.2</v>
      </c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</row>
    <row r="1177">
      <c r="A1177" s="73">
        <v>42320.0</v>
      </c>
      <c r="B1177" s="74">
        <v>5.902280330646E12</v>
      </c>
      <c r="C1177" s="9" t="s">
        <v>2398</v>
      </c>
      <c r="D1177" s="15" t="s">
        <v>2399</v>
      </c>
      <c r="E1177" s="16">
        <v>14.0</v>
      </c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</row>
    <row r="1178">
      <c r="A1178" s="73">
        <v>42719.0</v>
      </c>
      <c r="B1178" s="74">
        <v>5.906660788812E12</v>
      </c>
      <c r="C1178" s="9" t="s">
        <v>2400</v>
      </c>
      <c r="D1178" s="15" t="s">
        <v>2401</v>
      </c>
      <c r="E1178" s="16">
        <v>11.1</v>
      </c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</row>
    <row r="1179">
      <c r="A1179" s="73">
        <v>42339.0</v>
      </c>
      <c r="B1179" s="74">
        <v>5.902280332121E12</v>
      </c>
      <c r="C1179" s="9" t="s">
        <v>2402</v>
      </c>
      <c r="D1179" s="15" t="s">
        <v>2403</v>
      </c>
      <c r="E1179" s="16">
        <v>10.3</v>
      </c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</row>
    <row r="1180">
      <c r="A1180" s="73">
        <v>42305.0</v>
      </c>
      <c r="B1180" s="74">
        <v>5.902280330493E12</v>
      </c>
      <c r="C1180" s="9" t="s">
        <v>2404</v>
      </c>
      <c r="D1180" s="15" t="s">
        <v>2405</v>
      </c>
      <c r="E1180" s="16">
        <v>13.5</v>
      </c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</row>
    <row r="1181">
      <c r="A1181" s="73">
        <v>42723.0</v>
      </c>
      <c r="B1181" s="74">
        <v>5.902280306702E12</v>
      </c>
      <c r="C1181" s="9" t="s">
        <v>2406</v>
      </c>
      <c r="D1181" s="15" t="s">
        <v>2407</v>
      </c>
      <c r="E1181" s="16">
        <v>10.4</v>
      </c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</row>
    <row r="1182">
      <c r="A1182" s="73">
        <v>42729.0</v>
      </c>
      <c r="B1182" s="74">
        <v>5.902280319832E12</v>
      </c>
      <c r="C1182" s="9" t="s">
        <v>2408</v>
      </c>
      <c r="D1182" s="15" t="s">
        <v>2407</v>
      </c>
      <c r="E1182" s="16">
        <v>10.4</v>
      </c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</row>
    <row r="1183">
      <c r="A1183" s="73">
        <v>42725.0</v>
      </c>
      <c r="B1183" s="74">
        <v>5.902280306726E12</v>
      </c>
      <c r="C1183" s="9" t="s">
        <v>2409</v>
      </c>
      <c r="D1183" s="15" t="s">
        <v>2410</v>
      </c>
      <c r="E1183" s="16">
        <v>10.4</v>
      </c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</row>
    <row r="1184">
      <c r="A1184" s="73">
        <v>42724.0</v>
      </c>
      <c r="B1184" s="74">
        <v>5.902280306719E12</v>
      </c>
      <c r="C1184" s="9" t="s">
        <v>2411</v>
      </c>
      <c r="D1184" s="15" t="s">
        <v>2412</v>
      </c>
      <c r="E1184" s="16">
        <v>9.6</v>
      </c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</row>
    <row r="1185">
      <c r="A1185" s="73">
        <v>42315.0</v>
      </c>
      <c r="B1185" s="74">
        <v>5.902280330592E12</v>
      </c>
      <c r="C1185" s="9" t="s">
        <v>2413</v>
      </c>
      <c r="D1185" s="15" t="s">
        <v>2403</v>
      </c>
      <c r="E1185" s="16">
        <v>10.3</v>
      </c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</row>
    <row r="1186">
      <c r="A1186" s="73">
        <v>42317.0</v>
      </c>
      <c r="B1186" s="74">
        <v>5.902280330615E12</v>
      </c>
      <c r="C1186" s="9" t="s">
        <v>2414</v>
      </c>
      <c r="D1186" s="15" t="s">
        <v>2405</v>
      </c>
      <c r="E1186" s="16">
        <v>10.3</v>
      </c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</row>
    <row r="1187">
      <c r="A1187" s="73">
        <v>42726.0</v>
      </c>
      <c r="B1187" s="74">
        <v>5.902280306733E12</v>
      </c>
      <c r="C1187" s="9" t="s">
        <v>2415</v>
      </c>
      <c r="D1187" s="15" t="s">
        <v>2410</v>
      </c>
      <c r="E1187" s="16">
        <v>10.3</v>
      </c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</row>
    <row r="1188">
      <c r="A1188" s="73">
        <v>42321.0</v>
      </c>
      <c r="B1188" s="74">
        <v>5.902280330653E12</v>
      </c>
      <c r="C1188" s="9" t="s">
        <v>2416</v>
      </c>
      <c r="D1188" s="15" t="s">
        <v>2410</v>
      </c>
      <c r="E1188" s="16">
        <v>13.5</v>
      </c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</row>
    <row r="1189">
      <c r="A1189" s="75">
        <v>42727.0</v>
      </c>
      <c r="B1189" s="76">
        <v>5.90228030674E12</v>
      </c>
      <c r="C1189" s="9" t="s">
        <v>2417</v>
      </c>
      <c r="D1189" s="15" t="s">
        <v>2410</v>
      </c>
      <c r="E1189" s="16">
        <v>11.1</v>
      </c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</row>
    <row r="1190">
      <c r="A1190" s="75">
        <v>40688.0</v>
      </c>
      <c r="B1190" s="76">
        <v>5.902280353584E12</v>
      </c>
      <c r="C1190" s="9" t="s">
        <v>2418</v>
      </c>
      <c r="D1190" s="59"/>
      <c r="E1190" s="16">
        <v>16.4</v>
      </c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</row>
    <row r="1191">
      <c r="A1191" s="75">
        <v>40689.0</v>
      </c>
      <c r="B1191" s="76">
        <v>5.902280353591E12</v>
      </c>
      <c r="C1191" s="9" t="s">
        <v>2378</v>
      </c>
      <c r="D1191" s="59"/>
      <c r="E1191" s="16">
        <v>16.4</v>
      </c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</row>
    <row r="1192">
      <c r="A1192" s="75">
        <v>40690.0</v>
      </c>
      <c r="B1192" s="76">
        <v>5.902280353607E12</v>
      </c>
      <c r="C1192" s="9" t="s">
        <v>2379</v>
      </c>
      <c r="D1192" s="59"/>
      <c r="E1192" s="16">
        <v>16.4</v>
      </c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</row>
    <row r="1193">
      <c r="A1193" s="75">
        <v>40691.0</v>
      </c>
      <c r="B1193" s="76">
        <v>5.902280353614E12</v>
      </c>
      <c r="C1193" s="9" t="s">
        <v>2380</v>
      </c>
      <c r="D1193" s="59"/>
      <c r="E1193" s="16">
        <v>16.4</v>
      </c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</row>
    <row r="1194">
      <c r="A1194" s="75">
        <v>40692.0</v>
      </c>
      <c r="B1194" s="76">
        <v>5.902280353621E12</v>
      </c>
      <c r="C1194" s="9" t="s">
        <v>2381</v>
      </c>
      <c r="D1194" s="59"/>
      <c r="E1194" s="16">
        <v>16.4</v>
      </c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</row>
    <row r="1195">
      <c r="A1195" s="75">
        <v>40693.0</v>
      </c>
      <c r="B1195" s="76">
        <v>5.902280353638E12</v>
      </c>
      <c r="C1195" s="9" t="s">
        <v>2382</v>
      </c>
      <c r="D1195" s="59"/>
      <c r="E1195" s="16">
        <v>16.4</v>
      </c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</row>
    <row r="1196">
      <c r="A1196" s="75">
        <v>40694.0</v>
      </c>
      <c r="B1196" s="76">
        <v>5.902280353645E12</v>
      </c>
      <c r="C1196" s="9" t="s">
        <v>2419</v>
      </c>
      <c r="D1196" s="59"/>
      <c r="E1196" s="16">
        <v>23.1</v>
      </c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</row>
    <row r="1197">
      <c r="A1197" s="75">
        <v>40695.0</v>
      </c>
      <c r="B1197" s="76">
        <v>5.902280353652E12</v>
      </c>
      <c r="C1197" s="9" t="s">
        <v>2420</v>
      </c>
      <c r="D1197" s="59"/>
      <c r="E1197" s="16">
        <v>23.1</v>
      </c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</row>
    <row r="1198">
      <c r="A1198" s="75">
        <v>40696.0</v>
      </c>
      <c r="B1198" s="76">
        <v>5.902280353669E12</v>
      </c>
      <c r="C1198" s="9" t="s">
        <v>2421</v>
      </c>
      <c r="D1198" s="59"/>
      <c r="E1198" s="16">
        <v>23.1</v>
      </c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</row>
    <row r="1199">
      <c r="A1199" s="75">
        <v>40697.0</v>
      </c>
      <c r="B1199" s="76">
        <v>5.902280353676E12</v>
      </c>
      <c r="C1199" s="9" t="s">
        <v>2422</v>
      </c>
      <c r="D1199" s="59"/>
      <c r="E1199" s="16">
        <v>32.7</v>
      </c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</row>
    <row r="1200">
      <c r="A1200" s="75">
        <v>40698.0</v>
      </c>
      <c r="B1200" s="76">
        <v>5.902280353683E12</v>
      </c>
      <c r="C1200" s="9" t="s">
        <v>2423</v>
      </c>
      <c r="D1200" s="59"/>
      <c r="E1200" s="16">
        <v>32.7</v>
      </c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</row>
    <row r="1201">
      <c r="A1201" s="75">
        <v>40699.0</v>
      </c>
      <c r="B1201" s="76">
        <v>5.90228035369E12</v>
      </c>
      <c r="C1201" s="9" t="s">
        <v>2424</v>
      </c>
      <c r="D1201" s="59"/>
      <c r="E1201" s="16">
        <v>32.7</v>
      </c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</row>
    <row r="1202">
      <c r="A1202" s="75">
        <v>40700.0</v>
      </c>
      <c r="B1202" s="76">
        <v>5.902280353706E12</v>
      </c>
      <c r="C1202" s="9" t="s">
        <v>2425</v>
      </c>
      <c r="D1202" s="59"/>
      <c r="E1202" s="16">
        <v>23.4</v>
      </c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</row>
    <row r="1203">
      <c r="A1203" s="75">
        <v>40701.0</v>
      </c>
      <c r="B1203" s="76">
        <v>5.902280353713E12</v>
      </c>
      <c r="C1203" s="9" t="s">
        <v>2368</v>
      </c>
      <c r="D1203" s="59"/>
      <c r="E1203" s="16">
        <v>9.0</v>
      </c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</row>
    <row r="1204">
      <c r="A1204" s="75">
        <v>40702.0</v>
      </c>
      <c r="B1204" s="76">
        <v>5.90228035372E12</v>
      </c>
      <c r="C1204" s="9" t="s">
        <v>2394</v>
      </c>
      <c r="D1204" s="59"/>
      <c r="E1204" s="16">
        <v>13.1</v>
      </c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</row>
    <row r="1205">
      <c r="A1205" s="75">
        <v>40703.0</v>
      </c>
      <c r="B1205" s="76">
        <v>5.902280353737E12</v>
      </c>
      <c r="C1205" s="9" t="s">
        <v>2395</v>
      </c>
      <c r="D1205" s="59"/>
      <c r="E1205" s="16">
        <v>13.1</v>
      </c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</row>
    <row r="1206">
      <c r="A1206" s="75">
        <v>40704.0</v>
      </c>
      <c r="B1206" s="76">
        <v>5.902280353744E12</v>
      </c>
      <c r="C1206" s="9" t="s">
        <v>2396</v>
      </c>
      <c r="D1206" s="59"/>
      <c r="E1206" s="16">
        <v>16.6</v>
      </c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</row>
    <row r="1207">
      <c r="A1207" s="75">
        <v>40705.0</v>
      </c>
      <c r="B1207" s="76">
        <v>5.902280353751E12</v>
      </c>
      <c r="C1207" s="9" t="s">
        <v>2398</v>
      </c>
      <c r="D1207" s="59"/>
      <c r="E1207" s="16">
        <v>16.6</v>
      </c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</row>
    <row r="1208">
      <c r="A1208" s="75">
        <v>40706.0</v>
      </c>
      <c r="B1208" s="76">
        <v>5.902280353768E12</v>
      </c>
      <c r="C1208" s="9" t="s">
        <v>2400</v>
      </c>
      <c r="D1208" s="59"/>
      <c r="E1208" s="16">
        <v>16.6</v>
      </c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</row>
    <row r="1209">
      <c r="A1209" s="75">
        <v>43501.0</v>
      </c>
      <c r="B1209" s="76">
        <v>5.902280322016E12</v>
      </c>
      <c r="C1209" s="9" t="s">
        <v>2426</v>
      </c>
      <c r="D1209" s="15" t="s">
        <v>2427</v>
      </c>
      <c r="E1209" s="16">
        <v>11.0</v>
      </c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</row>
    <row r="1210">
      <c r="A1210" s="75">
        <v>43502.0</v>
      </c>
      <c r="B1210" s="76">
        <v>5.902280322023E12</v>
      </c>
      <c r="C1210" s="9" t="s">
        <v>2428</v>
      </c>
      <c r="D1210" s="15" t="s">
        <v>2429</v>
      </c>
      <c r="E1210" s="16">
        <v>11.6</v>
      </c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</row>
    <row r="1211">
      <c r="A1211" s="75">
        <v>43503.0</v>
      </c>
      <c r="B1211" s="76">
        <v>5.90228032203E12</v>
      </c>
      <c r="C1211" s="9" t="s">
        <v>2430</v>
      </c>
      <c r="D1211" s="15" t="s">
        <v>2429</v>
      </c>
      <c r="E1211" s="16">
        <v>11.6</v>
      </c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</row>
    <row r="1212">
      <c r="A1212" s="75">
        <v>43504.0</v>
      </c>
      <c r="B1212" s="76">
        <v>5.902280322047E12</v>
      </c>
      <c r="C1212" s="9" t="s">
        <v>2431</v>
      </c>
      <c r="D1212" s="15" t="s">
        <v>2429</v>
      </c>
      <c r="E1212" s="16">
        <v>11.6</v>
      </c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</row>
    <row r="1213">
      <c r="A1213" s="75">
        <v>43505.0</v>
      </c>
      <c r="B1213" s="76">
        <v>5.902280322054E12</v>
      </c>
      <c r="C1213" s="9" t="s">
        <v>2432</v>
      </c>
      <c r="D1213" s="15" t="s">
        <v>2429</v>
      </c>
      <c r="E1213" s="16">
        <v>11.6</v>
      </c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</row>
    <row r="1214">
      <c r="A1214" s="80">
        <v>198.0</v>
      </c>
      <c r="B1214" s="81">
        <v>5.906660785125E12</v>
      </c>
      <c r="C1214" s="9" t="s">
        <v>2433</v>
      </c>
      <c r="D1214" s="15" t="s">
        <v>2434</v>
      </c>
      <c r="E1214" s="16">
        <v>78.1</v>
      </c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</row>
    <row r="1215">
      <c r="A1215" s="80">
        <v>70240.0</v>
      </c>
      <c r="B1215" s="82">
        <v>5.902280322719E12</v>
      </c>
      <c r="C1215" s="9" t="s">
        <v>2435</v>
      </c>
      <c r="D1215" s="15" t="s">
        <v>2436</v>
      </c>
      <c r="E1215" s="16">
        <v>27.7</v>
      </c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</row>
    <row r="1216">
      <c r="A1216" s="78">
        <v>70310.0</v>
      </c>
      <c r="B1216" s="79">
        <v>5.902280326427E12</v>
      </c>
      <c r="C1216" s="9" t="s">
        <v>2437</v>
      </c>
      <c r="D1216" s="15" t="s">
        <v>2438</v>
      </c>
      <c r="E1216" s="16">
        <v>22.2</v>
      </c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</row>
    <row r="1217">
      <c r="A1217" s="80">
        <v>1397.0</v>
      </c>
      <c r="B1217" s="81">
        <v>5.906660784753E12</v>
      </c>
      <c r="C1217" s="9" t="s">
        <v>2439</v>
      </c>
      <c r="D1217" s="15" t="s">
        <v>2438</v>
      </c>
      <c r="E1217" s="16">
        <v>2.9</v>
      </c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</row>
    <row r="1218">
      <c r="A1218" s="80">
        <v>66.0</v>
      </c>
      <c r="B1218" s="81">
        <v>5.906660784975E12</v>
      </c>
      <c r="C1218" s="9" t="s">
        <v>2440</v>
      </c>
      <c r="D1218" s="15" t="s">
        <v>2441</v>
      </c>
      <c r="E1218" s="16">
        <v>5.7</v>
      </c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</row>
    <row r="1219">
      <c r="A1219" s="78">
        <v>70499.0</v>
      </c>
      <c r="B1219" s="79">
        <v>5.902280338505E12</v>
      </c>
      <c r="C1219" s="9" t="s">
        <v>2442</v>
      </c>
      <c r="D1219" s="15" t="s">
        <v>2443</v>
      </c>
      <c r="E1219" s="16">
        <v>11.0</v>
      </c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</row>
    <row r="1220">
      <c r="A1220" s="78">
        <v>70114.0</v>
      </c>
      <c r="B1220" s="79">
        <v>5.902280305828E12</v>
      </c>
      <c r="C1220" s="9" t="s">
        <v>2444</v>
      </c>
      <c r="D1220" s="15">
        <v>0.0</v>
      </c>
      <c r="E1220" s="16">
        <v>0.4</v>
      </c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</row>
    <row r="1221">
      <c r="A1221" s="78">
        <v>70500.0</v>
      </c>
      <c r="B1221" s="79">
        <v>5.902280338512E12</v>
      </c>
      <c r="C1221" s="9" t="s">
        <v>2445</v>
      </c>
      <c r="D1221" s="15" t="s">
        <v>2446</v>
      </c>
      <c r="E1221" s="16">
        <v>1.8</v>
      </c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</row>
    <row r="1222">
      <c r="A1222" s="80">
        <v>70520.0</v>
      </c>
      <c r="B1222" s="74">
        <v>5.902280339267E12</v>
      </c>
      <c r="C1222" s="9" t="s">
        <v>2447</v>
      </c>
      <c r="D1222" s="15" t="s">
        <v>2448</v>
      </c>
      <c r="E1222" s="16">
        <v>7.0</v>
      </c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</row>
    <row r="1223">
      <c r="A1223" s="80">
        <v>70521.0</v>
      </c>
      <c r="B1223" s="74">
        <v>5.902280339274E12</v>
      </c>
      <c r="C1223" s="9" t="s">
        <v>2449</v>
      </c>
      <c r="D1223" s="15" t="s">
        <v>2448</v>
      </c>
      <c r="E1223" s="16">
        <v>9.5</v>
      </c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</row>
    <row r="1224">
      <c r="A1224" s="73">
        <v>42504.0</v>
      </c>
      <c r="B1224" s="74">
        <v>5.906660789833E12</v>
      </c>
      <c r="C1224" s="9" t="s">
        <v>2450</v>
      </c>
      <c r="D1224" s="15" t="s">
        <v>2451</v>
      </c>
      <c r="E1224" s="16">
        <v>22.3</v>
      </c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</row>
    <row r="1225">
      <c r="A1225" s="73">
        <v>42526.0</v>
      </c>
      <c r="B1225" s="74">
        <v>5.902280345916E12</v>
      </c>
      <c r="C1225" s="9" t="s">
        <v>2452</v>
      </c>
      <c r="D1225" s="15" t="s">
        <v>2453</v>
      </c>
      <c r="E1225" s="16">
        <v>6.0</v>
      </c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</row>
    <row r="1226">
      <c r="A1226" s="73">
        <v>42528.0</v>
      </c>
      <c r="B1226" s="74">
        <v>5.90228034519E12</v>
      </c>
      <c r="C1226" s="9" t="s">
        <v>2454</v>
      </c>
      <c r="D1226" s="15" t="s">
        <v>2455</v>
      </c>
      <c r="E1226" s="16">
        <v>12.0</v>
      </c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</row>
    <row r="1227">
      <c r="A1227" s="80">
        <v>42527.0</v>
      </c>
      <c r="B1227" s="74">
        <v>5.902280345923E12</v>
      </c>
      <c r="C1227" s="9" t="s">
        <v>2456</v>
      </c>
      <c r="D1227" s="15" t="s">
        <v>2453</v>
      </c>
      <c r="E1227" s="16">
        <v>10.8</v>
      </c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</row>
    <row r="1228">
      <c r="A1228" s="80">
        <v>42529.0</v>
      </c>
      <c r="B1228" s="74">
        <v>5.902280345183E12</v>
      </c>
      <c r="C1228" s="9" t="s">
        <v>2457</v>
      </c>
      <c r="D1228" s="15" t="s">
        <v>2455</v>
      </c>
      <c r="E1228" s="16">
        <v>21.6</v>
      </c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</row>
    <row r="1229">
      <c r="A1229" s="75">
        <v>42501.0</v>
      </c>
      <c r="B1229" s="76">
        <v>5.906660789147E12</v>
      </c>
      <c r="C1229" s="9" t="s">
        <v>2458</v>
      </c>
      <c r="D1229" s="15" t="s">
        <v>2459</v>
      </c>
      <c r="E1229" s="16">
        <v>23.2</v>
      </c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</row>
    <row r="1230">
      <c r="A1230" s="78">
        <v>42518.0</v>
      </c>
      <c r="B1230" s="79">
        <v>5.902280309512E12</v>
      </c>
      <c r="C1230" s="9" t="s">
        <v>2460</v>
      </c>
      <c r="D1230" s="15" t="s">
        <v>2461</v>
      </c>
      <c r="E1230" s="16">
        <v>54.9</v>
      </c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</row>
    <row r="1231">
      <c r="A1231" s="80" t="s">
        <v>2462</v>
      </c>
      <c r="B1231" s="81">
        <v>5.902280347507E12</v>
      </c>
      <c r="C1231" s="56" t="s">
        <v>2463</v>
      </c>
      <c r="D1231" s="57" t="s">
        <v>2464</v>
      </c>
      <c r="E1231" s="58">
        <v>26.7</v>
      </c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</row>
    <row r="1232">
      <c r="A1232" s="80" t="s">
        <v>2465</v>
      </c>
      <c r="B1232" s="81">
        <v>5.902280347514E12</v>
      </c>
      <c r="C1232" s="56" t="s">
        <v>2466</v>
      </c>
      <c r="D1232" s="57" t="s">
        <v>2464</v>
      </c>
      <c r="E1232" s="58">
        <v>31.4</v>
      </c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</row>
    <row r="1233">
      <c r="A1233" s="80" t="s">
        <v>2467</v>
      </c>
      <c r="B1233" s="81">
        <v>5.902280347521E12</v>
      </c>
      <c r="C1233" s="56" t="s">
        <v>2468</v>
      </c>
      <c r="D1233" s="57" t="s">
        <v>2464</v>
      </c>
      <c r="E1233" s="58">
        <v>31.5</v>
      </c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</row>
    <row r="1234">
      <c r="A1234" s="80" t="s">
        <v>2469</v>
      </c>
      <c r="B1234" s="81">
        <v>5.902280347538E12</v>
      </c>
      <c r="C1234" s="56" t="s">
        <v>2470</v>
      </c>
      <c r="D1234" s="57" t="s">
        <v>2464</v>
      </c>
      <c r="E1234" s="58">
        <v>41.0</v>
      </c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</row>
    <row r="1235">
      <c r="A1235" s="80">
        <v>1528.0</v>
      </c>
      <c r="B1235" s="81">
        <v>5.906660784791E12</v>
      </c>
      <c r="C1235" s="9" t="s">
        <v>2471</v>
      </c>
      <c r="D1235" s="15" t="s">
        <v>2472</v>
      </c>
      <c r="E1235" s="16">
        <v>19.5</v>
      </c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</row>
    <row r="1236">
      <c r="A1236" s="78">
        <v>44.0</v>
      </c>
      <c r="B1236" s="79">
        <v>5.90666078504E12</v>
      </c>
      <c r="C1236" s="9" t="s">
        <v>2473</v>
      </c>
      <c r="D1236" s="15" t="s">
        <v>2474</v>
      </c>
      <c r="E1236" s="16">
        <v>121.5</v>
      </c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</row>
    <row r="1237">
      <c r="A1237" s="78">
        <v>97.0</v>
      </c>
      <c r="B1237" s="79">
        <v>5.906660785309E12</v>
      </c>
      <c r="C1237" s="9" t="s">
        <v>2475</v>
      </c>
      <c r="D1237" s="15" t="s">
        <v>2476</v>
      </c>
      <c r="E1237" s="16">
        <v>41.1</v>
      </c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</row>
    <row r="1238">
      <c r="A1238" s="78" t="s">
        <v>2477</v>
      </c>
      <c r="B1238" s="79">
        <v>5.902280355106E12</v>
      </c>
      <c r="C1238" s="9" t="s">
        <v>2478</v>
      </c>
      <c r="D1238" s="15" t="s">
        <v>2476</v>
      </c>
      <c r="E1238" s="16">
        <v>55.0</v>
      </c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</row>
    <row r="1239">
      <c r="A1239" s="78" t="s">
        <v>2479</v>
      </c>
      <c r="B1239" s="79">
        <v>5.90228035509E12</v>
      </c>
      <c r="C1239" s="9" t="s">
        <v>2480</v>
      </c>
      <c r="D1239" s="15" t="s">
        <v>2476</v>
      </c>
      <c r="E1239" s="16">
        <v>55.0</v>
      </c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</row>
    <row r="1240">
      <c r="A1240" s="78">
        <v>93.0</v>
      </c>
      <c r="B1240" s="79">
        <v>5.906660785316E12</v>
      </c>
      <c r="C1240" s="9" t="s">
        <v>2481</v>
      </c>
      <c r="D1240" s="15" t="s">
        <v>2482</v>
      </c>
      <c r="E1240" s="16">
        <v>41.1</v>
      </c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</row>
    <row r="1241">
      <c r="A1241" s="78" t="s">
        <v>2483</v>
      </c>
      <c r="B1241" s="79">
        <v>5.902280355182E12</v>
      </c>
      <c r="C1241" s="9" t="s">
        <v>2484</v>
      </c>
      <c r="D1241" s="15" t="s">
        <v>2482</v>
      </c>
      <c r="E1241" s="16">
        <v>55.0</v>
      </c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</row>
    <row r="1242">
      <c r="A1242" s="78" t="s">
        <v>2485</v>
      </c>
      <c r="B1242" s="79">
        <v>5.902280355175E12</v>
      </c>
      <c r="C1242" s="9" t="s">
        <v>2486</v>
      </c>
      <c r="D1242" s="15" t="s">
        <v>2482</v>
      </c>
      <c r="E1242" s="16">
        <v>55.0</v>
      </c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</row>
    <row r="1243">
      <c r="A1243" s="78">
        <v>42294.0</v>
      </c>
      <c r="B1243" s="79">
        <v>5.902280336396E12</v>
      </c>
      <c r="C1243" s="9" t="s">
        <v>2487</v>
      </c>
      <c r="D1243" s="15" t="s">
        <v>2488</v>
      </c>
      <c r="E1243" s="16">
        <v>23.5</v>
      </c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</row>
    <row r="1244">
      <c r="A1244" s="78">
        <v>42285.0</v>
      </c>
      <c r="B1244" s="79">
        <v>5.902280336396E12</v>
      </c>
      <c r="C1244" s="9" t="s">
        <v>2489</v>
      </c>
      <c r="D1244" s="15" t="s">
        <v>2490</v>
      </c>
      <c r="E1244" s="16">
        <v>21.8</v>
      </c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</row>
    <row r="1245">
      <c r="A1245" s="78" t="s">
        <v>2491</v>
      </c>
      <c r="B1245" s="79">
        <v>5.902280336426E12</v>
      </c>
      <c r="C1245" s="9" t="s">
        <v>2492</v>
      </c>
      <c r="D1245" s="15" t="s">
        <v>2490</v>
      </c>
      <c r="E1245" s="16">
        <v>22.9</v>
      </c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</row>
    <row r="1246">
      <c r="A1246" s="80" t="s">
        <v>2493</v>
      </c>
      <c r="B1246" s="79">
        <v>5.902280339908E12</v>
      </c>
      <c r="C1246" s="9" t="s">
        <v>2494</v>
      </c>
      <c r="D1246" s="15" t="s">
        <v>2490</v>
      </c>
      <c r="E1246" s="16">
        <v>22.9</v>
      </c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</row>
    <row r="1247">
      <c r="A1247" s="78">
        <v>42286.0</v>
      </c>
      <c r="B1247" s="79">
        <v>5.902280336402E12</v>
      </c>
      <c r="C1247" s="9" t="s">
        <v>2495</v>
      </c>
      <c r="D1247" s="15" t="s">
        <v>2496</v>
      </c>
      <c r="E1247" s="16">
        <v>35.0</v>
      </c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</row>
    <row r="1248">
      <c r="A1248" s="78" t="s">
        <v>2497</v>
      </c>
      <c r="B1248" s="79">
        <v>5.902280336419E12</v>
      </c>
      <c r="C1248" s="9" t="s">
        <v>2498</v>
      </c>
      <c r="D1248" s="15" t="s">
        <v>2496</v>
      </c>
      <c r="E1248" s="16">
        <v>36.7</v>
      </c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</row>
    <row r="1249">
      <c r="A1249" s="78">
        <v>42287.0</v>
      </c>
      <c r="B1249" s="79">
        <v>5.902280337171E12</v>
      </c>
      <c r="C1249" s="9" t="s">
        <v>2499</v>
      </c>
      <c r="D1249" s="15" t="s">
        <v>2500</v>
      </c>
      <c r="E1249" s="16">
        <v>26.8</v>
      </c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</row>
    <row r="1250">
      <c r="A1250" s="78" t="s">
        <v>2501</v>
      </c>
      <c r="B1250" s="79">
        <v>5.902280337188E12</v>
      </c>
      <c r="C1250" s="9" t="s">
        <v>2502</v>
      </c>
      <c r="D1250" s="15" t="s">
        <v>2500</v>
      </c>
      <c r="E1250" s="16">
        <v>28.1</v>
      </c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</row>
    <row r="1251">
      <c r="A1251" s="80" t="s">
        <v>2503</v>
      </c>
      <c r="B1251" s="79">
        <v>5.902280339915E12</v>
      </c>
      <c r="C1251" s="9" t="s">
        <v>2504</v>
      </c>
      <c r="D1251" s="15" t="s">
        <v>2496</v>
      </c>
      <c r="E1251" s="16">
        <v>28.1</v>
      </c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</row>
    <row r="1252">
      <c r="A1252" s="78">
        <v>42288.0</v>
      </c>
      <c r="B1252" s="79">
        <v>5.902280337195E12</v>
      </c>
      <c r="C1252" s="9" t="s">
        <v>2505</v>
      </c>
      <c r="D1252" s="15" t="s">
        <v>2496</v>
      </c>
      <c r="E1252" s="16">
        <v>38.7</v>
      </c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</row>
    <row r="1253">
      <c r="A1253" s="78" t="s">
        <v>2506</v>
      </c>
      <c r="B1253" s="79">
        <v>5.902280337201E12</v>
      </c>
      <c r="C1253" s="9" t="s">
        <v>2507</v>
      </c>
      <c r="D1253" s="15" t="s">
        <v>2496</v>
      </c>
      <c r="E1253" s="16">
        <v>40.7</v>
      </c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</row>
    <row r="1254">
      <c r="A1254" s="80" t="s">
        <v>2508</v>
      </c>
      <c r="B1254" s="79">
        <v>5.902280339922E12</v>
      </c>
      <c r="C1254" s="9" t="s">
        <v>2509</v>
      </c>
      <c r="D1254" s="15" t="s">
        <v>2496</v>
      </c>
      <c r="E1254" s="16">
        <v>40.7</v>
      </c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</row>
    <row r="1255">
      <c r="A1255" s="80">
        <v>42345.0</v>
      </c>
      <c r="B1255" s="81">
        <v>5.902280349549E12</v>
      </c>
      <c r="C1255" s="56" t="s">
        <v>2510</v>
      </c>
      <c r="D1255" s="57" t="s">
        <v>2511</v>
      </c>
      <c r="E1255" s="58">
        <v>38.0</v>
      </c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</row>
    <row r="1256">
      <c r="A1256" s="80" t="s">
        <v>2512</v>
      </c>
      <c r="B1256" s="81">
        <v>5.902280354987E12</v>
      </c>
      <c r="C1256" s="56" t="s">
        <v>2513</v>
      </c>
      <c r="D1256" s="57" t="s">
        <v>2511</v>
      </c>
      <c r="E1256" s="58">
        <v>45.0</v>
      </c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</row>
    <row r="1257">
      <c r="A1257" s="80" t="s">
        <v>2514</v>
      </c>
      <c r="B1257" s="81">
        <v>5.90228035497E12</v>
      </c>
      <c r="C1257" s="56" t="s">
        <v>2515</v>
      </c>
      <c r="D1257" s="57" t="s">
        <v>2511</v>
      </c>
      <c r="E1257" s="58">
        <v>45.0</v>
      </c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</row>
    <row r="1258">
      <c r="A1258" s="80">
        <v>42346.0</v>
      </c>
      <c r="B1258" s="81">
        <v>5.902280349556E12</v>
      </c>
      <c r="C1258" s="56" t="s">
        <v>2516</v>
      </c>
      <c r="D1258" s="57" t="s">
        <v>2517</v>
      </c>
      <c r="E1258" s="58">
        <v>43.6</v>
      </c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</row>
    <row r="1259">
      <c r="A1259" s="80" t="s">
        <v>2518</v>
      </c>
      <c r="B1259" s="81">
        <v>5.902280355038E12</v>
      </c>
      <c r="C1259" s="56" t="s">
        <v>2519</v>
      </c>
      <c r="D1259" s="57" t="s">
        <v>2517</v>
      </c>
      <c r="E1259" s="58">
        <v>50.0</v>
      </c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</row>
    <row r="1260">
      <c r="A1260" s="80" t="s">
        <v>2520</v>
      </c>
      <c r="B1260" s="81">
        <v>5.902280355021E12</v>
      </c>
      <c r="C1260" s="56" t="s">
        <v>2521</v>
      </c>
      <c r="D1260" s="57" t="s">
        <v>2517</v>
      </c>
      <c r="E1260" s="58">
        <v>50.0</v>
      </c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</row>
    <row r="1261">
      <c r="A1261" s="80">
        <v>42347.0</v>
      </c>
      <c r="B1261" s="81">
        <v>5.90228034957E12</v>
      </c>
      <c r="C1261" s="56" t="s">
        <v>2522</v>
      </c>
      <c r="D1261" s="57" t="s">
        <v>2517</v>
      </c>
      <c r="E1261" s="58">
        <v>32.4</v>
      </c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</row>
    <row r="1262">
      <c r="A1262" s="80" t="s">
        <v>2523</v>
      </c>
      <c r="B1262" s="81">
        <v>5.902280355052E12</v>
      </c>
      <c r="C1262" s="56" t="s">
        <v>2524</v>
      </c>
      <c r="D1262" s="57" t="s">
        <v>2517</v>
      </c>
      <c r="E1262" s="58">
        <v>45.0</v>
      </c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</row>
    <row r="1263">
      <c r="A1263" s="80" t="s">
        <v>2525</v>
      </c>
      <c r="B1263" s="81">
        <v>5.902280355045E12</v>
      </c>
      <c r="C1263" s="56" t="s">
        <v>2526</v>
      </c>
      <c r="D1263" s="57" t="s">
        <v>2517</v>
      </c>
      <c r="E1263" s="58">
        <v>45.0</v>
      </c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</row>
    <row r="1264">
      <c r="A1264" s="80">
        <v>42348.0</v>
      </c>
      <c r="B1264" s="81">
        <v>5.902280349563E12</v>
      </c>
      <c r="C1264" s="56" t="s">
        <v>2527</v>
      </c>
      <c r="D1264" s="57" t="s">
        <v>2517</v>
      </c>
      <c r="E1264" s="58">
        <v>39.6</v>
      </c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</row>
    <row r="1265">
      <c r="A1265" s="78">
        <v>42242.0</v>
      </c>
      <c r="B1265" s="79">
        <v>5.902280318569E12</v>
      </c>
      <c r="C1265" s="9" t="s">
        <v>2528</v>
      </c>
      <c r="D1265" s="15" t="s">
        <v>2529</v>
      </c>
      <c r="E1265" s="16">
        <v>19.4</v>
      </c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</row>
    <row r="1266">
      <c r="A1266" s="78">
        <v>42244.0</v>
      </c>
      <c r="B1266" s="79">
        <v>5.90228032117E12</v>
      </c>
      <c r="C1266" s="9" t="s">
        <v>2530</v>
      </c>
      <c r="D1266" s="15" t="s">
        <v>2531</v>
      </c>
      <c r="E1266" s="16">
        <v>19.4</v>
      </c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</row>
    <row r="1267">
      <c r="A1267" s="51">
        <v>42276.0</v>
      </c>
      <c r="B1267" s="77">
        <v>5.902280334552E12</v>
      </c>
      <c r="C1267" s="9" t="s">
        <v>2532</v>
      </c>
      <c r="D1267" s="15" t="s">
        <v>2533</v>
      </c>
      <c r="E1267" s="16">
        <v>34.2</v>
      </c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</row>
    <row r="1268">
      <c r="A1268" s="51">
        <v>42282.0</v>
      </c>
      <c r="B1268" s="77">
        <v>5.902280335849E12</v>
      </c>
      <c r="C1268" s="9" t="s">
        <v>2534</v>
      </c>
      <c r="D1268" s="15" t="s">
        <v>2535</v>
      </c>
      <c r="E1268" s="16">
        <v>33.7</v>
      </c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</row>
    <row r="1269">
      <c r="A1269" s="51">
        <v>42281.0</v>
      </c>
      <c r="B1269" s="77">
        <v>5.902280335832E12</v>
      </c>
      <c r="C1269" s="9" t="s">
        <v>2536</v>
      </c>
      <c r="D1269" s="15" t="s">
        <v>2537</v>
      </c>
      <c r="E1269" s="16">
        <v>36.7</v>
      </c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</row>
    <row r="1270">
      <c r="A1270" s="51">
        <v>42280.0</v>
      </c>
      <c r="B1270" s="77">
        <v>5.902280335825E12</v>
      </c>
      <c r="C1270" s="9" t="s">
        <v>2538</v>
      </c>
      <c r="D1270" s="15" t="s">
        <v>2539</v>
      </c>
      <c r="E1270" s="16">
        <v>36.9</v>
      </c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</row>
    <row r="1271">
      <c r="A1271" s="51">
        <v>42275.0</v>
      </c>
      <c r="B1271" s="77">
        <v>5.902280334545E12</v>
      </c>
      <c r="C1271" s="9" t="s">
        <v>2540</v>
      </c>
      <c r="D1271" s="15" t="s">
        <v>2533</v>
      </c>
      <c r="E1271" s="16">
        <v>37.8</v>
      </c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</row>
    <row r="1272">
      <c r="A1272" s="51">
        <v>42279.0</v>
      </c>
      <c r="B1272" s="77">
        <v>5.902280335818E12</v>
      </c>
      <c r="C1272" s="9" t="s">
        <v>2541</v>
      </c>
      <c r="D1272" s="15" t="s">
        <v>2535</v>
      </c>
      <c r="E1272" s="16">
        <v>35.5</v>
      </c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</row>
    <row r="1273">
      <c r="A1273" s="51">
        <v>42278.0</v>
      </c>
      <c r="B1273" s="77">
        <v>5.902280335795E12</v>
      </c>
      <c r="C1273" s="9" t="s">
        <v>2542</v>
      </c>
      <c r="D1273" s="15" t="s">
        <v>2537</v>
      </c>
      <c r="E1273" s="16">
        <v>40.5</v>
      </c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</row>
    <row r="1274">
      <c r="A1274" s="51">
        <v>42277.0</v>
      </c>
      <c r="B1274" s="77">
        <v>5.902280335801E12</v>
      </c>
      <c r="C1274" s="9" t="s">
        <v>2543</v>
      </c>
      <c r="D1274" s="15" t="s">
        <v>2539</v>
      </c>
      <c r="E1274" s="16">
        <v>40.6</v>
      </c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</row>
    <row r="1275">
      <c r="A1275" s="51">
        <v>42283.0</v>
      </c>
      <c r="B1275" s="77">
        <v>5.902280335856E12</v>
      </c>
      <c r="C1275" s="9" t="s">
        <v>2544</v>
      </c>
      <c r="D1275" s="15" t="s">
        <v>2545</v>
      </c>
      <c r="E1275" s="16">
        <v>35.0</v>
      </c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</row>
    <row r="1276">
      <c r="A1276" s="51">
        <v>42284.0</v>
      </c>
      <c r="B1276" s="77">
        <v>5.902280335863E12</v>
      </c>
      <c r="C1276" s="9" t="s">
        <v>2546</v>
      </c>
      <c r="D1276" s="15" t="s">
        <v>2547</v>
      </c>
      <c r="E1276" s="16">
        <v>43.9</v>
      </c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</row>
    <row r="1277">
      <c r="A1277" s="51" t="s">
        <v>2548</v>
      </c>
      <c r="B1277" s="77">
        <v>5.902280335078E12</v>
      </c>
      <c r="C1277" s="9" t="s">
        <v>2549</v>
      </c>
      <c r="D1277" s="15" t="s">
        <v>2533</v>
      </c>
      <c r="E1277" s="16">
        <v>38.4</v>
      </c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</row>
    <row r="1278">
      <c r="A1278" s="51" t="s">
        <v>2550</v>
      </c>
      <c r="B1278" s="77">
        <v>5.902280335085E12</v>
      </c>
      <c r="C1278" s="9" t="s">
        <v>2551</v>
      </c>
      <c r="D1278" s="15" t="s">
        <v>2535</v>
      </c>
      <c r="E1278" s="16">
        <v>37.0</v>
      </c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</row>
    <row r="1279">
      <c r="A1279" s="51" t="s">
        <v>2552</v>
      </c>
      <c r="B1279" s="77">
        <v>5.902280335092E12</v>
      </c>
      <c r="C1279" s="9" t="s">
        <v>2553</v>
      </c>
      <c r="D1279" s="15" t="s">
        <v>2537</v>
      </c>
      <c r="E1279" s="16">
        <v>40.2</v>
      </c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</row>
    <row r="1280">
      <c r="A1280" s="51" t="s">
        <v>2554</v>
      </c>
      <c r="B1280" s="77">
        <v>5.902280335108E12</v>
      </c>
      <c r="C1280" s="9" t="s">
        <v>2555</v>
      </c>
      <c r="D1280" s="15" t="s">
        <v>2539</v>
      </c>
      <c r="E1280" s="16">
        <v>40.2</v>
      </c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</row>
    <row r="1281">
      <c r="A1281" s="51" t="s">
        <v>2556</v>
      </c>
      <c r="B1281" s="77">
        <v>5.902280335115E12</v>
      </c>
      <c r="C1281" s="9" t="s">
        <v>2557</v>
      </c>
      <c r="D1281" s="15" t="s">
        <v>2533</v>
      </c>
      <c r="E1281" s="16">
        <v>40.2</v>
      </c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</row>
    <row r="1282">
      <c r="A1282" s="51" t="s">
        <v>2558</v>
      </c>
      <c r="B1282" s="77">
        <v>5.902280335122E12</v>
      </c>
      <c r="C1282" s="9" t="s">
        <v>2559</v>
      </c>
      <c r="D1282" s="15" t="s">
        <v>2535</v>
      </c>
      <c r="E1282" s="16">
        <v>38.8</v>
      </c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</row>
    <row r="1283">
      <c r="A1283" s="51" t="s">
        <v>2560</v>
      </c>
      <c r="B1283" s="77">
        <v>5.902280333883E12</v>
      </c>
      <c r="C1283" s="9" t="s">
        <v>2561</v>
      </c>
      <c r="D1283" s="15" t="s">
        <v>2537</v>
      </c>
      <c r="E1283" s="16">
        <v>44.1</v>
      </c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</row>
    <row r="1284">
      <c r="A1284" s="51" t="s">
        <v>2562</v>
      </c>
      <c r="B1284" s="77">
        <v>5.902280335139E12</v>
      </c>
      <c r="C1284" s="9" t="s">
        <v>2563</v>
      </c>
      <c r="D1284" s="15" t="s">
        <v>2539</v>
      </c>
      <c r="E1284" s="16">
        <v>44.1</v>
      </c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</row>
    <row r="1285">
      <c r="A1285" s="51" t="s">
        <v>2564</v>
      </c>
      <c r="B1285" s="77">
        <v>5.902280335146E12</v>
      </c>
      <c r="C1285" s="9" t="s">
        <v>2565</v>
      </c>
      <c r="D1285" s="15" t="s">
        <v>2545</v>
      </c>
      <c r="E1285" s="16">
        <v>38.8</v>
      </c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</row>
    <row r="1286">
      <c r="A1286" s="83" t="s">
        <v>2566</v>
      </c>
      <c r="B1286" s="77">
        <v>5.902280338475E12</v>
      </c>
      <c r="C1286" s="9" t="s">
        <v>2567</v>
      </c>
      <c r="D1286" s="15" t="s">
        <v>2545</v>
      </c>
      <c r="E1286" s="16">
        <v>38.7</v>
      </c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</row>
    <row r="1287">
      <c r="A1287" s="23">
        <v>42670.0</v>
      </c>
      <c r="B1287" s="24">
        <v>5.902280345206E12</v>
      </c>
      <c r="C1287" s="9" t="s">
        <v>2568</v>
      </c>
      <c r="D1287" s="15" t="s">
        <v>2569</v>
      </c>
      <c r="E1287" s="16">
        <v>26.3</v>
      </c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</row>
    <row r="1288">
      <c r="A1288" s="23">
        <v>42671.0</v>
      </c>
      <c r="B1288" s="24">
        <v>5.902280345213E12</v>
      </c>
      <c r="C1288" s="9" t="s">
        <v>2570</v>
      </c>
      <c r="D1288" s="15" t="s">
        <v>2569</v>
      </c>
      <c r="E1288" s="16">
        <v>26.3</v>
      </c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</row>
    <row r="1289">
      <c r="A1289" s="23">
        <v>42672.0</v>
      </c>
      <c r="B1289" s="24">
        <v>5.90228034522E12</v>
      </c>
      <c r="C1289" s="9" t="s">
        <v>2571</v>
      </c>
      <c r="D1289" s="15" t="s">
        <v>2569</v>
      </c>
      <c r="E1289" s="16">
        <v>26.8</v>
      </c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</row>
    <row r="1290">
      <c r="A1290" s="49" t="s">
        <v>2572</v>
      </c>
      <c r="B1290" s="50">
        <v>5.902280347002E12</v>
      </c>
      <c r="C1290" s="9" t="s">
        <v>2573</v>
      </c>
      <c r="D1290" s="15" t="s">
        <v>2574</v>
      </c>
      <c r="E1290" s="16">
        <v>85.0</v>
      </c>
      <c r="F1290" s="31"/>
      <c r="G1290" s="31"/>
      <c r="H1290" s="31"/>
      <c r="I1290" s="31"/>
      <c r="J1290" s="31"/>
      <c r="K1290" s="31"/>
      <c r="L1290" s="31"/>
      <c r="M1290" s="31"/>
      <c r="N1290" s="31"/>
      <c r="O1290" s="31"/>
      <c r="P1290" s="31"/>
      <c r="Q1290" s="31"/>
      <c r="R1290" s="31"/>
      <c r="S1290" s="31"/>
      <c r="T1290" s="31"/>
      <c r="U1290" s="31"/>
      <c r="V1290" s="31"/>
      <c r="W1290" s="31"/>
      <c r="X1290" s="31"/>
      <c r="Y1290" s="31"/>
      <c r="Z1290" s="31"/>
      <c r="AA1290" s="31"/>
      <c r="AB1290" s="31"/>
      <c r="AC1290" s="31"/>
      <c r="AD1290" s="31"/>
      <c r="AE1290" s="31"/>
      <c r="AF1290" s="31"/>
      <c r="AG1290" s="31"/>
      <c r="AH1290" s="31"/>
      <c r="AI1290" s="31"/>
      <c r="AJ1290" s="31"/>
      <c r="AK1290" s="31"/>
      <c r="AL1290" s="31"/>
      <c r="AM1290" s="31"/>
      <c r="AN1290" s="31"/>
      <c r="AO1290" s="31"/>
      <c r="AP1290" s="31"/>
      <c r="AQ1290" s="31"/>
      <c r="AR1290" s="31"/>
      <c r="AS1290" s="31"/>
      <c r="AT1290" s="31"/>
      <c r="AU1290" s="31"/>
      <c r="AV1290" s="31"/>
      <c r="AW1290" s="31"/>
      <c r="AX1290" s="31"/>
      <c r="AY1290" s="31"/>
      <c r="AZ1290" s="31"/>
      <c r="BA1290" s="31"/>
      <c r="BB1290" s="31"/>
      <c r="BC1290" s="31"/>
      <c r="BD1290" s="31"/>
      <c r="BE1290" s="31"/>
      <c r="BF1290" s="31"/>
      <c r="BG1290" s="31"/>
      <c r="BH1290" s="31"/>
      <c r="BI1290" s="31"/>
      <c r="BJ1290" s="31"/>
      <c r="BK1290" s="31"/>
      <c r="BL1290" s="31"/>
      <c r="BM1290" s="31"/>
      <c r="BN1290" s="31"/>
      <c r="BO1290" s="31"/>
      <c r="BP1290" s="31"/>
      <c r="BQ1290" s="31"/>
    </row>
    <row r="1291">
      <c r="A1291" s="49" t="s">
        <v>2575</v>
      </c>
      <c r="B1291" s="50">
        <v>5.902280347033E12</v>
      </c>
      <c r="C1291" s="9" t="s">
        <v>2576</v>
      </c>
      <c r="D1291" s="15" t="s">
        <v>2574</v>
      </c>
      <c r="E1291" s="16">
        <v>85.0</v>
      </c>
      <c r="F1291" s="31"/>
      <c r="G1291" s="31"/>
      <c r="H1291" s="31"/>
      <c r="I1291" s="31"/>
      <c r="J1291" s="31"/>
      <c r="K1291" s="31"/>
      <c r="L1291" s="31"/>
      <c r="M1291" s="31"/>
      <c r="N1291" s="31"/>
      <c r="O1291" s="31"/>
      <c r="P1291" s="31"/>
      <c r="Q1291" s="31"/>
      <c r="R1291" s="31"/>
      <c r="S1291" s="31"/>
      <c r="T1291" s="31"/>
      <c r="U1291" s="31"/>
      <c r="V1291" s="31"/>
      <c r="W1291" s="31"/>
      <c r="X1291" s="31"/>
      <c r="Y1291" s="31"/>
      <c r="Z1291" s="31"/>
      <c r="AA1291" s="31"/>
      <c r="AB1291" s="31"/>
      <c r="AC1291" s="31"/>
      <c r="AD1291" s="31"/>
      <c r="AE1291" s="31"/>
      <c r="AF1291" s="31"/>
      <c r="AG1291" s="31"/>
      <c r="AH1291" s="31"/>
      <c r="AI1291" s="31"/>
      <c r="AJ1291" s="31"/>
      <c r="AK1291" s="31"/>
      <c r="AL1291" s="31"/>
      <c r="AM1291" s="31"/>
      <c r="AN1291" s="31"/>
      <c r="AO1291" s="31"/>
      <c r="AP1291" s="31"/>
      <c r="AQ1291" s="31"/>
      <c r="AR1291" s="31"/>
      <c r="AS1291" s="31"/>
      <c r="AT1291" s="31"/>
      <c r="AU1291" s="31"/>
      <c r="AV1291" s="31"/>
      <c r="AW1291" s="31"/>
      <c r="AX1291" s="31"/>
      <c r="AY1291" s="31"/>
      <c r="AZ1291" s="31"/>
      <c r="BA1291" s="31"/>
      <c r="BB1291" s="31"/>
      <c r="BC1291" s="31"/>
      <c r="BD1291" s="31"/>
      <c r="BE1291" s="31"/>
      <c r="BF1291" s="31"/>
      <c r="BG1291" s="31"/>
      <c r="BH1291" s="31"/>
      <c r="BI1291" s="31"/>
      <c r="BJ1291" s="31"/>
      <c r="BK1291" s="31"/>
      <c r="BL1291" s="31"/>
      <c r="BM1291" s="31"/>
      <c r="BN1291" s="31"/>
      <c r="BO1291" s="31"/>
      <c r="BP1291" s="31"/>
      <c r="BQ1291" s="31"/>
    </row>
    <row r="1292">
      <c r="A1292" s="49" t="s">
        <v>2577</v>
      </c>
      <c r="B1292" s="50">
        <v>5.902280347019E12</v>
      </c>
      <c r="C1292" s="9" t="s">
        <v>2578</v>
      </c>
      <c r="D1292" s="15" t="s">
        <v>2574</v>
      </c>
      <c r="E1292" s="16">
        <v>100.0</v>
      </c>
      <c r="F1292" s="31"/>
      <c r="G1292" s="31"/>
      <c r="H1292" s="31"/>
      <c r="I1292" s="31"/>
      <c r="J1292" s="31"/>
      <c r="K1292" s="31"/>
      <c r="L1292" s="31"/>
      <c r="M1292" s="31"/>
      <c r="N1292" s="31"/>
      <c r="O1292" s="31"/>
      <c r="P1292" s="31"/>
      <c r="Q1292" s="31"/>
      <c r="R1292" s="31"/>
      <c r="S1292" s="31"/>
      <c r="T1292" s="31"/>
      <c r="U1292" s="31"/>
      <c r="V1292" s="31"/>
      <c r="W1292" s="31"/>
      <c r="X1292" s="31"/>
      <c r="Y1292" s="31"/>
      <c r="Z1292" s="31"/>
      <c r="AA1292" s="31"/>
      <c r="AB1292" s="31"/>
      <c r="AC1292" s="31"/>
      <c r="AD1292" s="31"/>
      <c r="AE1292" s="31"/>
      <c r="AF1292" s="31"/>
      <c r="AG1292" s="31"/>
      <c r="AH1292" s="31"/>
      <c r="AI1292" s="31"/>
      <c r="AJ1292" s="31"/>
      <c r="AK1292" s="31"/>
      <c r="AL1292" s="31"/>
      <c r="AM1292" s="31"/>
      <c r="AN1292" s="31"/>
      <c r="AO1292" s="31"/>
      <c r="AP1292" s="31"/>
      <c r="AQ1292" s="31"/>
      <c r="AR1292" s="31"/>
      <c r="AS1292" s="31"/>
      <c r="AT1292" s="31"/>
      <c r="AU1292" s="31"/>
      <c r="AV1292" s="31"/>
      <c r="AW1292" s="31"/>
      <c r="AX1292" s="31"/>
      <c r="AY1292" s="31"/>
      <c r="AZ1292" s="31"/>
      <c r="BA1292" s="31"/>
      <c r="BB1292" s="31"/>
      <c r="BC1292" s="31"/>
      <c r="BD1292" s="31"/>
      <c r="BE1292" s="31"/>
      <c r="BF1292" s="31"/>
      <c r="BG1292" s="31"/>
      <c r="BH1292" s="31"/>
      <c r="BI1292" s="31"/>
      <c r="BJ1292" s="31"/>
      <c r="BK1292" s="31"/>
      <c r="BL1292" s="31"/>
      <c r="BM1292" s="31"/>
      <c r="BN1292" s="31"/>
      <c r="BO1292" s="31"/>
      <c r="BP1292" s="31"/>
      <c r="BQ1292" s="31"/>
    </row>
    <row r="1293">
      <c r="A1293" s="49" t="s">
        <v>2579</v>
      </c>
      <c r="B1293" s="50">
        <v>5.902280347026E12</v>
      </c>
      <c r="C1293" s="9" t="s">
        <v>2580</v>
      </c>
      <c r="D1293" s="15" t="s">
        <v>2574</v>
      </c>
      <c r="E1293" s="16">
        <v>100.0</v>
      </c>
      <c r="F1293" s="31"/>
      <c r="G1293" s="31"/>
      <c r="H1293" s="31"/>
      <c r="I1293" s="31"/>
      <c r="J1293" s="31"/>
      <c r="K1293" s="31"/>
      <c r="L1293" s="31"/>
      <c r="M1293" s="31"/>
      <c r="N1293" s="31"/>
      <c r="O1293" s="31"/>
      <c r="P1293" s="31"/>
      <c r="Q1293" s="31"/>
      <c r="R1293" s="31"/>
      <c r="S1293" s="31"/>
      <c r="T1293" s="31"/>
      <c r="U1293" s="31"/>
      <c r="V1293" s="31"/>
      <c r="W1293" s="31"/>
      <c r="X1293" s="31"/>
      <c r="Y1293" s="31"/>
      <c r="Z1293" s="31"/>
      <c r="AA1293" s="31"/>
      <c r="AB1293" s="31"/>
      <c r="AC1293" s="31"/>
      <c r="AD1293" s="31"/>
      <c r="AE1293" s="31"/>
      <c r="AF1293" s="31"/>
      <c r="AG1293" s="31"/>
      <c r="AH1293" s="31"/>
      <c r="AI1293" s="31"/>
      <c r="AJ1293" s="31"/>
      <c r="AK1293" s="31"/>
      <c r="AL1293" s="31"/>
      <c r="AM1293" s="31"/>
      <c r="AN1293" s="31"/>
      <c r="AO1293" s="31"/>
      <c r="AP1293" s="31"/>
      <c r="AQ1293" s="31"/>
      <c r="AR1293" s="31"/>
      <c r="AS1293" s="31"/>
      <c r="AT1293" s="31"/>
      <c r="AU1293" s="31"/>
      <c r="AV1293" s="31"/>
      <c r="AW1293" s="31"/>
      <c r="AX1293" s="31"/>
      <c r="AY1293" s="31"/>
      <c r="AZ1293" s="31"/>
      <c r="BA1293" s="31"/>
      <c r="BB1293" s="31"/>
      <c r="BC1293" s="31"/>
      <c r="BD1293" s="31"/>
      <c r="BE1293" s="31"/>
      <c r="BF1293" s="31"/>
      <c r="BG1293" s="31"/>
      <c r="BH1293" s="31"/>
      <c r="BI1293" s="31"/>
      <c r="BJ1293" s="31"/>
      <c r="BK1293" s="31"/>
      <c r="BL1293" s="31"/>
      <c r="BM1293" s="31"/>
      <c r="BN1293" s="31"/>
      <c r="BO1293" s="31"/>
      <c r="BP1293" s="31"/>
      <c r="BQ1293" s="31"/>
    </row>
    <row r="1294">
      <c r="A1294" s="49" t="s">
        <v>2581</v>
      </c>
      <c r="B1294" s="50">
        <v>5.90228034704E12</v>
      </c>
      <c r="C1294" s="9" t="s">
        <v>2582</v>
      </c>
      <c r="D1294" s="15" t="s">
        <v>2574</v>
      </c>
      <c r="E1294" s="16">
        <v>45.0</v>
      </c>
      <c r="F1294" s="31"/>
      <c r="G1294" s="31"/>
      <c r="H1294" s="31"/>
      <c r="I1294" s="31"/>
      <c r="J1294" s="31"/>
      <c r="K1294" s="31"/>
      <c r="L1294" s="31"/>
      <c r="M1294" s="31"/>
      <c r="N1294" s="31"/>
      <c r="O1294" s="31"/>
      <c r="P1294" s="31"/>
      <c r="Q1294" s="31"/>
      <c r="R1294" s="31"/>
      <c r="S1294" s="31"/>
      <c r="T1294" s="31"/>
      <c r="U1294" s="31"/>
      <c r="V1294" s="31"/>
      <c r="W1294" s="31"/>
      <c r="X1294" s="31"/>
      <c r="Y1294" s="31"/>
      <c r="Z1294" s="31"/>
      <c r="AA1294" s="31"/>
      <c r="AB1294" s="31"/>
      <c r="AC1294" s="31"/>
      <c r="AD1294" s="31"/>
      <c r="AE1294" s="31"/>
      <c r="AF1294" s="31"/>
      <c r="AG1294" s="31"/>
      <c r="AH1294" s="31"/>
      <c r="AI1294" s="31"/>
      <c r="AJ1294" s="31"/>
      <c r="AK1294" s="31"/>
      <c r="AL1294" s="31"/>
      <c r="AM1294" s="31"/>
      <c r="AN1294" s="31"/>
      <c r="AO1294" s="31"/>
      <c r="AP1294" s="31"/>
      <c r="AQ1294" s="31"/>
      <c r="AR1294" s="31"/>
      <c r="AS1294" s="31"/>
      <c r="AT1294" s="31"/>
      <c r="AU1294" s="31"/>
      <c r="AV1294" s="31"/>
      <c r="AW1294" s="31"/>
      <c r="AX1294" s="31"/>
      <c r="AY1294" s="31"/>
      <c r="AZ1294" s="31"/>
      <c r="BA1294" s="31"/>
      <c r="BB1294" s="31"/>
      <c r="BC1294" s="31"/>
      <c r="BD1294" s="31"/>
      <c r="BE1294" s="31"/>
      <c r="BF1294" s="31"/>
      <c r="BG1294" s="31"/>
      <c r="BH1294" s="31"/>
      <c r="BI1294" s="31"/>
      <c r="BJ1294" s="31"/>
      <c r="BK1294" s="31"/>
      <c r="BL1294" s="31"/>
      <c r="BM1294" s="31"/>
      <c r="BN1294" s="31"/>
      <c r="BO1294" s="31"/>
      <c r="BP1294" s="31"/>
      <c r="BQ1294" s="31"/>
    </row>
    <row r="1295">
      <c r="A1295" s="49" t="s">
        <v>2583</v>
      </c>
      <c r="B1295" s="50">
        <v>5.902280347071E12</v>
      </c>
      <c r="C1295" s="9" t="s">
        <v>2584</v>
      </c>
      <c r="D1295" s="15" t="s">
        <v>2574</v>
      </c>
      <c r="E1295" s="16">
        <v>45.0</v>
      </c>
      <c r="F1295" s="31"/>
      <c r="G1295" s="31"/>
      <c r="H1295" s="31"/>
      <c r="I1295" s="31"/>
      <c r="J1295" s="31"/>
      <c r="K1295" s="31"/>
      <c r="L1295" s="31"/>
      <c r="M1295" s="31"/>
      <c r="N1295" s="31"/>
      <c r="O1295" s="31"/>
      <c r="P1295" s="31"/>
      <c r="Q1295" s="31"/>
      <c r="R1295" s="31"/>
      <c r="S1295" s="31"/>
      <c r="T1295" s="31"/>
      <c r="U1295" s="31"/>
      <c r="V1295" s="31"/>
      <c r="W1295" s="31"/>
      <c r="X1295" s="31"/>
      <c r="Y1295" s="31"/>
      <c r="Z1295" s="31"/>
      <c r="AA1295" s="31"/>
      <c r="AB1295" s="31"/>
      <c r="AC1295" s="31"/>
      <c r="AD1295" s="31"/>
      <c r="AE1295" s="31"/>
      <c r="AF1295" s="31"/>
      <c r="AG1295" s="31"/>
      <c r="AH1295" s="31"/>
      <c r="AI1295" s="31"/>
      <c r="AJ1295" s="31"/>
      <c r="AK1295" s="31"/>
      <c r="AL1295" s="31"/>
      <c r="AM1295" s="31"/>
      <c r="AN1295" s="31"/>
      <c r="AO1295" s="31"/>
      <c r="AP1295" s="31"/>
      <c r="AQ1295" s="31"/>
      <c r="AR1295" s="31"/>
      <c r="AS1295" s="31"/>
      <c r="AT1295" s="31"/>
      <c r="AU1295" s="31"/>
      <c r="AV1295" s="31"/>
      <c r="AW1295" s="31"/>
      <c r="AX1295" s="31"/>
      <c r="AY1295" s="31"/>
      <c r="AZ1295" s="31"/>
      <c r="BA1295" s="31"/>
      <c r="BB1295" s="31"/>
      <c r="BC1295" s="31"/>
      <c r="BD1295" s="31"/>
      <c r="BE1295" s="31"/>
      <c r="BF1295" s="31"/>
      <c r="BG1295" s="31"/>
      <c r="BH1295" s="31"/>
      <c r="BI1295" s="31"/>
      <c r="BJ1295" s="31"/>
      <c r="BK1295" s="31"/>
      <c r="BL1295" s="31"/>
      <c r="BM1295" s="31"/>
      <c r="BN1295" s="31"/>
      <c r="BO1295" s="31"/>
      <c r="BP1295" s="31"/>
      <c r="BQ1295" s="31"/>
    </row>
    <row r="1296">
      <c r="A1296" s="49" t="s">
        <v>2585</v>
      </c>
      <c r="B1296" s="50">
        <v>5.902280347057E12</v>
      </c>
      <c r="C1296" s="9" t="s">
        <v>2586</v>
      </c>
      <c r="D1296" s="15" t="s">
        <v>2574</v>
      </c>
      <c r="E1296" s="16">
        <v>57.0</v>
      </c>
      <c r="F1296" s="31"/>
      <c r="G1296" s="31"/>
      <c r="H1296" s="31"/>
      <c r="I1296" s="31"/>
      <c r="J1296" s="31"/>
      <c r="K1296" s="31"/>
      <c r="L1296" s="31"/>
      <c r="M1296" s="31"/>
      <c r="N1296" s="31"/>
      <c r="O1296" s="31"/>
      <c r="P1296" s="31"/>
      <c r="Q1296" s="31"/>
      <c r="R1296" s="31"/>
      <c r="S1296" s="31"/>
      <c r="T1296" s="31"/>
      <c r="U1296" s="31"/>
      <c r="V1296" s="31"/>
      <c r="W1296" s="31"/>
      <c r="X1296" s="31"/>
      <c r="Y1296" s="31"/>
      <c r="Z1296" s="31"/>
      <c r="AA1296" s="31"/>
      <c r="AB1296" s="31"/>
      <c r="AC1296" s="31"/>
      <c r="AD1296" s="31"/>
      <c r="AE1296" s="31"/>
      <c r="AF1296" s="31"/>
      <c r="AG1296" s="31"/>
      <c r="AH1296" s="31"/>
      <c r="AI1296" s="31"/>
      <c r="AJ1296" s="31"/>
      <c r="AK1296" s="31"/>
      <c r="AL1296" s="31"/>
      <c r="AM1296" s="31"/>
      <c r="AN1296" s="31"/>
      <c r="AO1296" s="31"/>
      <c r="AP1296" s="31"/>
      <c r="AQ1296" s="31"/>
      <c r="AR1296" s="31"/>
      <c r="AS1296" s="31"/>
      <c r="AT1296" s="31"/>
      <c r="AU1296" s="31"/>
      <c r="AV1296" s="31"/>
      <c r="AW1296" s="31"/>
      <c r="AX1296" s="31"/>
      <c r="AY1296" s="31"/>
      <c r="AZ1296" s="31"/>
      <c r="BA1296" s="31"/>
      <c r="BB1296" s="31"/>
      <c r="BC1296" s="31"/>
      <c r="BD1296" s="31"/>
      <c r="BE1296" s="31"/>
      <c r="BF1296" s="31"/>
      <c r="BG1296" s="31"/>
      <c r="BH1296" s="31"/>
      <c r="BI1296" s="31"/>
      <c r="BJ1296" s="31"/>
      <c r="BK1296" s="31"/>
      <c r="BL1296" s="31"/>
      <c r="BM1296" s="31"/>
      <c r="BN1296" s="31"/>
      <c r="BO1296" s="31"/>
      <c r="BP1296" s="31"/>
      <c r="BQ1296" s="31"/>
    </row>
    <row r="1297">
      <c r="A1297" s="49" t="s">
        <v>2587</v>
      </c>
      <c r="B1297" s="50">
        <v>5.90228037064E11</v>
      </c>
      <c r="C1297" s="9" t="s">
        <v>2588</v>
      </c>
      <c r="D1297" s="15" t="s">
        <v>2574</v>
      </c>
      <c r="E1297" s="16">
        <v>57.0</v>
      </c>
      <c r="F1297" s="31"/>
      <c r="G1297" s="31"/>
      <c r="H1297" s="31"/>
      <c r="I1297" s="31"/>
      <c r="J1297" s="31"/>
      <c r="K1297" s="31"/>
      <c r="L1297" s="31"/>
      <c r="M1297" s="31"/>
      <c r="N1297" s="31"/>
      <c r="O1297" s="31"/>
      <c r="P1297" s="31"/>
      <c r="Q1297" s="31"/>
      <c r="R1297" s="31"/>
      <c r="S1297" s="31"/>
      <c r="T1297" s="31"/>
      <c r="U1297" s="31"/>
      <c r="V1297" s="31"/>
      <c r="W1297" s="31"/>
      <c r="X1297" s="31"/>
      <c r="Y1297" s="31"/>
      <c r="Z1297" s="31"/>
      <c r="AA1297" s="31"/>
      <c r="AB1297" s="31"/>
      <c r="AC1297" s="31"/>
      <c r="AD1297" s="31"/>
      <c r="AE1297" s="31"/>
      <c r="AF1297" s="31"/>
      <c r="AG1297" s="31"/>
      <c r="AH1297" s="31"/>
      <c r="AI1297" s="31"/>
      <c r="AJ1297" s="31"/>
      <c r="AK1297" s="31"/>
      <c r="AL1297" s="31"/>
      <c r="AM1297" s="31"/>
      <c r="AN1297" s="31"/>
      <c r="AO1297" s="31"/>
      <c r="AP1297" s="31"/>
      <c r="AQ1297" s="31"/>
      <c r="AR1297" s="31"/>
      <c r="AS1297" s="31"/>
      <c r="AT1297" s="31"/>
      <c r="AU1297" s="31"/>
      <c r="AV1297" s="31"/>
      <c r="AW1297" s="31"/>
      <c r="AX1297" s="31"/>
      <c r="AY1297" s="31"/>
      <c r="AZ1297" s="31"/>
      <c r="BA1297" s="31"/>
      <c r="BB1297" s="31"/>
      <c r="BC1297" s="31"/>
      <c r="BD1297" s="31"/>
      <c r="BE1297" s="31"/>
      <c r="BF1297" s="31"/>
      <c r="BG1297" s="31"/>
      <c r="BH1297" s="31"/>
      <c r="BI1297" s="31"/>
      <c r="BJ1297" s="31"/>
      <c r="BK1297" s="31"/>
      <c r="BL1297" s="31"/>
      <c r="BM1297" s="31"/>
      <c r="BN1297" s="31"/>
      <c r="BO1297" s="31"/>
      <c r="BP1297" s="31"/>
      <c r="BQ1297" s="31"/>
    </row>
    <row r="1298">
      <c r="A1298" s="23">
        <v>42512.0</v>
      </c>
      <c r="B1298" s="24">
        <v>5.902280305798E12</v>
      </c>
      <c r="C1298" s="9" t="s">
        <v>2589</v>
      </c>
      <c r="D1298" s="15" t="s">
        <v>2590</v>
      </c>
      <c r="E1298" s="16">
        <v>4.7</v>
      </c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</row>
    <row r="1299">
      <c r="A1299" s="23">
        <v>42525.0</v>
      </c>
      <c r="B1299" s="24">
        <v>5.902280329466E12</v>
      </c>
      <c r="C1299" s="9" t="s">
        <v>2591</v>
      </c>
      <c r="D1299" s="15" t="s">
        <v>2590</v>
      </c>
      <c r="E1299" s="16">
        <v>7.7</v>
      </c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</row>
    <row r="1300">
      <c r="A1300" s="23">
        <v>42513.0</v>
      </c>
      <c r="B1300" s="24">
        <v>5.902280305804E12</v>
      </c>
      <c r="C1300" s="9" t="s">
        <v>2592</v>
      </c>
      <c r="D1300" s="15">
        <v>0.0</v>
      </c>
      <c r="E1300" s="16">
        <v>4.7</v>
      </c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</row>
    <row r="1301">
      <c r="A1301" s="23">
        <v>42521.0</v>
      </c>
      <c r="B1301" s="24">
        <v>5.90228031031E12</v>
      </c>
      <c r="C1301" s="9" t="s">
        <v>2593</v>
      </c>
      <c r="D1301" s="15" t="s">
        <v>2594</v>
      </c>
      <c r="E1301" s="16">
        <v>8.3</v>
      </c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</row>
    <row r="1302">
      <c r="A1302" s="23">
        <v>42520.0</v>
      </c>
      <c r="B1302" s="24">
        <v>5.902280320548E12</v>
      </c>
      <c r="C1302" s="9" t="s">
        <v>2595</v>
      </c>
      <c r="D1302" s="15" t="s">
        <v>2596</v>
      </c>
      <c r="E1302" s="16">
        <v>0.4</v>
      </c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</row>
    <row r="1303">
      <c r="A1303" s="80">
        <v>643.0</v>
      </c>
      <c r="B1303" s="81">
        <v>5.906660785781E12</v>
      </c>
      <c r="C1303" s="9" t="s">
        <v>2597</v>
      </c>
      <c r="D1303" s="15" t="s">
        <v>2598</v>
      </c>
      <c r="E1303" s="16">
        <v>32.6</v>
      </c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</row>
    <row r="1304">
      <c r="A1304" s="80">
        <v>42552.0</v>
      </c>
      <c r="B1304" s="81">
        <v>5.906660786528E12</v>
      </c>
      <c r="C1304" s="9" t="s">
        <v>2599</v>
      </c>
      <c r="D1304" s="15" t="s">
        <v>2600</v>
      </c>
      <c r="E1304" s="16">
        <v>51.9</v>
      </c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</row>
    <row r="1305">
      <c r="A1305" s="80" t="s">
        <v>2601</v>
      </c>
      <c r="B1305" s="81">
        <v>5.902280355199E12</v>
      </c>
      <c r="C1305" s="9" t="s">
        <v>2602</v>
      </c>
      <c r="D1305" s="15" t="s">
        <v>2600</v>
      </c>
      <c r="E1305" s="16">
        <v>60.0</v>
      </c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</row>
    <row r="1306">
      <c r="A1306" s="80" t="s">
        <v>2603</v>
      </c>
      <c r="B1306" s="81">
        <v>5.902280355113E12</v>
      </c>
      <c r="C1306" s="9" t="s">
        <v>2604</v>
      </c>
      <c r="D1306" s="15" t="s">
        <v>2600</v>
      </c>
      <c r="E1306" s="16">
        <v>60.0</v>
      </c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</row>
    <row r="1307">
      <c r="A1307" s="80">
        <v>42553.0</v>
      </c>
      <c r="B1307" s="81">
        <v>5.906660786535E12</v>
      </c>
      <c r="C1307" s="9" t="s">
        <v>2605</v>
      </c>
      <c r="D1307" s="15" t="s">
        <v>2606</v>
      </c>
      <c r="E1307" s="16">
        <v>51.8</v>
      </c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</row>
    <row r="1308">
      <c r="A1308" s="80" t="s">
        <v>2607</v>
      </c>
      <c r="B1308" s="81">
        <v>5.902280355205E12</v>
      </c>
      <c r="C1308" s="9" t="s">
        <v>2608</v>
      </c>
      <c r="D1308" s="15" t="s">
        <v>2606</v>
      </c>
      <c r="E1308" s="16">
        <v>65.0</v>
      </c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</row>
    <row r="1309">
      <c r="A1309" s="80" t="s">
        <v>2609</v>
      </c>
      <c r="B1309" s="81">
        <v>5.902280355069E12</v>
      </c>
      <c r="C1309" s="9" t="s">
        <v>2610</v>
      </c>
      <c r="D1309" s="15" t="s">
        <v>2606</v>
      </c>
      <c r="E1309" s="16">
        <v>65.0</v>
      </c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</row>
    <row r="1310">
      <c r="A1310" s="80">
        <v>1559.0</v>
      </c>
      <c r="B1310" s="81">
        <v>5.906660784838E12</v>
      </c>
      <c r="C1310" s="9" t="s">
        <v>2611</v>
      </c>
      <c r="D1310" s="15" t="s">
        <v>2612</v>
      </c>
      <c r="E1310" s="16">
        <v>43.1</v>
      </c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</row>
    <row r="1311">
      <c r="A1311" s="80">
        <v>42551.0</v>
      </c>
      <c r="B1311" s="81">
        <v>5.906660786566E12</v>
      </c>
      <c r="C1311" s="9" t="s">
        <v>2613</v>
      </c>
      <c r="D1311" s="15" t="s">
        <v>2614</v>
      </c>
      <c r="E1311" s="16">
        <v>46.1</v>
      </c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</row>
    <row r="1312">
      <c r="A1312" s="80">
        <v>1524.0</v>
      </c>
      <c r="B1312" s="81">
        <v>5.906660784784E12</v>
      </c>
      <c r="C1312" s="9" t="s">
        <v>2615</v>
      </c>
      <c r="D1312" s="15" t="s">
        <v>2616</v>
      </c>
      <c r="E1312" s="16">
        <v>29.3</v>
      </c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</row>
    <row r="1313">
      <c r="A1313" s="80">
        <v>37.0</v>
      </c>
      <c r="B1313" s="81">
        <v>5.906660785286E12</v>
      </c>
      <c r="C1313" s="9" t="s">
        <v>2617</v>
      </c>
      <c r="D1313" s="15" t="s">
        <v>2618</v>
      </c>
      <c r="E1313" s="16">
        <v>29.3</v>
      </c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</row>
    <row r="1314">
      <c r="A1314" s="75">
        <v>648.0</v>
      </c>
      <c r="B1314" s="76">
        <v>5.906660786184E12</v>
      </c>
      <c r="C1314" s="9" t="s">
        <v>2619</v>
      </c>
      <c r="D1314" s="15" t="s">
        <v>2620</v>
      </c>
      <c r="E1314" s="16">
        <v>25.2</v>
      </c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</row>
    <row r="1315">
      <c r="A1315" s="75">
        <v>650.0</v>
      </c>
      <c r="B1315" s="76">
        <v>5.906660786207E12</v>
      </c>
      <c r="C1315" s="9" t="s">
        <v>2621</v>
      </c>
      <c r="D1315" s="15" t="s">
        <v>2622</v>
      </c>
      <c r="E1315" s="16">
        <v>27.2</v>
      </c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</row>
    <row r="1316">
      <c r="A1316" s="75">
        <v>652.0</v>
      </c>
      <c r="B1316" s="76">
        <v>5.906660786221E12</v>
      </c>
      <c r="C1316" s="9" t="s">
        <v>2623</v>
      </c>
      <c r="D1316" s="15" t="s">
        <v>2624</v>
      </c>
      <c r="E1316" s="16">
        <v>26.8</v>
      </c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</row>
    <row r="1317">
      <c r="A1317" s="78">
        <v>42202.0</v>
      </c>
      <c r="B1317" s="79">
        <v>5.90666078913E12</v>
      </c>
      <c r="C1317" s="9" t="s">
        <v>2625</v>
      </c>
      <c r="D1317" s="15" t="s">
        <v>2626</v>
      </c>
      <c r="E1317" s="16">
        <v>6.6</v>
      </c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</row>
    <row r="1318">
      <c r="A1318" s="78">
        <v>42201.0</v>
      </c>
      <c r="B1318" s="79">
        <v>5.906660789192E12</v>
      </c>
      <c r="C1318" s="9" t="s">
        <v>2627</v>
      </c>
      <c r="D1318" s="15" t="s">
        <v>2628</v>
      </c>
      <c r="E1318" s="16">
        <v>8.7</v>
      </c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</row>
    <row r="1319">
      <c r="A1319" s="78">
        <v>42209.0</v>
      </c>
      <c r="B1319" s="79">
        <v>5.906660789055E12</v>
      </c>
      <c r="C1319" s="9" t="s">
        <v>2629</v>
      </c>
      <c r="D1319" s="15" t="s">
        <v>2630</v>
      </c>
      <c r="E1319" s="16">
        <v>22.0</v>
      </c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</row>
    <row r="1320">
      <c r="A1320" s="78">
        <v>42220.0</v>
      </c>
      <c r="B1320" s="79">
        <v>5.902280305361E12</v>
      </c>
      <c r="C1320" s="9" t="s">
        <v>2631</v>
      </c>
      <c r="D1320" s="15" t="s">
        <v>2632</v>
      </c>
      <c r="E1320" s="16">
        <v>11.5</v>
      </c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</row>
    <row r="1321">
      <c r="A1321" s="78">
        <v>1505.0</v>
      </c>
      <c r="B1321" s="79">
        <v>5.902280305224E12</v>
      </c>
      <c r="C1321" s="9" t="s">
        <v>2633</v>
      </c>
      <c r="D1321" s="15" t="s">
        <v>2634</v>
      </c>
      <c r="E1321" s="16">
        <v>17.6</v>
      </c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</row>
    <row r="1322">
      <c r="A1322" s="78">
        <v>27.0</v>
      </c>
      <c r="B1322" s="79">
        <v>5.902280305231E12</v>
      </c>
      <c r="C1322" s="9" t="s">
        <v>2635</v>
      </c>
      <c r="D1322" s="15" t="s">
        <v>2636</v>
      </c>
      <c r="E1322" s="16">
        <v>12.0</v>
      </c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</row>
    <row r="1323">
      <c r="A1323" s="78">
        <v>42151.0</v>
      </c>
      <c r="B1323" s="79">
        <v>5.906660789208E12</v>
      </c>
      <c r="C1323" s="9" t="s">
        <v>2637</v>
      </c>
      <c r="D1323" s="15" t="s">
        <v>2636</v>
      </c>
      <c r="E1323" s="16">
        <v>2.5</v>
      </c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</row>
    <row r="1324">
      <c r="A1324" s="78">
        <v>42205.0</v>
      </c>
      <c r="B1324" s="79">
        <v>5.906660789109E12</v>
      </c>
      <c r="C1324" s="9" t="s">
        <v>2638</v>
      </c>
      <c r="D1324" s="15" t="s">
        <v>2639</v>
      </c>
      <c r="E1324" s="16">
        <v>2.7</v>
      </c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</row>
    <row r="1325">
      <c r="A1325" s="78">
        <v>42712.0</v>
      </c>
      <c r="B1325" s="79">
        <v>5.902280301141E12</v>
      </c>
      <c r="C1325" s="9" t="s">
        <v>2640</v>
      </c>
      <c r="D1325" s="15" t="s">
        <v>2641</v>
      </c>
      <c r="E1325" s="16">
        <v>5.9</v>
      </c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</row>
    <row r="1326">
      <c r="A1326" s="78">
        <v>1394.0</v>
      </c>
      <c r="B1326" s="79">
        <v>5.902280315223E12</v>
      </c>
      <c r="C1326" s="9" t="s">
        <v>2642</v>
      </c>
      <c r="D1326" s="15" t="s">
        <v>2643</v>
      </c>
      <c r="E1326" s="16">
        <v>0.3</v>
      </c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</row>
    <row r="1327">
      <c r="A1327" s="78">
        <v>1512.0</v>
      </c>
      <c r="B1327" s="79">
        <v>5.902280315223E12</v>
      </c>
      <c r="C1327" s="9" t="s">
        <v>2644</v>
      </c>
      <c r="D1327" s="15" t="s">
        <v>2645</v>
      </c>
      <c r="E1327" s="16">
        <v>0.3</v>
      </c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</row>
    <row r="1328">
      <c r="A1328" s="78">
        <v>42213.0</v>
      </c>
      <c r="B1328" s="79">
        <v>5.906660786672E12</v>
      </c>
      <c r="C1328" s="9" t="s">
        <v>2646</v>
      </c>
      <c r="D1328" s="15" t="s">
        <v>2647</v>
      </c>
      <c r="E1328" s="16">
        <v>12.8</v>
      </c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</row>
    <row r="1329">
      <c r="A1329" s="78">
        <v>42216.0</v>
      </c>
      <c r="B1329" s="79">
        <v>5.906660786696E12</v>
      </c>
      <c r="C1329" s="9" t="s">
        <v>2648</v>
      </c>
      <c r="D1329" s="15" t="s">
        <v>2649</v>
      </c>
      <c r="E1329" s="16">
        <v>15.7</v>
      </c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</row>
    <row r="1330">
      <c r="A1330" s="78">
        <v>42210.0</v>
      </c>
      <c r="B1330" s="79">
        <v>5.906660786634E12</v>
      </c>
      <c r="C1330" s="9" t="s">
        <v>2650</v>
      </c>
      <c r="D1330" s="15" t="s">
        <v>2651</v>
      </c>
      <c r="E1330" s="16">
        <v>15.7</v>
      </c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</row>
    <row r="1331">
      <c r="A1331" s="78">
        <v>42212.0</v>
      </c>
      <c r="B1331" s="79">
        <v>5.906660786658E12</v>
      </c>
      <c r="C1331" s="9" t="s">
        <v>2652</v>
      </c>
      <c r="D1331" s="15" t="s">
        <v>2653</v>
      </c>
      <c r="E1331" s="16">
        <v>18.6</v>
      </c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</row>
    <row r="1332">
      <c r="A1332" s="78">
        <v>42217.0</v>
      </c>
      <c r="B1332" s="79">
        <v>5.906660786702E12</v>
      </c>
      <c r="C1332" s="9" t="s">
        <v>2654</v>
      </c>
      <c r="D1332" s="15" t="s">
        <v>2655</v>
      </c>
      <c r="E1332" s="16">
        <v>19.2</v>
      </c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</row>
    <row r="1333">
      <c r="A1333" s="78">
        <v>42102.0</v>
      </c>
      <c r="B1333" s="79">
        <v>5.906660786832E12</v>
      </c>
      <c r="C1333" s="9" t="s">
        <v>2656</v>
      </c>
      <c r="D1333" s="15" t="s">
        <v>2657</v>
      </c>
      <c r="E1333" s="16">
        <v>5.4</v>
      </c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</row>
    <row r="1334">
      <c r="A1334" s="78">
        <v>42115.0</v>
      </c>
      <c r="B1334" s="79">
        <v>5.906660786849E12</v>
      </c>
      <c r="C1334" s="9" t="s">
        <v>2658</v>
      </c>
      <c r="D1334" s="15" t="s">
        <v>2659</v>
      </c>
      <c r="E1334" s="16">
        <v>6.3</v>
      </c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</row>
    <row r="1335">
      <c r="A1335" s="78">
        <v>1523.0</v>
      </c>
      <c r="B1335" s="79">
        <v>5.906660788935E12</v>
      </c>
      <c r="C1335" s="9" t="s">
        <v>2660</v>
      </c>
      <c r="D1335" s="15" t="s">
        <v>2661</v>
      </c>
      <c r="E1335" s="16">
        <v>11.2</v>
      </c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</row>
    <row r="1336">
      <c r="A1336" s="78">
        <v>42107.0</v>
      </c>
      <c r="B1336" s="79">
        <v>5.906660786764E12</v>
      </c>
      <c r="C1336" s="9" t="s">
        <v>2662</v>
      </c>
      <c r="D1336" s="15" t="s">
        <v>2663</v>
      </c>
      <c r="E1336" s="16">
        <v>24.4</v>
      </c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</row>
    <row r="1337">
      <c r="A1337" s="78">
        <v>42108.0</v>
      </c>
      <c r="B1337" s="79">
        <v>5.906660786771E12</v>
      </c>
      <c r="C1337" s="9" t="s">
        <v>2664</v>
      </c>
      <c r="D1337" s="15" t="s">
        <v>2665</v>
      </c>
      <c r="E1337" s="16">
        <v>39.7</v>
      </c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</row>
    <row r="1338">
      <c r="A1338" s="78">
        <v>42109.0</v>
      </c>
      <c r="B1338" s="79">
        <v>5.906660786788E12</v>
      </c>
      <c r="C1338" s="9" t="s">
        <v>2666</v>
      </c>
      <c r="D1338" s="15" t="s">
        <v>2667</v>
      </c>
      <c r="E1338" s="16">
        <v>23.0</v>
      </c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</row>
    <row r="1339">
      <c r="A1339" s="78">
        <v>42051.0</v>
      </c>
      <c r="B1339" s="79">
        <v>5.906660787242E12</v>
      </c>
      <c r="C1339" s="9" t="s">
        <v>2668</v>
      </c>
      <c r="D1339" s="15" t="s">
        <v>2669</v>
      </c>
      <c r="E1339" s="16">
        <v>11.7</v>
      </c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</row>
    <row r="1340">
      <c r="A1340" s="27">
        <v>42291.0</v>
      </c>
      <c r="B1340" s="28">
        <v>5.902280339342E12</v>
      </c>
      <c r="C1340" s="9" t="s">
        <v>2670</v>
      </c>
      <c r="D1340" s="15" t="s">
        <v>2671</v>
      </c>
      <c r="E1340" s="16">
        <v>26.9</v>
      </c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</row>
    <row r="1341">
      <c r="A1341" s="75">
        <v>42293.0</v>
      </c>
      <c r="B1341" s="28">
        <v>5.902280339366E12</v>
      </c>
      <c r="C1341" s="9" t="s">
        <v>2672</v>
      </c>
      <c r="D1341" s="15" t="s">
        <v>2671</v>
      </c>
      <c r="E1341" s="16">
        <v>26.9</v>
      </c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</row>
    <row r="1342">
      <c r="A1342" s="27">
        <v>42292.0</v>
      </c>
      <c r="B1342" s="28">
        <v>5.902280339359E12</v>
      </c>
      <c r="C1342" s="9" t="s">
        <v>2673</v>
      </c>
      <c r="D1342" s="15" t="s">
        <v>2671</v>
      </c>
      <c r="E1342" s="16">
        <v>26.9</v>
      </c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</row>
    <row r="1343">
      <c r="A1343" s="27">
        <v>42246.0</v>
      </c>
      <c r="B1343" s="28">
        <v>5.902280327554E12</v>
      </c>
      <c r="C1343" s="9" t="s">
        <v>2674</v>
      </c>
      <c r="D1343" s="15" t="s">
        <v>2675</v>
      </c>
      <c r="E1343" s="16">
        <v>11.7</v>
      </c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</row>
    <row r="1344">
      <c r="A1344" s="38" t="s">
        <v>2676</v>
      </c>
      <c r="B1344" s="28">
        <v>5.902280329381E12</v>
      </c>
      <c r="C1344" s="9" t="s">
        <v>2677</v>
      </c>
      <c r="D1344" s="15" t="s">
        <v>2678</v>
      </c>
      <c r="E1344" s="16">
        <v>28.5</v>
      </c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</row>
    <row r="1345">
      <c r="A1345" s="75" t="s">
        <v>2679</v>
      </c>
      <c r="B1345" s="28">
        <v>5.902280338857E12</v>
      </c>
      <c r="C1345" s="9" t="s">
        <v>2680</v>
      </c>
      <c r="D1345" s="15" t="s">
        <v>2678</v>
      </c>
      <c r="E1345" s="16">
        <v>28.5</v>
      </c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</row>
    <row r="1346">
      <c r="A1346" s="27" t="s">
        <v>2681</v>
      </c>
      <c r="B1346" s="28">
        <v>5.90228033884E12</v>
      </c>
      <c r="C1346" s="9" t="s">
        <v>2682</v>
      </c>
      <c r="D1346" s="15" t="s">
        <v>2678</v>
      </c>
      <c r="E1346" s="16">
        <v>29.6</v>
      </c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</row>
    <row r="1347">
      <c r="A1347" s="75" t="s">
        <v>2683</v>
      </c>
      <c r="B1347" s="28">
        <v>5.902280329398E12</v>
      </c>
      <c r="C1347" s="9" t="s">
        <v>2684</v>
      </c>
      <c r="D1347" s="15" t="s">
        <v>2678</v>
      </c>
      <c r="E1347" s="16">
        <v>29.6</v>
      </c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</row>
    <row r="1348">
      <c r="A1348" s="75" t="s">
        <v>2685</v>
      </c>
      <c r="B1348" s="28">
        <v>5.902280339991E12</v>
      </c>
      <c r="C1348" s="9" t="s">
        <v>2686</v>
      </c>
      <c r="D1348" s="15" t="s">
        <v>2678</v>
      </c>
      <c r="E1348" s="16">
        <v>37.4</v>
      </c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/>
    </row>
    <row r="1349">
      <c r="A1349" s="75" t="s">
        <v>2687</v>
      </c>
      <c r="B1349" s="28">
        <v>5.902280340003E12</v>
      </c>
      <c r="C1349" s="9" t="s">
        <v>2688</v>
      </c>
      <c r="D1349" s="15" t="s">
        <v>2678</v>
      </c>
      <c r="E1349" s="16">
        <v>37.4</v>
      </c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</row>
    <row r="1350">
      <c r="A1350" s="75" t="s">
        <v>2689</v>
      </c>
      <c r="B1350" s="28">
        <v>5.90228034001E12</v>
      </c>
      <c r="C1350" s="9" t="s">
        <v>2690</v>
      </c>
      <c r="D1350" s="15" t="s">
        <v>2678</v>
      </c>
      <c r="E1350" s="16">
        <v>39.3</v>
      </c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</row>
    <row r="1351">
      <c r="A1351" s="75" t="s">
        <v>2691</v>
      </c>
      <c r="B1351" s="28">
        <v>5.902280340027E12</v>
      </c>
      <c r="C1351" s="9" t="s">
        <v>2692</v>
      </c>
      <c r="D1351" s="15" t="s">
        <v>2678</v>
      </c>
      <c r="E1351" s="16">
        <v>39.3</v>
      </c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</row>
    <row r="1352">
      <c r="A1352" s="75" t="s">
        <v>2693</v>
      </c>
      <c r="B1352" s="76">
        <v>5.90228033699E12</v>
      </c>
      <c r="C1352" s="9" t="s">
        <v>2694</v>
      </c>
      <c r="D1352" s="15" t="s">
        <v>2695</v>
      </c>
      <c r="E1352" s="16">
        <v>60.3</v>
      </c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</row>
    <row r="1353">
      <c r="A1353" s="75" t="s">
        <v>2696</v>
      </c>
      <c r="B1353" s="76">
        <v>5.902280338796E12</v>
      </c>
      <c r="C1353" s="9" t="s">
        <v>2697</v>
      </c>
      <c r="D1353" s="15" t="s">
        <v>2695</v>
      </c>
      <c r="E1353" s="16">
        <v>60.3</v>
      </c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</row>
    <row r="1354">
      <c r="A1354" s="75" t="s">
        <v>2698</v>
      </c>
      <c r="B1354" s="76">
        <v>5.902280338789E12</v>
      </c>
      <c r="C1354" s="9" t="s">
        <v>2699</v>
      </c>
      <c r="D1354" s="15" t="s">
        <v>2695</v>
      </c>
      <c r="E1354" s="16">
        <v>63.5</v>
      </c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</row>
    <row r="1355">
      <c r="A1355" s="75" t="s">
        <v>2700</v>
      </c>
      <c r="B1355" s="76">
        <v>5.902280337003E12</v>
      </c>
      <c r="C1355" s="9" t="s">
        <v>2701</v>
      </c>
      <c r="D1355" s="15" t="s">
        <v>2695</v>
      </c>
      <c r="E1355" s="16">
        <v>63.5</v>
      </c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</row>
    <row r="1356">
      <c r="A1356" s="75" t="s">
        <v>2702</v>
      </c>
      <c r="B1356" s="76">
        <v>5.902280340034E12</v>
      </c>
      <c r="C1356" s="9" t="s">
        <v>2703</v>
      </c>
      <c r="D1356" s="15" t="s">
        <v>2678</v>
      </c>
      <c r="E1356" s="16">
        <v>32.2</v>
      </c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</row>
    <row r="1357">
      <c r="A1357" s="75" t="s">
        <v>2704</v>
      </c>
      <c r="B1357" s="76">
        <v>5.902280340058E12</v>
      </c>
      <c r="C1357" s="9" t="s">
        <v>2705</v>
      </c>
      <c r="D1357" s="15" t="s">
        <v>2678</v>
      </c>
      <c r="E1357" s="16">
        <v>32.2</v>
      </c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</row>
    <row r="1358">
      <c r="A1358" s="75" t="s">
        <v>2706</v>
      </c>
      <c r="B1358" s="76">
        <v>5.902280340072E12</v>
      </c>
      <c r="C1358" s="9" t="s">
        <v>2707</v>
      </c>
      <c r="D1358" s="15" t="s">
        <v>2678</v>
      </c>
      <c r="E1358" s="16">
        <v>33.6</v>
      </c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</row>
    <row r="1359">
      <c r="A1359" s="75" t="s">
        <v>2708</v>
      </c>
      <c r="B1359" s="76">
        <v>5.902280340065E12</v>
      </c>
      <c r="C1359" s="9" t="s">
        <v>2709</v>
      </c>
      <c r="D1359" s="15" t="s">
        <v>2678</v>
      </c>
      <c r="E1359" s="16">
        <v>33.6</v>
      </c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</row>
    <row r="1360">
      <c r="A1360" s="75" t="s">
        <v>2710</v>
      </c>
      <c r="B1360" s="76">
        <v>5.902280337034E12</v>
      </c>
      <c r="C1360" s="9" t="s">
        <v>2711</v>
      </c>
      <c r="D1360" s="15" t="s">
        <v>2695</v>
      </c>
      <c r="E1360" s="16">
        <v>54.9</v>
      </c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</row>
    <row r="1361">
      <c r="A1361" s="75" t="s">
        <v>2712</v>
      </c>
      <c r="B1361" s="76">
        <v>5.902280338833E12</v>
      </c>
      <c r="C1361" s="9" t="s">
        <v>2713</v>
      </c>
      <c r="D1361" s="15" t="s">
        <v>2695</v>
      </c>
      <c r="E1361" s="16">
        <v>54.9</v>
      </c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</row>
    <row r="1362">
      <c r="A1362" s="75" t="s">
        <v>2714</v>
      </c>
      <c r="B1362" s="76">
        <v>5.902280338826E12</v>
      </c>
      <c r="C1362" s="9" t="s">
        <v>2715</v>
      </c>
      <c r="D1362" s="15" t="s">
        <v>2695</v>
      </c>
      <c r="E1362" s="16">
        <v>57.8</v>
      </c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</row>
    <row r="1363">
      <c r="A1363" s="75" t="s">
        <v>2716</v>
      </c>
      <c r="B1363" s="76">
        <v>5.902280337041E12</v>
      </c>
      <c r="C1363" s="9" t="s">
        <v>2717</v>
      </c>
      <c r="D1363" s="15" t="s">
        <v>2695</v>
      </c>
      <c r="E1363" s="16">
        <v>57.8</v>
      </c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</row>
    <row r="1364">
      <c r="A1364" s="27">
        <v>42602.0</v>
      </c>
      <c r="B1364" s="28">
        <v>5.906660789529E12</v>
      </c>
      <c r="C1364" s="9" t="s">
        <v>2718</v>
      </c>
      <c r="D1364" s="15" t="s">
        <v>2719</v>
      </c>
      <c r="E1364" s="16">
        <v>87.7</v>
      </c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</row>
    <row r="1365">
      <c r="A1365" s="27">
        <v>42603.0</v>
      </c>
      <c r="B1365" s="28">
        <v>5.906660789536E12</v>
      </c>
      <c r="C1365" s="9" t="s">
        <v>2720</v>
      </c>
      <c r="D1365" s="15" t="s">
        <v>2721</v>
      </c>
      <c r="E1365" s="16">
        <v>92.4</v>
      </c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</row>
    <row r="1366">
      <c r="A1366" s="75">
        <v>42303.0</v>
      </c>
      <c r="B1366" s="76">
        <v>5.906660789048E12</v>
      </c>
      <c r="C1366" s="9" t="s">
        <v>2722</v>
      </c>
      <c r="D1366" s="15" t="s">
        <v>2723</v>
      </c>
      <c r="E1366" s="16">
        <v>54.5</v>
      </c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</row>
    <row r="1367">
      <c r="A1367" s="75">
        <v>42301.0</v>
      </c>
      <c r="B1367" s="76">
        <v>5.906660789062E12</v>
      </c>
      <c r="C1367" s="9" t="s">
        <v>2724</v>
      </c>
      <c r="D1367" s="15" t="s">
        <v>2725</v>
      </c>
      <c r="E1367" s="16">
        <v>28.3</v>
      </c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</row>
    <row r="1368">
      <c r="A1368" s="75">
        <v>42302.0</v>
      </c>
      <c r="B1368" s="76">
        <v>5.906660789031E12</v>
      </c>
      <c r="C1368" s="9" t="s">
        <v>2726</v>
      </c>
      <c r="D1368" s="15" t="s">
        <v>2727</v>
      </c>
      <c r="E1368" s="16">
        <v>30.4</v>
      </c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</row>
    <row r="1369">
      <c r="A1369" s="75">
        <v>42604.0</v>
      </c>
      <c r="B1369" s="76">
        <v>5.902280303473E12</v>
      </c>
      <c r="C1369" s="9" t="s">
        <v>2728</v>
      </c>
      <c r="D1369" s="15" t="s">
        <v>2719</v>
      </c>
      <c r="E1369" s="16">
        <v>71.2</v>
      </c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</row>
    <row r="1370">
      <c r="A1370" s="75">
        <v>42606.0</v>
      </c>
      <c r="B1370" s="76">
        <v>5.906660789567E12</v>
      </c>
      <c r="C1370" s="9" t="s">
        <v>2729</v>
      </c>
      <c r="D1370" s="15" t="s">
        <v>2719</v>
      </c>
      <c r="E1370" s="16">
        <v>76.9</v>
      </c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</row>
    <row r="1371">
      <c r="A1371" s="75">
        <v>42607.0</v>
      </c>
      <c r="B1371" s="76">
        <v>5.906660789574E12</v>
      </c>
      <c r="C1371" s="9" t="s">
        <v>2730</v>
      </c>
      <c r="D1371" s="15" t="s">
        <v>2731</v>
      </c>
      <c r="E1371" s="16">
        <v>72.1</v>
      </c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</row>
    <row r="1372">
      <c r="A1372" s="75">
        <v>42608.0</v>
      </c>
      <c r="B1372" s="76">
        <v>5.906660789581E12</v>
      </c>
      <c r="C1372" s="9" t="s">
        <v>2732</v>
      </c>
      <c r="D1372" s="15" t="s">
        <v>2731</v>
      </c>
      <c r="E1372" s="16">
        <v>78.8</v>
      </c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</row>
    <row r="1373">
      <c r="A1373" s="80">
        <v>42702.0</v>
      </c>
      <c r="B1373" s="81">
        <v>5.906660789185E12</v>
      </c>
      <c r="C1373" s="9" t="s">
        <v>2733</v>
      </c>
      <c r="D1373" s="15" t="s">
        <v>2734</v>
      </c>
      <c r="E1373" s="16">
        <v>22.5</v>
      </c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</row>
    <row r="1374">
      <c r="A1374" s="80">
        <v>42703.0</v>
      </c>
      <c r="B1374" s="81">
        <v>5.906660789161E12</v>
      </c>
      <c r="C1374" s="9" t="s">
        <v>2735</v>
      </c>
      <c r="D1374" s="15" t="s">
        <v>2736</v>
      </c>
      <c r="E1374" s="16">
        <v>40.2</v>
      </c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</row>
    <row r="1375">
      <c r="A1375" s="23" t="s">
        <v>2737</v>
      </c>
      <c r="B1375" s="24">
        <v>5.902280332565E12</v>
      </c>
      <c r="C1375" s="9" t="s">
        <v>2738</v>
      </c>
      <c r="D1375" s="15" t="s">
        <v>2739</v>
      </c>
      <c r="E1375" s="16">
        <v>5.4</v>
      </c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</row>
    <row r="1376">
      <c r="A1376" s="23" t="s">
        <v>2740</v>
      </c>
      <c r="B1376" s="24">
        <v>5.902280332541E12</v>
      </c>
      <c r="C1376" s="9" t="s">
        <v>2741</v>
      </c>
      <c r="D1376" s="15" t="s">
        <v>2742</v>
      </c>
      <c r="E1376" s="16">
        <v>8.1</v>
      </c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</row>
    <row r="1377">
      <c r="A1377" s="23" t="s">
        <v>2743</v>
      </c>
      <c r="B1377" s="24">
        <v>5.902280332558E12</v>
      </c>
      <c r="C1377" s="9" t="s">
        <v>2744</v>
      </c>
      <c r="D1377" s="15" t="s">
        <v>2745</v>
      </c>
      <c r="E1377" s="16">
        <v>9.4</v>
      </c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</row>
    <row r="1378">
      <c r="A1378" s="23">
        <v>24352.0</v>
      </c>
      <c r="B1378" s="24">
        <v>5.902280329725E12</v>
      </c>
      <c r="C1378" s="9" t="s">
        <v>2746</v>
      </c>
      <c r="D1378" s="15" t="s">
        <v>2747</v>
      </c>
      <c r="E1378" s="16">
        <v>7.8</v>
      </c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</row>
    <row r="1379">
      <c r="A1379" s="23">
        <v>24237.0</v>
      </c>
      <c r="B1379" s="24">
        <v>5.902280319511E12</v>
      </c>
      <c r="C1379" s="9" t="s">
        <v>2748</v>
      </c>
      <c r="D1379" s="15">
        <v>0.0</v>
      </c>
      <c r="E1379" s="16">
        <v>1.9</v>
      </c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</row>
    <row r="1380">
      <c r="A1380" s="23" t="s">
        <v>2749</v>
      </c>
      <c r="B1380" s="24">
        <v>5.906660786603E12</v>
      </c>
      <c r="C1380" s="9" t="s">
        <v>2750</v>
      </c>
      <c r="D1380" s="15" t="s">
        <v>2751</v>
      </c>
      <c r="E1380" s="16">
        <v>17.8</v>
      </c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</row>
    <row r="1381">
      <c r="A1381" s="23" t="s">
        <v>2752</v>
      </c>
      <c r="B1381" s="24">
        <v>5.90666078661E12</v>
      </c>
      <c r="C1381" s="9" t="s">
        <v>2753</v>
      </c>
      <c r="D1381" s="15" t="s">
        <v>2751</v>
      </c>
      <c r="E1381" s="16">
        <v>35.5</v>
      </c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</row>
    <row r="1382">
      <c r="A1382" s="23" t="s">
        <v>2754</v>
      </c>
      <c r="B1382" s="24">
        <v>5.902280300953E12</v>
      </c>
      <c r="C1382" s="9" t="s">
        <v>2755</v>
      </c>
      <c r="D1382" s="15" t="s">
        <v>2751</v>
      </c>
      <c r="E1382" s="16">
        <v>53.2</v>
      </c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</row>
    <row r="1383">
      <c r="A1383" s="23" t="s">
        <v>2756</v>
      </c>
      <c r="B1383" s="24">
        <v>5.902280301448E12</v>
      </c>
      <c r="C1383" s="9" t="s">
        <v>2757</v>
      </c>
      <c r="D1383" s="15" t="s">
        <v>2751</v>
      </c>
      <c r="E1383" s="16">
        <v>8.8</v>
      </c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</row>
    <row r="1384">
      <c r="A1384" s="23" t="s">
        <v>2758</v>
      </c>
      <c r="B1384" s="24">
        <v>5.902280301455E12</v>
      </c>
      <c r="C1384" s="9" t="s">
        <v>2759</v>
      </c>
      <c r="D1384" s="15" t="s">
        <v>2751</v>
      </c>
      <c r="E1384" s="16">
        <v>17.6</v>
      </c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</row>
    <row r="1385">
      <c r="A1385" s="23" t="s">
        <v>2760</v>
      </c>
      <c r="B1385" s="24">
        <v>5.902280301639E12</v>
      </c>
      <c r="C1385" s="9" t="s">
        <v>2761</v>
      </c>
      <c r="D1385" s="15" t="s">
        <v>2751</v>
      </c>
      <c r="E1385" s="16">
        <v>26.4</v>
      </c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</row>
    <row r="1386">
      <c r="A1386" s="23" t="s">
        <v>2762</v>
      </c>
      <c r="B1386" s="24">
        <v>5.902280332022E12</v>
      </c>
      <c r="C1386" s="9" t="s">
        <v>2763</v>
      </c>
      <c r="D1386" s="15" t="s">
        <v>2764</v>
      </c>
      <c r="E1386" s="16">
        <v>3.7</v>
      </c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</row>
    <row r="1387">
      <c r="A1387" s="23" t="s">
        <v>2765</v>
      </c>
      <c r="B1387" s="24">
        <v>5.902280328018E12</v>
      </c>
      <c r="C1387" s="9" t="s">
        <v>2766</v>
      </c>
      <c r="D1387" s="15" t="s">
        <v>2764</v>
      </c>
      <c r="E1387" s="16">
        <v>7.4</v>
      </c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</row>
    <row r="1388">
      <c r="A1388" s="23" t="s">
        <v>2767</v>
      </c>
      <c r="B1388" s="24">
        <v>5.902280332015E12</v>
      </c>
      <c r="C1388" s="9" t="s">
        <v>2768</v>
      </c>
      <c r="D1388" s="15" t="s">
        <v>2764</v>
      </c>
      <c r="E1388" s="16">
        <v>11.1</v>
      </c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</row>
    <row r="1389">
      <c r="A1389" s="23" t="s">
        <v>2769</v>
      </c>
      <c r="B1389" s="24">
        <v>5.902280318392E12</v>
      </c>
      <c r="C1389" s="9" t="s">
        <v>2770</v>
      </c>
      <c r="D1389" s="15" t="s">
        <v>2771</v>
      </c>
      <c r="E1389" s="16">
        <v>2.8</v>
      </c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</row>
    <row r="1390">
      <c r="A1390" s="23" t="s">
        <v>2772</v>
      </c>
      <c r="B1390" s="24">
        <v>5.902280318378E12</v>
      </c>
      <c r="C1390" s="9" t="s">
        <v>2773</v>
      </c>
      <c r="D1390" s="15" t="s">
        <v>2771</v>
      </c>
      <c r="E1390" s="16">
        <v>5.5</v>
      </c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</row>
    <row r="1391">
      <c r="A1391" s="23" t="s">
        <v>2774</v>
      </c>
      <c r="B1391" s="24">
        <v>5.902280318385E12</v>
      </c>
      <c r="C1391" s="9" t="s">
        <v>2775</v>
      </c>
      <c r="D1391" s="15" t="s">
        <v>2771</v>
      </c>
      <c r="E1391" s="16">
        <v>8.3</v>
      </c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</row>
    <row r="1392">
      <c r="A1392" s="23">
        <v>70600.0</v>
      </c>
      <c r="B1392" s="84"/>
      <c r="C1392" s="9" t="s">
        <v>2776</v>
      </c>
      <c r="D1392" s="15" t="s">
        <v>2777</v>
      </c>
      <c r="E1392" s="16">
        <v>34.5</v>
      </c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</row>
    <row r="1393">
      <c r="A1393" s="23">
        <v>70397.0</v>
      </c>
      <c r="B1393" s="24">
        <v>5.902280332053E12</v>
      </c>
      <c r="C1393" s="9" t="s">
        <v>2778</v>
      </c>
      <c r="D1393" s="15" t="s">
        <v>2779</v>
      </c>
      <c r="E1393" s="16">
        <v>0.7</v>
      </c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</row>
    <row r="1394">
      <c r="A1394" s="23">
        <v>70283.0</v>
      </c>
      <c r="B1394" s="24">
        <v>5.90228033305E12</v>
      </c>
      <c r="C1394" s="9" t="s">
        <v>2780</v>
      </c>
      <c r="D1394" s="15" t="s">
        <v>2781</v>
      </c>
      <c r="E1394" s="16">
        <v>0.4</v>
      </c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</row>
    <row r="1395">
      <c r="A1395" s="49">
        <v>24366.0</v>
      </c>
      <c r="B1395" s="50">
        <v>5.90228033417E12</v>
      </c>
      <c r="C1395" s="9" t="s">
        <v>2782</v>
      </c>
      <c r="D1395" s="15" t="s">
        <v>2783</v>
      </c>
      <c r="E1395" s="16">
        <v>0.9</v>
      </c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</row>
    <row r="1396">
      <c r="A1396" s="23">
        <v>70459.0</v>
      </c>
      <c r="B1396" s="50">
        <v>5.90228033673E12</v>
      </c>
      <c r="C1396" s="9" t="s">
        <v>2784</v>
      </c>
      <c r="D1396" s="15" t="s">
        <v>2785</v>
      </c>
      <c r="E1396" s="16">
        <v>13.4</v>
      </c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</row>
    <row r="1397">
      <c r="A1397" s="23">
        <v>70457.0</v>
      </c>
      <c r="B1397" s="50">
        <v>5.902280336327E12</v>
      </c>
      <c r="C1397" s="9" t="s">
        <v>2786</v>
      </c>
      <c r="D1397" s="15" t="s">
        <v>2787</v>
      </c>
      <c r="E1397" s="16">
        <v>24.0</v>
      </c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</row>
    <row r="1398">
      <c r="A1398" s="23">
        <v>70208.0</v>
      </c>
      <c r="B1398" s="50">
        <v>5.902280317746E12</v>
      </c>
      <c r="C1398" s="9" t="s">
        <v>2788</v>
      </c>
      <c r="D1398" s="15" t="s">
        <v>2789</v>
      </c>
      <c r="E1398" s="16">
        <v>23.5</v>
      </c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</row>
    <row r="1399">
      <c r="A1399" s="25">
        <v>35.0</v>
      </c>
      <c r="B1399" s="26">
        <v>5.906660785217E12</v>
      </c>
      <c r="C1399" s="9" t="s">
        <v>2790</v>
      </c>
      <c r="D1399" s="15" t="s">
        <v>2791</v>
      </c>
      <c r="E1399" s="16">
        <v>2.5</v>
      </c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</row>
    <row r="1400">
      <c r="A1400" s="23">
        <v>70449.0</v>
      </c>
      <c r="B1400" s="24">
        <v>5.902280334675E12</v>
      </c>
      <c r="C1400" s="9" t="s">
        <v>2792</v>
      </c>
      <c r="D1400" s="15" t="s">
        <v>2793</v>
      </c>
      <c r="E1400" s="16">
        <v>61.9</v>
      </c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</row>
    <row r="1401">
      <c r="A1401" s="23">
        <v>70261.0</v>
      </c>
      <c r="B1401" s="24">
        <v>5.902280321347E12</v>
      </c>
      <c r="C1401" s="9" t="s">
        <v>2794</v>
      </c>
      <c r="D1401" s="15" t="s">
        <v>2795</v>
      </c>
      <c r="E1401" s="16">
        <v>13.1</v>
      </c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</row>
    <row r="1402">
      <c r="A1402" s="23">
        <v>23.0</v>
      </c>
      <c r="B1402" s="24">
        <v>5.902280305279E12</v>
      </c>
      <c r="C1402" s="9" t="s">
        <v>2796</v>
      </c>
      <c r="D1402" s="15" t="s">
        <v>2797</v>
      </c>
      <c r="E1402" s="16">
        <v>67.2</v>
      </c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</row>
    <row r="1403">
      <c r="A1403" s="41">
        <v>802.0</v>
      </c>
      <c r="B1403" s="33">
        <v>5.902280316176E12</v>
      </c>
      <c r="C1403" s="9" t="s">
        <v>2798</v>
      </c>
      <c r="D1403" s="15" t="s">
        <v>2799</v>
      </c>
      <c r="E1403" s="16">
        <v>1.2</v>
      </c>
      <c r="F1403" s="85"/>
      <c r="G1403" s="85"/>
      <c r="H1403" s="13"/>
      <c r="I1403" s="13"/>
      <c r="J1403" s="13"/>
      <c r="K1403" s="13"/>
      <c r="L1403" s="13"/>
      <c r="M1403" s="85"/>
      <c r="N1403" s="85"/>
      <c r="O1403" s="85"/>
      <c r="P1403" s="85"/>
      <c r="Q1403" s="13"/>
      <c r="R1403" s="13"/>
      <c r="S1403" s="13"/>
      <c r="T1403" s="85"/>
      <c r="U1403" s="85"/>
      <c r="V1403" s="85"/>
      <c r="W1403" s="86"/>
      <c r="X1403" s="87"/>
      <c r="Y1403" s="87"/>
      <c r="Z1403" s="85"/>
      <c r="AA1403" s="85"/>
      <c r="AB1403" s="87"/>
      <c r="AC1403" s="85"/>
      <c r="AD1403" s="85"/>
      <c r="AE1403" s="85"/>
      <c r="AF1403" s="85"/>
      <c r="AG1403" s="85"/>
      <c r="AH1403" s="85"/>
      <c r="AI1403" s="85"/>
      <c r="AJ1403" s="85"/>
      <c r="AK1403" s="85"/>
      <c r="AL1403" s="85"/>
      <c r="AM1403" s="85"/>
      <c r="AN1403" s="88"/>
      <c r="AO1403" s="89"/>
      <c r="AP1403" s="90"/>
      <c r="AQ1403" s="90"/>
      <c r="AR1403" s="90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</row>
    <row r="1404">
      <c r="A1404" s="41" t="s">
        <v>2800</v>
      </c>
      <c r="B1404" s="33">
        <v>5.9022803168E12</v>
      </c>
      <c r="C1404" s="9" t="s">
        <v>2801</v>
      </c>
      <c r="D1404" s="15" t="s">
        <v>2802</v>
      </c>
      <c r="E1404" s="16">
        <v>1.0</v>
      </c>
      <c r="F1404" s="85"/>
      <c r="G1404" s="85"/>
      <c r="H1404" s="13"/>
      <c r="I1404" s="13"/>
      <c r="J1404" s="13"/>
      <c r="K1404" s="13"/>
      <c r="L1404" s="13"/>
      <c r="M1404" s="85"/>
      <c r="N1404" s="85"/>
      <c r="O1404" s="85"/>
      <c r="P1404" s="85"/>
      <c r="Q1404" s="13"/>
      <c r="R1404" s="13"/>
      <c r="S1404" s="13"/>
      <c r="T1404" s="85"/>
      <c r="U1404" s="85"/>
      <c r="V1404" s="85"/>
      <c r="W1404" s="86"/>
      <c r="X1404" s="87"/>
      <c r="Y1404" s="87"/>
      <c r="Z1404" s="85"/>
      <c r="AA1404" s="85"/>
      <c r="AB1404" s="87"/>
      <c r="AC1404" s="85"/>
      <c r="AD1404" s="85"/>
      <c r="AE1404" s="85"/>
      <c r="AF1404" s="85"/>
      <c r="AG1404" s="85"/>
      <c r="AH1404" s="85"/>
      <c r="AI1404" s="85"/>
      <c r="AJ1404" s="85"/>
      <c r="AK1404" s="85"/>
      <c r="AL1404" s="85"/>
      <c r="AM1404" s="85"/>
      <c r="AN1404" s="88"/>
      <c r="AO1404" s="89"/>
      <c r="AP1404" s="90"/>
      <c r="AQ1404" s="90"/>
      <c r="AR1404" s="90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</row>
    <row r="1405">
      <c r="A1405" s="49">
        <v>42264.0</v>
      </c>
      <c r="B1405" s="50">
        <v>5.902280327257E12</v>
      </c>
      <c r="C1405" s="9" t="s">
        <v>2803</v>
      </c>
      <c r="D1405" s="15" t="s">
        <v>2804</v>
      </c>
      <c r="E1405" s="16">
        <v>1.1</v>
      </c>
      <c r="F1405" s="85"/>
      <c r="G1405" s="85"/>
      <c r="H1405" s="13"/>
      <c r="I1405" s="13"/>
      <c r="J1405" s="13"/>
      <c r="K1405" s="13"/>
      <c r="L1405" s="13"/>
      <c r="M1405" s="85"/>
      <c r="N1405" s="85"/>
      <c r="O1405" s="85"/>
      <c r="P1405" s="85"/>
      <c r="Q1405" s="13"/>
      <c r="R1405" s="13"/>
      <c r="S1405" s="13"/>
      <c r="T1405" s="85"/>
      <c r="U1405" s="85"/>
      <c r="V1405" s="85"/>
      <c r="W1405" s="86"/>
      <c r="X1405" s="87"/>
      <c r="Y1405" s="87"/>
      <c r="Z1405" s="85"/>
      <c r="AA1405" s="85"/>
      <c r="AB1405" s="87"/>
      <c r="AC1405" s="85"/>
      <c r="AD1405" s="85"/>
      <c r="AE1405" s="85"/>
      <c r="AF1405" s="85"/>
      <c r="AG1405" s="85"/>
      <c r="AH1405" s="85"/>
      <c r="AI1405" s="85"/>
      <c r="AJ1405" s="85"/>
      <c r="AK1405" s="85"/>
      <c r="AL1405" s="85"/>
      <c r="AM1405" s="85"/>
      <c r="AN1405" s="88"/>
      <c r="AO1405" s="89"/>
      <c r="AP1405" s="90"/>
      <c r="AQ1405" s="90"/>
      <c r="AR1405" s="90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</row>
    <row r="1406">
      <c r="A1406" s="41">
        <v>42295.0</v>
      </c>
      <c r="B1406" s="33">
        <v>5.902280343349E12</v>
      </c>
      <c r="C1406" s="9" t="s">
        <v>2805</v>
      </c>
      <c r="D1406" s="15" t="s">
        <v>2806</v>
      </c>
      <c r="E1406" s="16">
        <v>1.3</v>
      </c>
      <c r="F1406" s="85"/>
      <c r="G1406" s="85"/>
      <c r="H1406" s="13"/>
      <c r="I1406" s="13"/>
      <c r="J1406" s="13"/>
      <c r="K1406" s="13"/>
      <c r="L1406" s="13"/>
      <c r="M1406" s="85"/>
      <c r="N1406" s="85"/>
      <c r="O1406" s="85"/>
      <c r="P1406" s="85"/>
      <c r="Q1406" s="13"/>
      <c r="R1406" s="13"/>
      <c r="S1406" s="13"/>
      <c r="T1406" s="85"/>
      <c r="U1406" s="85"/>
      <c r="V1406" s="85"/>
      <c r="W1406" s="86"/>
      <c r="X1406" s="87"/>
      <c r="Y1406" s="87"/>
      <c r="Z1406" s="85"/>
      <c r="AA1406" s="85"/>
      <c r="AB1406" s="87"/>
      <c r="AC1406" s="85"/>
      <c r="AD1406" s="85"/>
      <c r="AE1406" s="85"/>
      <c r="AF1406" s="85"/>
      <c r="AG1406" s="85"/>
      <c r="AH1406" s="85"/>
      <c r="AI1406" s="85"/>
      <c r="AJ1406" s="85"/>
      <c r="AK1406" s="85"/>
      <c r="AL1406" s="85"/>
      <c r="AM1406" s="85"/>
      <c r="AN1406" s="88"/>
      <c r="AO1406" s="89"/>
      <c r="AP1406" s="90"/>
      <c r="AQ1406" s="90"/>
      <c r="AR1406" s="90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</row>
    <row r="1407">
      <c r="A1407" s="41">
        <v>42296.0</v>
      </c>
      <c r="B1407" s="33">
        <v>5.90228033996E12</v>
      </c>
      <c r="C1407" s="9" t="s">
        <v>2807</v>
      </c>
      <c r="D1407" s="15" t="s">
        <v>2806</v>
      </c>
      <c r="E1407" s="16">
        <v>1.3</v>
      </c>
      <c r="F1407" s="85"/>
      <c r="G1407" s="85"/>
      <c r="H1407" s="13"/>
      <c r="I1407" s="13"/>
      <c r="J1407" s="13"/>
      <c r="K1407" s="13"/>
      <c r="L1407" s="13"/>
      <c r="M1407" s="85"/>
      <c r="N1407" s="85"/>
      <c r="O1407" s="85"/>
      <c r="P1407" s="85"/>
      <c r="Q1407" s="13"/>
      <c r="R1407" s="13"/>
      <c r="S1407" s="13"/>
      <c r="T1407" s="85"/>
      <c r="U1407" s="85"/>
      <c r="V1407" s="85"/>
      <c r="W1407" s="86"/>
      <c r="X1407" s="87"/>
      <c r="Y1407" s="87"/>
      <c r="Z1407" s="85"/>
      <c r="AA1407" s="85"/>
      <c r="AB1407" s="87"/>
      <c r="AC1407" s="85"/>
      <c r="AD1407" s="85"/>
      <c r="AE1407" s="85"/>
      <c r="AF1407" s="85"/>
      <c r="AG1407" s="85"/>
      <c r="AH1407" s="85"/>
      <c r="AI1407" s="85"/>
      <c r="AJ1407" s="85"/>
      <c r="AK1407" s="85"/>
      <c r="AL1407" s="85"/>
      <c r="AM1407" s="85"/>
      <c r="AN1407" s="88"/>
      <c r="AO1407" s="89"/>
      <c r="AP1407" s="90"/>
      <c r="AQ1407" s="90"/>
      <c r="AR1407" s="90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</row>
    <row r="1408">
      <c r="A1408" s="41">
        <v>42297.0</v>
      </c>
      <c r="B1408" s="33">
        <v>5.902280339977E12</v>
      </c>
      <c r="C1408" s="9" t="s">
        <v>2808</v>
      </c>
      <c r="D1408" s="15" t="s">
        <v>2806</v>
      </c>
      <c r="E1408" s="16">
        <v>1.3</v>
      </c>
      <c r="F1408" s="85"/>
      <c r="G1408" s="85"/>
      <c r="H1408" s="13"/>
      <c r="I1408" s="13"/>
      <c r="J1408" s="13"/>
      <c r="K1408" s="13"/>
      <c r="L1408" s="13"/>
      <c r="M1408" s="85"/>
      <c r="N1408" s="85"/>
      <c r="O1408" s="85"/>
      <c r="P1408" s="85"/>
      <c r="Q1408" s="13"/>
      <c r="R1408" s="13"/>
      <c r="S1408" s="13"/>
      <c r="T1408" s="85"/>
      <c r="U1408" s="85"/>
      <c r="V1408" s="85"/>
      <c r="W1408" s="86"/>
      <c r="X1408" s="87"/>
      <c r="Y1408" s="87"/>
      <c r="Z1408" s="85"/>
      <c r="AA1408" s="85"/>
      <c r="AB1408" s="87"/>
      <c r="AC1408" s="85"/>
      <c r="AD1408" s="85"/>
      <c r="AE1408" s="85"/>
      <c r="AF1408" s="85"/>
      <c r="AG1408" s="85"/>
      <c r="AH1408" s="85"/>
      <c r="AI1408" s="85"/>
      <c r="AJ1408" s="85"/>
      <c r="AK1408" s="85"/>
      <c r="AL1408" s="85"/>
      <c r="AM1408" s="85"/>
      <c r="AN1408" s="88"/>
      <c r="AO1408" s="89"/>
      <c r="AP1408" s="90"/>
      <c r="AQ1408" s="90"/>
      <c r="AR1408" s="90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</row>
    <row r="1409">
      <c r="A1409" s="41">
        <v>820.0</v>
      </c>
      <c r="B1409" s="33">
        <v>5.902280343349E12</v>
      </c>
      <c r="C1409" s="9" t="s">
        <v>2809</v>
      </c>
      <c r="D1409" s="15" t="s">
        <v>2806</v>
      </c>
      <c r="E1409" s="16">
        <v>2.6</v>
      </c>
      <c r="F1409" s="85"/>
      <c r="G1409" s="85"/>
      <c r="H1409" s="13"/>
      <c r="I1409" s="13"/>
      <c r="J1409" s="13"/>
      <c r="K1409" s="13"/>
      <c r="L1409" s="13"/>
      <c r="M1409" s="85"/>
      <c r="N1409" s="85"/>
      <c r="O1409" s="85"/>
      <c r="P1409" s="85"/>
      <c r="Q1409" s="13"/>
      <c r="R1409" s="13"/>
      <c r="S1409" s="13"/>
      <c r="T1409" s="85"/>
      <c r="U1409" s="85"/>
      <c r="V1409" s="85"/>
      <c r="W1409" s="86"/>
      <c r="X1409" s="87"/>
      <c r="Y1409" s="87"/>
      <c r="Z1409" s="85"/>
      <c r="AA1409" s="85"/>
      <c r="AB1409" s="87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8"/>
      <c r="AO1409" s="89"/>
      <c r="AP1409" s="90"/>
      <c r="AQ1409" s="90"/>
      <c r="AR1409" s="90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</row>
    <row r="1410">
      <c r="A1410" s="41">
        <v>42271.0</v>
      </c>
      <c r="B1410" s="33">
        <v>5.90228033996E12</v>
      </c>
      <c r="C1410" s="9" t="s">
        <v>2810</v>
      </c>
      <c r="D1410" s="15" t="s">
        <v>2806</v>
      </c>
      <c r="E1410" s="16">
        <v>5.4</v>
      </c>
      <c r="F1410" s="85"/>
      <c r="G1410" s="85"/>
      <c r="H1410" s="13"/>
      <c r="I1410" s="13"/>
      <c r="J1410" s="13"/>
      <c r="K1410" s="13"/>
      <c r="L1410" s="13"/>
      <c r="M1410" s="85"/>
      <c r="N1410" s="85"/>
      <c r="O1410" s="85"/>
      <c r="P1410" s="85"/>
      <c r="Q1410" s="13"/>
      <c r="R1410" s="13"/>
      <c r="S1410" s="13"/>
      <c r="T1410" s="85"/>
      <c r="U1410" s="85"/>
      <c r="V1410" s="85"/>
      <c r="W1410" s="86"/>
      <c r="X1410" s="87"/>
      <c r="Y1410" s="87"/>
      <c r="Z1410" s="85"/>
      <c r="AA1410" s="85"/>
      <c r="AB1410" s="87"/>
      <c r="AC1410" s="85"/>
      <c r="AD1410" s="85"/>
      <c r="AE1410" s="85"/>
      <c r="AF1410" s="85"/>
      <c r="AG1410" s="85"/>
      <c r="AH1410" s="85"/>
      <c r="AI1410" s="85"/>
      <c r="AJ1410" s="85"/>
      <c r="AK1410" s="85"/>
      <c r="AL1410" s="85"/>
      <c r="AM1410" s="85"/>
      <c r="AN1410" s="88"/>
      <c r="AO1410" s="89"/>
      <c r="AP1410" s="90"/>
      <c r="AQ1410" s="90"/>
      <c r="AR1410" s="90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</row>
    <row r="1411">
      <c r="A1411" s="41">
        <v>42265.0</v>
      </c>
      <c r="B1411" s="33">
        <v>5.902280339977E12</v>
      </c>
      <c r="C1411" s="9" t="s">
        <v>2811</v>
      </c>
      <c r="D1411" s="15" t="s">
        <v>2812</v>
      </c>
      <c r="E1411" s="16">
        <v>36.2</v>
      </c>
      <c r="F1411" s="85"/>
      <c r="G1411" s="85"/>
      <c r="H1411" s="13"/>
      <c r="I1411" s="13"/>
      <c r="J1411" s="13"/>
      <c r="K1411" s="13"/>
      <c r="L1411" s="13"/>
      <c r="M1411" s="85"/>
      <c r="N1411" s="85"/>
      <c r="O1411" s="85"/>
      <c r="P1411" s="85"/>
      <c r="Q1411" s="13"/>
      <c r="R1411" s="13"/>
      <c r="S1411" s="13"/>
      <c r="T1411" s="85"/>
      <c r="U1411" s="85"/>
      <c r="V1411" s="85"/>
      <c r="W1411" s="86"/>
      <c r="X1411" s="87"/>
      <c r="Y1411" s="87"/>
      <c r="Z1411" s="85"/>
      <c r="AA1411" s="85"/>
      <c r="AB1411" s="87"/>
      <c r="AC1411" s="85"/>
      <c r="AD1411" s="85"/>
      <c r="AE1411" s="85"/>
      <c r="AF1411" s="85"/>
      <c r="AG1411" s="85"/>
      <c r="AH1411" s="85"/>
      <c r="AI1411" s="85"/>
      <c r="AJ1411" s="85"/>
      <c r="AK1411" s="85"/>
      <c r="AL1411" s="85"/>
      <c r="AM1411" s="85"/>
      <c r="AN1411" s="88"/>
      <c r="AO1411" s="89"/>
      <c r="AP1411" s="90"/>
      <c r="AQ1411" s="90"/>
      <c r="AR1411" s="90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</row>
    <row r="1412">
      <c r="A1412" s="49">
        <v>42289.0</v>
      </c>
      <c r="B1412" s="50">
        <v>5.902280340225E12</v>
      </c>
      <c r="C1412" s="9" t="s">
        <v>2813</v>
      </c>
      <c r="D1412" s="15" t="s">
        <v>2814</v>
      </c>
      <c r="E1412" s="16">
        <v>36.3</v>
      </c>
      <c r="F1412" s="85"/>
      <c r="G1412" s="85"/>
      <c r="H1412" s="13"/>
      <c r="I1412" s="13"/>
      <c r="J1412" s="13"/>
      <c r="K1412" s="13"/>
      <c r="L1412" s="13"/>
      <c r="M1412" s="85"/>
      <c r="N1412" s="85"/>
      <c r="O1412" s="85"/>
      <c r="P1412" s="85"/>
      <c r="Q1412" s="13"/>
      <c r="R1412" s="13"/>
      <c r="S1412" s="13"/>
      <c r="T1412" s="85"/>
      <c r="U1412" s="85"/>
      <c r="V1412" s="85"/>
      <c r="W1412" s="86"/>
      <c r="X1412" s="87"/>
      <c r="Y1412" s="87"/>
      <c r="Z1412" s="85"/>
      <c r="AA1412" s="85"/>
      <c r="AB1412" s="87"/>
      <c r="AC1412" s="85"/>
      <c r="AD1412" s="85"/>
      <c r="AE1412" s="85"/>
      <c r="AF1412" s="85"/>
      <c r="AG1412" s="85"/>
      <c r="AH1412" s="85"/>
      <c r="AI1412" s="85"/>
      <c r="AJ1412" s="85"/>
      <c r="AK1412" s="85"/>
      <c r="AL1412" s="85"/>
      <c r="AM1412" s="85"/>
      <c r="AN1412" s="88"/>
      <c r="AO1412" s="89"/>
      <c r="AP1412" s="90"/>
      <c r="AQ1412" s="90"/>
      <c r="AR1412" s="90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</row>
    <row r="1413">
      <c r="A1413" s="41">
        <v>61545.0</v>
      </c>
      <c r="B1413" s="33">
        <v>5.902280340744E12</v>
      </c>
      <c r="C1413" s="9" t="s">
        <v>2815</v>
      </c>
      <c r="D1413" s="15" t="s">
        <v>2816</v>
      </c>
      <c r="E1413" s="16">
        <v>4.3</v>
      </c>
      <c r="F1413" s="85"/>
      <c r="G1413" s="85"/>
      <c r="H1413" s="13"/>
      <c r="I1413" s="13"/>
      <c r="J1413" s="13"/>
      <c r="K1413" s="13"/>
      <c r="L1413" s="13"/>
      <c r="M1413" s="85"/>
      <c r="N1413" s="85"/>
      <c r="O1413" s="85"/>
      <c r="P1413" s="85"/>
      <c r="Q1413" s="13"/>
      <c r="R1413" s="13"/>
      <c r="S1413" s="13"/>
      <c r="T1413" s="85"/>
      <c r="U1413" s="85"/>
      <c r="V1413" s="85"/>
      <c r="W1413" s="86"/>
      <c r="X1413" s="87"/>
      <c r="Y1413" s="87"/>
      <c r="Z1413" s="85"/>
      <c r="AA1413" s="85"/>
      <c r="AB1413" s="87"/>
      <c r="AC1413" s="85"/>
      <c r="AD1413" s="85"/>
      <c r="AE1413" s="85"/>
      <c r="AF1413" s="85"/>
      <c r="AG1413" s="85"/>
      <c r="AH1413" s="85"/>
      <c r="AI1413" s="85"/>
      <c r="AJ1413" s="85"/>
      <c r="AK1413" s="85"/>
      <c r="AL1413" s="85"/>
      <c r="AM1413" s="85"/>
      <c r="AN1413" s="88"/>
      <c r="AO1413" s="89"/>
      <c r="AP1413" s="90"/>
      <c r="AQ1413" s="90"/>
      <c r="AR1413" s="90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</row>
    <row r="1414">
      <c r="A1414" s="41">
        <v>61550.0</v>
      </c>
      <c r="B1414" s="33">
        <v>5.902280340799E12</v>
      </c>
      <c r="C1414" s="9" t="s">
        <v>2817</v>
      </c>
      <c r="D1414" s="15" t="s">
        <v>2818</v>
      </c>
      <c r="E1414" s="16">
        <v>4.3</v>
      </c>
      <c r="F1414" s="85"/>
      <c r="G1414" s="85"/>
      <c r="H1414" s="13"/>
      <c r="I1414" s="13"/>
      <c r="J1414" s="13"/>
      <c r="K1414" s="13"/>
      <c r="L1414" s="13"/>
      <c r="M1414" s="85"/>
      <c r="N1414" s="85"/>
      <c r="O1414" s="85"/>
      <c r="P1414" s="85"/>
      <c r="Q1414" s="13"/>
      <c r="R1414" s="13"/>
      <c r="S1414" s="13"/>
      <c r="T1414" s="85"/>
      <c r="U1414" s="85"/>
      <c r="V1414" s="85"/>
      <c r="W1414" s="86"/>
      <c r="X1414" s="87"/>
      <c r="Y1414" s="87"/>
      <c r="Z1414" s="85"/>
      <c r="AA1414" s="85"/>
      <c r="AB1414" s="87"/>
      <c r="AC1414" s="85"/>
      <c r="AD1414" s="85"/>
      <c r="AE1414" s="85"/>
      <c r="AF1414" s="85"/>
      <c r="AG1414" s="85"/>
      <c r="AH1414" s="85"/>
      <c r="AI1414" s="85"/>
      <c r="AJ1414" s="85"/>
      <c r="AK1414" s="85"/>
      <c r="AL1414" s="85"/>
      <c r="AM1414" s="85"/>
      <c r="AN1414" s="88"/>
      <c r="AO1414" s="89"/>
      <c r="AP1414" s="90"/>
      <c r="AQ1414" s="90"/>
      <c r="AR1414" s="90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</row>
    <row r="1415">
      <c r="A1415" s="41">
        <v>61555.0</v>
      </c>
      <c r="B1415" s="33">
        <v>5.902280340843E12</v>
      </c>
      <c r="C1415" s="9" t="s">
        <v>2819</v>
      </c>
      <c r="D1415" s="15" t="s">
        <v>2818</v>
      </c>
      <c r="E1415" s="16">
        <v>4.3</v>
      </c>
      <c r="F1415" s="85"/>
      <c r="G1415" s="85"/>
      <c r="H1415" s="13"/>
      <c r="I1415" s="13"/>
      <c r="J1415" s="13"/>
      <c r="K1415" s="13"/>
      <c r="L1415" s="13"/>
      <c r="M1415" s="85"/>
      <c r="N1415" s="85"/>
      <c r="O1415" s="85"/>
      <c r="P1415" s="85"/>
      <c r="Q1415" s="13"/>
      <c r="R1415" s="13"/>
      <c r="S1415" s="13"/>
      <c r="T1415" s="85"/>
      <c r="U1415" s="85"/>
      <c r="V1415" s="85"/>
      <c r="W1415" s="86"/>
      <c r="X1415" s="87"/>
      <c r="Y1415" s="87"/>
      <c r="Z1415" s="85"/>
      <c r="AA1415" s="85"/>
      <c r="AB1415" s="87"/>
      <c r="AC1415" s="85"/>
      <c r="AD1415" s="85"/>
      <c r="AE1415" s="85"/>
      <c r="AF1415" s="85"/>
      <c r="AG1415" s="85"/>
      <c r="AH1415" s="85"/>
      <c r="AI1415" s="85"/>
      <c r="AJ1415" s="85"/>
      <c r="AK1415" s="85"/>
      <c r="AL1415" s="85"/>
      <c r="AM1415" s="85"/>
      <c r="AN1415" s="88"/>
      <c r="AO1415" s="89"/>
      <c r="AP1415" s="90"/>
      <c r="AQ1415" s="90"/>
      <c r="AR1415" s="90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</row>
    <row r="1416">
      <c r="A1416" s="91">
        <v>61560.0</v>
      </c>
      <c r="B1416" s="33">
        <v>5.902280340898E12</v>
      </c>
      <c r="C1416" s="9" t="s">
        <v>2820</v>
      </c>
      <c r="D1416" s="15" t="s">
        <v>2821</v>
      </c>
      <c r="E1416" s="16">
        <v>8.6</v>
      </c>
      <c r="F1416" s="85"/>
      <c r="G1416" s="85"/>
      <c r="H1416" s="13"/>
      <c r="I1416" s="13"/>
      <c r="J1416" s="13"/>
      <c r="K1416" s="13"/>
      <c r="L1416" s="13"/>
      <c r="M1416" s="85"/>
      <c r="N1416" s="85"/>
      <c r="O1416" s="85"/>
      <c r="P1416" s="85"/>
      <c r="Q1416" s="13"/>
      <c r="R1416" s="13"/>
      <c r="S1416" s="13"/>
      <c r="T1416" s="85"/>
      <c r="U1416" s="85"/>
      <c r="V1416" s="85"/>
      <c r="W1416" s="86"/>
      <c r="X1416" s="87"/>
      <c r="Y1416" s="87"/>
      <c r="Z1416" s="85"/>
      <c r="AA1416" s="85"/>
      <c r="AB1416" s="87"/>
      <c r="AC1416" s="85"/>
      <c r="AD1416" s="85"/>
      <c r="AE1416" s="85"/>
      <c r="AF1416" s="85"/>
      <c r="AG1416" s="85"/>
      <c r="AH1416" s="85"/>
      <c r="AI1416" s="85"/>
      <c r="AJ1416" s="85"/>
      <c r="AK1416" s="85"/>
      <c r="AL1416" s="85"/>
      <c r="AM1416" s="85"/>
      <c r="AN1416" s="88"/>
      <c r="AO1416" s="89"/>
      <c r="AP1416" s="90"/>
      <c r="AQ1416" s="90"/>
      <c r="AR1416" s="90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</row>
    <row r="1417">
      <c r="A1417" s="92">
        <v>61541.0</v>
      </c>
      <c r="B1417" s="33">
        <v>5.902280329527E12</v>
      </c>
      <c r="C1417" s="9" t="s">
        <v>2822</v>
      </c>
      <c r="D1417" s="15" t="s">
        <v>2823</v>
      </c>
      <c r="E1417" s="16">
        <v>2.6</v>
      </c>
      <c r="F1417" s="85"/>
      <c r="G1417" s="85"/>
      <c r="H1417" s="13"/>
      <c r="I1417" s="13"/>
      <c r="J1417" s="13"/>
      <c r="K1417" s="13"/>
      <c r="L1417" s="13"/>
      <c r="M1417" s="85"/>
      <c r="N1417" s="85"/>
      <c r="O1417" s="85"/>
      <c r="P1417" s="85"/>
      <c r="Q1417" s="13"/>
      <c r="R1417" s="13"/>
      <c r="S1417" s="13"/>
      <c r="T1417" s="85"/>
      <c r="U1417" s="85"/>
      <c r="V1417" s="85"/>
      <c r="W1417" s="86"/>
      <c r="X1417" s="87"/>
      <c r="Y1417" s="87"/>
      <c r="Z1417" s="85"/>
      <c r="AA1417" s="85"/>
      <c r="AB1417" s="87"/>
      <c r="AC1417" s="85"/>
      <c r="AD1417" s="85"/>
      <c r="AE1417" s="85"/>
      <c r="AF1417" s="85"/>
      <c r="AG1417" s="85"/>
      <c r="AH1417" s="85"/>
      <c r="AI1417" s="85"/>
      <c r="AJ1417" s="85"/>
      <c r="AK1417" s="85"/>
      <c r="AL1417" s="85"/>
      <c r="AM1417" s="85"/>
      <c r="AN1417" s="88"/>
      <c r="AO1417" s="89"/>
      <c r="AP1417" s="90"/>
      <c r="AQ1417" s="90"/>
      <c r="AR1417" s="90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</row>
    <row r="1418">
      <c r="A1418" s="41">
        <v>61561.0</v>
      </c>
      <c r="B1418" s="33">
        <v>5.902280339847E12</v>
      </c>
      <c r="C1418" s="9" t="s">
        <v>2824</v>
      </c>
      <c r="D1418" s="15" t="s">
        <v>2825</v>
      </c>
      <c r="E1418" s="16">
        <v>7.4</v>
      </c>
      <c r="F1418" s="85"/>
      <c r="G1418" s="85"/>
      <c r="H1418" s="13"/>
      <c r="I1418" s="13"/>
      <c r="J1418" s="13"/>
      <c r="K1418" s="13"/>
      <c r="L1418" s="13"/>
      <c r="M1418" s="85"/>
      <c r="N1418" s="85"/>
      <c r="O1418" s="85"/>
      <c r="P1418" s="85"/>
      <c r="Q1418" s="13"/>
      <c r="R1418" s="13"/>
      <c r="S1418" s="13"/>
      <c r="T1418" s="85"/>
      <c r="U1418" s="85"/>
      <c r="V1418" s="85"/>
      <c r="W1418" s="86"/>
      <c r="X1418" s="87"/>
      <c r="Y1418" s="87"/>
      <c r="Z1418" s="85"/>
      <c r="AA1418" s="85"/>
      <c r="AB1418" s="87"/>
      <c r="AC1418" s="85"/>
      <c r="AD1418" s="85"/>
      <c r="AE1418" s="85"/>
      <c r="AF1418" s="85"/>
      <c r="AG1418" s="85"/>
      <c r="AH1418" s="85"/>
      <c r="AI1418" s="85"/>
      <c r="AJ1418" s="85"/>
      <c r="AK1418" s="85"/>
      <c r="AL1418" s="85"/>
      <c r="AM1418" s="85"/>
      <c r="AN1418" s="88"/>
      <c r="AO1418" s="89"/>
      <c r="AP1418" s="90"/>
      <c r="AQ1418" s="90"/>
      <c r="AR1418" s="90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</row>
    <row r="1419">
      <c r="A1419" s="41">
        <v>61562.0</v>
      </c>
      <c r="B1419" s="33">
        <v>5.902280339854E12</v>
      </c>
      <c r="C1419" s="9" t="s">
        <v>2826</v>
      </c>
      <c r="D1419" s="15" t="s">
        <v>2825</v>
      </c>
      <c r="E1419" s="16">
        <v>7.4</v>
      </c>
      <c r="F1419" s="85"/>
      <c r="G1419" s="85"/>
      <c r="H1419" s="13"/>
      <c r="I1419" s="13"/>
      <c r="J1419" s="13"/>
      <c r="K1419" s="13"/>
      <c r="L1419" s="13"/>
      <c r="M1419" s="85"/>
      <c r="N1419" s="85"/>
      <c r="O1419" s="85"/>
      <c r="P1419" s="85"/>
      <c r="Q1419" s="13"/>
      <c r="R1419" s="13"/>
      <c r="S1419" s="13"/>
      <c r="T1419" s="85"/>
      <c r="U1419" s="85"/>
      <c r="V1419" s="85"/>
      <c r="W1419" s="86"/>
      <c r="X1419" s="87"/>
      <c r="Y1419" s="87"/>
      <c r="Z1419" s="85"/>
      <c r="AA1419" s="85"/>
      <c r="AB1419" s="87"/>
      <c r="AC1419" s="85"/>
      <c r="AD1419" s="85"/>
      <c r="AE1419" s="85"/>
      <c r="AF1419" s="85"/>
      <c r="AG1419" s="85"/>
      <c r="AH1419" s="85"/>
      <c r="AI1419" s="85"/>
      <c r="AJ1419" s="85"/>
      <c r="AK1419" s="85"/>
      <c r="AL1419" s="85"/>
      <c r="AM1419" s="85"/>
      <c r="AN1419" s="88"/>
      <c r="AO1419" s="89"/>
      <c r="AP1419" s="90"/>
      <c r="AQ1419" s="90"/>
      <c r="AR1419" s="90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</row>
    <row r="1420">
      <c r="A1420" s="41">
        <v>61563.0</v>
      </c>
      <c r="B1420" s="33">
        <v>5.902280339861E12</v>
      </c>
      <c r="C1420" s="9" t="s">
        <v>2827</v>
      </c>
      <c r="D1420" s="15" t="s">
        <v>2825</v>
      </c>
      <c r="E1420" s="16">
        <v>7.4</v>
      </c>
      <c r="F1420" s="85"/>
      <c r="G1420" s="85"/>
      <c r="H1420" s="13"/>
      <c r="I1420" s="13"/>
      <c r="J1420" s="13"/>
      <c r="K1420" s="13"/>
      <c r="L1420" s="13"/>
      <c r="M1420" s="85"/>
      <c r="N1420" s="85"/>
      <c r="O1420" s="85"/>
      <c r="P1420" s="85"/>
      <c r="Q1420" s="13"/>
      <c r="R1420" s="13"/>
      <c r="S1420" s="13"/>
      <c r="T1420" s="85"/>
      <c r="U1420" s="85"/>
      <c r="V1420" s="85"/>
      <c r="W1420" s="86"/>
      <c r="X1420" s="87"/>
      <c r="Y1420" s="87"/>
      <c r="Z1420" s="85"/>
      <c r="AA1420" s="85"/>
      <c r="AB1420" s="87"/>
      <c r="AC1420" s="85"/>
      <c r="AD1420" s="85"/>
      <c r="AE1420" s="85"/>
      <c r="AF1420" s="85"/>
      <c r="AG1420" s="85"/>
      <c r="AH1420" s="85"/>
      <c r="AI1420" s="85"/>
      <c r="AJ1420" s="85"/>
      <c r="AK1420" s="85"/>
      <c r="AL1420" s="85"/>
      <c r="AM1420" s="85"/>
      <c r="AN1420" s="88"/>
      <c r="AO1420" s="89"/>
      <c r="AP1420" s="90"/>
      <c r="AQ1420" s="90"/>
      <c r="AR1420" s="90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</row>
    <row r="1421">
      <c r="A1421" s="41">
        <v>61568.0</v>
      </c>
      <c r="B1421" s="33">
        <v>5.902280346142E12</v>
      </c>
      <c r="C1421" s="9" t="s">
        <v>2828</v>
      </c>
      <c r="D1421" s="15" t="s">
        <v>2825</v>
      </c>
      <c r="E1421" s="16">
        <v>3.2</v>
      </c>
      <c r="F1421" s="85"/>
      <c r="G1421" s="85"/>
      <c r="H1421" s="13"/>
      <c r="I1421" s="13"/>
      <c r="J1421" s="13"/>
      <c r="K1421" s="13"/>
      <c r="L1421" s="13"/>
      <c r="M1421" s="85"/>
      <c r="N1421" s="85"/>
      <c r="O1421" s="85"/>
      <c r="P1421" s="85"/>
      <c r="Q1421" s="13"/>
      <c r="R1421" s="13"/>
      <c r="S1421" s="13"/>
      <c r="T1421" s="85"/>
      <c r="U1421" s="85"/>
      <c r="V1421" s="85"/>
      <c r="W1421" s="86"/>
      <c r="X1421" s="87"/>
      <c r="Y1421" s="87"/>
      <c r="Z1421" s="85"/>
      <c r="AA1421" s="85"/>
      <c r="AB1421" s="87"/>
      <c r="AC1421" s="85"/>
      <c r="AD1421" s="85"/>
      <c r="AE1421" s="85"/>
      <c r="AF1421" s="85"/>
      <c r="AG1421" s="85"/>
      <c r="AH1421" s="85"/>
      <c r="AI1421" s="85"/>
      <c r="AJ1421" s="85"/>
      <c r="AK1421" s="85"/>
      <c r="AL1421" s="85"/>
      <c r="AM1421" s="85"/>
      <c r="AN1421" s="88"/>
      <c r="AO1421" s="89"/>
      <c r="AP1421" s="90"/>
      <c r="AQ1421" s="90"/>
      <c r="AR1421" s="90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</row>
    <row r="1422">
      <c r="A1422" s="41">
        <v>61546.0</v>
      </c>
      <c r="B1422" s="33">
        <v>5.902280340751E12</v>
      </c>
      <c r="C1422" s="9" t="s">
        <v>2829</v>
      </c>
      <c r="D1422" s="15" t="s">
        <v>2825</v>
      </c>
      <c r="E1422" s="16">
        <v>2.1</v>
      </c>
      <c r="F1422" s="85"/>
      <c r="G1422" s="85"/>
      <c r="H1422" s="13"/>
      <c r="I1422" s="13"/>
      <c r="J1422" s="13"/>
      <c r="K1422" s="13"/>
      <c r="L1422" s="13"/>
      <c r="M1422" s="85"/>
      <c r="N1422" s="85"/>
      <c r="O1422" s="85"/>
      <c r="P1422" s="85"/>
      <c r="Q1422" s="13"/>
      <c r="R1422" s="13"/>
      <c r="S1422" s="13"/>
      <c r="T1422" s="85"/>
      <c r="U1422" s="85"/>
      <c r="V1422" s="85"/>
      <c r="W1422" s="86"/>
      <c r="X1422" s="87"/>
      <c r="Y1422" s="87"/>
      <c r="Z1422" s="85"/>
      <c r="AA1422" s="85"/>
      <c r="AB1422" s="87"/>
      <c r="AC1422" s="85"/>
      <c r="AD1422" s="85"/>
      <c r="AE1422" s="85"/>
      <c r="AF1422" s="85"/>
      <c r="AG1422" s="85"/>
      <c r="AH1422" s="85"/>
      <c r="AI1422" s="85"/>
      <c r="AJ1422" s="85"/>
      <c r="AK1422" s="85"/>
      <c r="AL1422" s="85"/>
      <c r="AM1422" s="85"/>
      <c r="AN1422" s="88"/>
      <c r="AO1422" s="89"/>
      <c r="AP1422" s="90"/>
      <c r="AQ1422" s="90"/>
      <c r="AR1422" s="90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</row>
    <row r="1423">
      <c r="A1423" s="41">
        <v>61547.0</v>
      </c>
      <c r="B1423" s="33">
        <v>5.902280340768E12</v>
      </c>
      <c r="C1423" s="9" t="s">
        <v>2830</v>
      </c>
      <c r="D1423" s="15" t="s">
        <v>2825</v>
      </c>
      <c r="E1423" s="16">
        <v>2.6</v>
      </c>
      <c r="F1423" s="85"/>
      <c r="G1423" s="85"/>
      <c r="H1423" s="13"/>
      <c r="I1423" s="13"/>
      <c r="J1423" s="13"/>
      <c r="K1423" s="13"/>
      <c r="L1423" s="13"/>
      <c r="M1423" s="85"/>
      <c r="N1423" s="85"/>
      <c r="O1423" s="85"/>
      <c r="P1423" s="85"/>
      <c r="Q1423" s="13"/>
      <c r="R1423" s="13"/>
      <c r="S1423" s="13"/>
      <c r="T1423" s="85"/>
      <c r="U1423" s="85"/>
      <c r="V1423" s="85"/>
      <c r="W1423" s="86"/>
      <c r="X1423" s="87"/>
      <c r="Y1423" s="87"/>
      <c r="Z1423" s="85"/>
      <c r="AA1423" s="85"/>
      <c r="AB1423" s="87"/>
      <c r="AC1423" s="85"/>
      <c r="AD1423" s="85"/>
      <c r="AE1423" s="85"/>
      <c r="AF1423" s="85"/>
      <c r="AG1423" s="85"/>
      <c r="AH1423" s="85"/>
      <c r="AI1423" s="85"/>
      <c r="AJ1423" s="85"/>
      <c r="AK1423" s="85"/>
      <c r="AL1423" s="85"/>
      <c r="AM1423" s="85"/>
      <c r="AN1423" s="88"/>
      <c r="AO1423" s="89"/>
      <c r="AP1423" s="90"/>
      <c r="AQ1423" s="90"/>
      <c r="AR1423" s="90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</row>
    <row r="1424">
      <c r="A1424" s="41">
        <v>61548.0</v>
      </c>
      <c r="B1424" s="33">
        <v>5.902280340775E12</v>
      </c>
      <c r="C1424" s="9" t="s">
        <v>2831</v>
      </c>
      <c r="D1424" s="15" t="s">
        <v>2825</v>
      </c>
      <c r="E1424" s="16">
        <v>3.7</v>
      </c>
      <c r="F1424" s="85"/>
      <c r="G1424" s="85"/>
      <c r="H1424" s="13"/>
      <c r="I1424" s="13"/>
      <c r="J1424" s="13"/>
      <c r="K1424" s="13"/>
      <c r="L1424" s="13"/>
      <c r="M1424" s="85"/>
      <c r="N1424" s="85"/>
      <c r="O1424" s="85"/>
      <c r="P1424" s="85"/>
      <c r="Q1424" s="13"/>
      <c r="R1424" s="13"/>
      <c r="S1424" s="13"/>
      <c r="T1424" s="85"/>
      <c r="U1424" s="85"/>
      <c r="V1424" s="85"/>
      <c r="W1424" s="86"/>
      <c r="X1424" s="87"/>
      <c r="Y1424" s="87"/>
      <c r="Z1424" s="85"/>
      <c r="AA1424" s="85"/>
      <c r="AB1424" s="87"/>
      <c r="AC1424" s="85"/>
      <c r="AD1424" s="85"/>
      <c r="AE1424" s="85"/>
      <c r="AF1424" s="85"/>
      <c r="AG1424" s="85"/>
      <c r="AH1424" s="85"/>
      <c r="AI1424" s="85"/>
      <c r="AJ1424" s="85"/>
      <c r="AK1424" s="85"/>
      <c r="AL1424" s="85"/>
      <c r="AM1424" s="85"/>
      <c r="AN1424" s="88"/>
      <c r="AO1424" s="89"/>
      <c r="AP1424" s="90"/>
      <c r="AQ1424" s="90"/>
      <c r="AR1424" s="90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</row>
    <row r="1425">
      <c r="A1425" s="41">
        <v>61549.0</v>
      </c>
      <c r="B1425" s="33">
        <v>5.902280340782E12</v>
      </c>
      <c r="C1425" s="9" t="s">
        <v>2832</v>
      </c>
      <c r="D1425" s="15" t="s">
        <v>2825</v>
      </c>
      <c r="E1425" s="16">
        <v>3.3</v>
      </c>
      <c r="F1425" s="85"/>
      <c r="G1425" s="85"/>
      <c r="H1425" s="13"/>
      <c r="I1425" s="13"/>
      <c r="J1425" s="13"/>
      <c r="K1425" s="13"/>
      <c r="L1425" s="13"/>
      <c r="M1425" s="85"/>
      <c r="N1425" s="85"/>
      <c r="O1425" s="85"/>
      <c r="P1425" s="85"/>
      <c r="Q1425" s="13"/>
      <c r="R1425" s="13"/>
      <c r="S1425" s="13"/>
      <c r="T1425" s="85"/>
      <c r="U1425" s="85"/>
      <c r="V1425" s="85"/>
      <c r="W1425" s="86"/>
      <c r="X1425" s="87"/>
      <c r="Y1425" s="87"/>
      <c r="Z1425" s="85"/>
      <c r="AA1425" s="85"/>
      <c r="AB1425" s="87"/>
      <c r="AC1425" s="85"/>
      <c r="AD1425" s="85"/>
      <c r="AE1425" s="85"/>
      <c r="AF1425" s="85"/>
      <c r="AG1425" s="85"/>
      <c r="AH1425" s="85"/>
      <c r="AI1425" s="85"/>
      <c r="AJ1425" s="85"/>
      <c r="AK1425" s="85"/>
      <c r="AL1425" s="85"/>
      <c r="AM1425" s="85"/>
      <c r="AN1425" s="88"/>
      <c r="AO1425" s="89"/>
      <c r="AP1425" s="90"/>
      <c r="AQ1425" s="90"/>
      <c r="AR1425" s="93"/>
      <c r="AS1425" s="94"/>
      <c r="AT1425" s="94"/>
      <c r="AU1425" s="94"/>
      <c r="AV1425" s="94"/>
      <c r="AW1425" s="94"/>
      <c r="AX1425" s="94"/>
      <c r="AY1425" s="94"/>
      <c r="AZ1425" s="94"/>
      <c r="BA1425" s="94"/>
      <c r="BB1425" s="94"/>
      <c r="BC1425" s="94"/>
      <c r="BD1425" s="94"/>
      <c r="BE1425" s="94"/>
      <c r="BF1425" s="94"/>
      <c r="BG1425" s="94"/>
      <c r="BH1425" s="94"/>
      <c r="BI1425" s="94"/>
      <c r="BJ1425" s="94"/>
      <c r="BK1425" s="94"/>
      <c r="BL1425" s="94"/>
      <c r="BM1425" s="94"/>
      <c r="BN1425" s="94"/>
      <c r="BO1425" s="94"/>
      <c r="BP1425" s="94"/>
      <c r="BQ1425" s="94"/>
    </row>
    <row r="1426">
      <c r="A1426" s="41">
        <v>61551.0</v>
      </c>
      <c r="B1426" s="33">
        <v>5.902280340805E12</v>
      </c>
      <c r="C1426" s="9" t="s">
        <v>2833</v>
      </c>
      <c r="D1426" s="15" t="s">
        <v>2825</v>
      </c>
      <c r="E1426" s="16">
        <v>2.1</v>
      </c>
      <c r="F1426" s="85"/>
      <c r="G1426" s="85"/>
      <c r="H1426" s="13"/>
      <c r="I1426" s="13"/>
      <c r="J1426" s="13"/>
      <c r="K1426" s="13"/>
      <c r="L1426" s="13"/>
      <c r="M1426" s="85"/>
      <c r="N1426" s="85"/>
      <c r="O1426" s="85"/>
      <c r="P1426" s="85"/>
      <c r="Q1426" s="13"/>
      <c r="R1426" s="13"/>
      <c r="S1426" s="13"/>
      <c r="T1426" s="85"/>
      <c r="U1426" s="85"/>
      <c r="V1426" s="85"/>
      <c r="W1426" s="86"/>
      <c r="X1426" s="87"/>
      <c r="Y1426" s="87"/>
      <c r="Z1426" s="85"/>
      <c r="AA1426" s="85"/>
      <c r="AB1426" s="87"/>
      <c r="AC1426" s="85"/>
      <c r="AD1426" s="85"/>
      <c r="AE1426" s="85"/>
      <c r="AF1426" s="85"/>
      <c r="AG1426" s="85"/>
      <c r="AH1426" s="85"/>
      <c r="AI1426" s="85"/>
      <c r="AJ1426" s="85"/>
      <c r="AK1426" s="85"/>
      <c r="AL1426" s="85"/>
      <c r="AM1426" s="85"/>
      <c r="AN1426" s="88"/>
      <c r="AO1426" s="89"/>
      <c r="AP1426" s="90"/>
      <c r="AQ1426" s="90"/>
      <c r="AR1426" s="90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</row>
    <row r="1427">
      <c r="A1427" s="41">
        <v>61552.0</v>
      </c>
      <c r="B1427" s="33">
        <v>5.902280340812E12</v>
      </c>
      <c r="C1427" s="9" t="s">
        <v>2834</v>
      </c>
      <c r="D1427" s="15" t="s">
        <v>2825</v>
      </c>
      <c r="E1427" s="16">
        <v>2.6</v>
      </c>
      <c r="F1427" s="85"/>
      <c r="G1427" s="85"/>
      <c r="H1427" s="13"/>
      <c r="I1427" s="13"/>
      <c r="J1427" s="13"/>
      <c r="K1427" s="13"/>
      <c r="L1427" s="13"/>
      <c r="M1427" s="85"/>
      <c r="N1427" s="85"/>
      <c r="O1427" s="85"/>
      <c r="P1427" s="85"/>
      <c r="Q1427" s="13"/>
      <c r="R1427" s="13"/>
      <c r="S1427" s="13"/>
      <c r="T1427" s="85"/>
      <c r="U1427" s="85"/>
      <c r="V1427" s="85"/>
      <c r="W1427" s="86"/>
      <c r="X1427" s="87"/>
      <c r="Y1427" s="87"/>
      <c r="Z1427" s="85"/>
      <c r="AA1427" s="85"/>
      <c r="AB1427" s="87"/>
      <c r="AC1427" s="85"/>
      <c r="AD1427" s="85"/>
      <c r="AE1427" s="85"/>
      <c r="AF1427" s="85"/>
      <c r="AG1427" s="85"/>
      <c r="AH1427" s="85"/>
      <c r="AI1427" s="85"/>
      <c r="AJ1427" s="85"/>
      <c r="AK1427" s="85"/>
      <c r="AL1427" s="85"/>
      <c r="AM1427" s="85"/>
      <c r="AN1427" s="88"/>
      <c r="AO1427" s="89"/>
      <c r="AP1427" s="90"/>
      <c r="AQ1427" s="90"/>
      <c r="AR1427" s="90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</row>
    <row r="1428">
      <c r="A1428" s="41">
        <v>61553.0</v>
      </c>
      <c r="B1428" s="33">
        <v>5.902280340829E12</v>
      </c>
      <c r="C1428" s="9" t="s">
        <v>2835</v>
      </c>
      <c r="D1428" s="15" t="s">
        <v>2825</v>
      </c>
      <c r="E1428" s="16">
        <v>2.6</v>
      </c>
      <c r="F1428" s="85"/>
      <c r="G1428" s="85"/>
      <c r="H1428" s="13"/>
      <c r="I1428" s="13"/>
      <c r="J1428" s="13"/>
      <c r="K1428" s="13"/>
      <c r="L1428" s="13"/>
      <c r="M1428" s="85"/>
      <c r="N1428" s="85"/>
      <c r="O1428" s="85"/>
      <c r="P1428" s="85"/>
      <c r="Q1428" s="13"/>
      <c r="R1428" s="13"/>
      <c r="S1428" s="13"/>
      <c r="T1428" s="85"/>
      <c r="U1428" s="85"/>
      <c r="V1428" s="85"/>
      <c r="W1428" s="86"/>
      <c r="X1428" s="87"/>
      <c r="Y1428" s="87"/>
      <c r="Z1428" s="85"/>
      <c r="AA1428" s="85"/>
      <c r="AB1428" s="87"/>
      <c r="AC1428" s="85"/>
      <c r="AD1428" s="85"/>
      <c r="AE1428" s="85"/>
      <c r="AF1428" s="85"/>
      <c r="AG1428" s="85"/>
      <c r="AH1428" s="85"/>
      <c r="AI1428" s="85"/>
      <c r="AJ1428" s="85"/>
      <c r="AK1428" s="85"/>
      <c r="AL1428" s="85"/>
      <c r="AM1428" s="85"/>
      <c r="AN1428" s="88"/>
      <c r="AO1428" s="89"/>
      <c r="AP1428" s="90"/>
      <c r="AQ1428" s="90"/>
      <c r="AR1428" s="90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</row>
    <row r="1429">
      <c r="A1429" s="41">
        <v>61554.0</v>
      </c>
      <c r="B1429" s="33">
        <v>5.902280340836E12</v>
      </c>
      <c r="C1429" s="9" t="s">
        <v>2836</v>
      </c>
      <c r="D1429" s="15" t="s">
        <v>2825</v>
      </c>
      <c r="E1429" s="16">
        <v>3.3</v>
      </c>
      <c r="F1429" s="85"/>
      <c r="G1429" s="85"/>
      <c r="H1429" s="13"/>
      <c r="I1429" s="13"/>
      <c r="J1429" s="13"/>
      <c r="K1429" s="13"/>
      <c r="L1429" s="13"/>
      <c r="M1429" s="85"/>
      <c r="N1429" s="85"/>
      <c r="O1429" s="85"/>
      <c r="P1429" s="85"/>
      <c r="Q1429" s="13"/>
      <c r="R1429" s="13"/>
      <c r="S1429" s="13"/>
      <c r="T1429" s="85"/>
      <c r="U1429" s="85"/>
      <c r="V1429" s="85"/>
      <c r="W1429" s="86"/>
      <c r="X1429" s="87"/>
      <c r="Y1429" s="87"/>
      <c r="Z1429" s="85"/>
      <c r="AA1429" s="85"/>
      <c r="AB1429" s="87"/>
      <c r="AC1429" s="85"/>
      <c r="AD1429" s="85"/>
      <c r="AE1429" s="85"/>
      <c r="AF1429" s="85"/>
      <c r="AG1429" s="85"/>
      <c r="AH1429" s="85"/>
      <c r="AI1429" s="85"/>
      <c r="AJ1429" s="85"/>
      <c r="AK1429" s="85"/>
      <c r="AL1429" s="85"/>
      <c r="AM1429" s="85"/>
      <c r="AN1429" s="88"/>
      <c r="AO1429" s="89"/>
      <c r="AP1429" s="90"/>
      <c r="AQ1429" s="90"/>
      <c r="AR1429" s="90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</row>
    <row r="1430">
      <c r="A1430" s="41">
        <v>61556.0</v>
      </c>
      <c r="B1430" s="33">
        <v>5.90228034085E12</v>
      </c>
      <c r="C1430" s="9" t="s">
        <v>2837</v>
      </c>
      <c r="D1430" s="15" t="s">
        <v>2825</v>
      </c>
      <c r="E1430" s="16">
        <v>4.0</v>
      </c>
      <c r="F1430" s="85"/>
      <c r="G1430" s="85"/>
      <c r="H1430" s="13"/>
      <c r="I1430" s="13"/>
      <c r="J1430" s="13"/>
      <c r="K1430" s="13"/>
      <c r="L1430" s="13"/>
      <c r="M1430" s="85"/>
      <c r="N1430" s="85"/>
      <c r="O1430" s="85"/>
      <c r="P1430" s="85"/>
      <c r="Q1430" s="13"/>
      <c r="R1430" s="13"/>
      <c r="S1430" s="13"/>
      <c r="T1430" s="85"/>
      <c r="U1430" s="85"/>
      <c r="V1430" s="85"/>
      <c r="W1430" s="86"/>
      <c r="X1430" s="87"/>
      <c r="Y1430" s="87"/>
      <c r="Z1430" s="85"/>
      <c r="AA1430" s="85"/>
      <c r="AB1430" s="87"/>
      <c r="AC1430" s="85"/>
      <c r="AD1430" s="85"/>
      <c r="AE1430" s="85"/>
      <c r="AF1430" s="85"/>
      <c r="AG1430" s="85"/>
      <c r="AH1430" s="85"/>
      <c r="AI1430" s="85"/>
      <c r="AJ1430" s="85"/>
      <c r="AK1430" s="85"/>
      <c r="AL1430" s="85"/>
      <c r="AM1430" s="85"/>
      <c r="AN1430" s="88"/>
      <c r="AO1430" s="89"/>
      <c r="AP1430" s="90"/>
      <c r="AQ1430" s="90"/>
      <c r="AR1430" s="90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</row>
    <row r="1431">
      <c r="A1431" s="41">
        <v>61557.0</v>
      </c>
      <c r="B1431" s="33">
        <v>5.902280340867E12</v>
      </c>
      <c r="C1431" s="9" t="s">
        <v>2838</v>
      </c>
      <c r="D1431" s="15" t="s">
        <v>2825</v>
      </c>
      <c r="E1431" s="16">
        <v>5.1</v>
      </c>
      <c r="F1431" s="85"/>
      <c r="G1431" s="85"/>
      <c r="H1431" s="13"/>
      <c r="I1431" s="13"/>
      <c r="J1431" s="13"/>
      <c r="K1431" s="13"/>
      <c r="L1431" s="13"/>
      <c r="M1431" s="85"/>
      <c r="N1431" s="85"/>
      <c r="O1431" s="85"/>
      <c r="P1431" s="85"/>
      <c r="Q1431" s="13"/>
      <c r="R1431" s="13"/>
      <c r="S1431" s="13"/>
      <c r="T1431" s="85"/>
      <c r="U1431" s="85"/>
      <c r="V1431" s="85"/>
      <c r="W1431" s="86"/>
      <c r="X1431" s="87"/>
      <c r="Y1431" s="87"/>
      <c r="Z1431" s="85"/>
      <c r="AA1431" s="85"/>
      <c r="AB1431" s="87"/>
      <c r="AC1431" s="85"/>
      <c r="AD1431" s="85"/>
      <c r="AE1431" s="85"/>
      <c r="AF1431" s="85"/>
      <c r="AG1431" s="85"/>
      <c r="AH1431" s="85"/>
      <c r="AI1431" s="85"/>
      <c r="AJ1431" s="85"/>
      <c r="AK1431" s="85"/>
      <c r="AL1431" s="85"/>
      <c r="AM1431" s="85"/>
      <c r="AN1431" s="88"/>
      <c r="AO1431" s="89"/>
      <c r="AP1431" s="90"/>
      <c r="AQ1431" s="90"/>
      <c r="AR1431" s="90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</row>
    <row r="1432">
      <c r="A1432" s="41">
        <v>61558.0</v>
      </c>
      <c r="B1432" s="33">
        <v>5.902280340874E12</v>
      </c>
      <c r="C1432" s="9" t="s">
        <v>2839</v>
      </c>
      <c r="D1432" s="15" t="s">
        <v>2825</v>
      </c>
      <c r="E1432" s="16">
        <v>6.2</v>
      </c>
      <c r="F1432" s="85"/>
      <c r="G1432" s="85"/>
      <c r="H1432" s="13"/>
      <c r="I1432" s="13"/>
      <c r="J1432" s="13"/>
      <c r="K1432" s="13"/>
      <c r="L1432" s="13"/>
      <c r="M1432" s="85"/>
      <c r="N1432" s="85"/>
      <c r="O1432" s="85"/>
      <c r="P1432" s="85"/>
      <c r="Q1432" s="13"/>
      <c r="R1432" s="13"/>
      <c r="S1432" s="13"/>
      <c r="T1432" s="85"/>
      <c r="U1432" s="85"/>
      <c r="V1432" s="85"/>
      <c r="W1432" s="86"/>
      <c r="X1432" s="87"/>
      <c r="Y1432" s="87"/>
      <c r="Z1432" s="85"/>
      <c r="AA1432" s="85"/>
      <c r="AB1432" s="87"/>
      <c r="AC1432" s="85"/>
      <c r="AD1432" s="85"/>
      <c r="AE1432" s="85"/>
      <c r="AF1432" s="85"/>
      <c r="AG1432" s="85"/>
      <c r="AH1432" s="85"/>
      <c r="AI1432" s="85"/>
      <c r="AJ1432" s="85"/>
      <c r="AK1432" s="85"/>
      <c r="AL1432" s="85"/>
      <c r="AM1432" s="85"/>
      <c r="AN1432" s="88"/>
      <c r="AO1432" s="89"/>
      <c r="AP1432" s="90"/>
      <c r="AQ1432" s="90"/>
      <c r="AR1432" s="90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</row>
    <row r="1433">
      <c r="A1433" s="41">
        <v>61559.0</v>
      </c>
      <c r="B1433" s="33">
        <v>5.902280340881E12</v>
      </c>
      <c r="C1433" s="9" t="s">
        <v>2840</v>
      </c>
      <c r="D1433" s="15" t="s">
        <v>2825</v>
      </c>
      <c r="E1433" s="16">
        <v>7.2</v>
      </c>
      <c r="F1433" s="85"/>
      <c r="G1433" s="85"/>
      <c r="H1433" s="13"/>
      <c r="I1433" s="13"/>
      <c r="J1433" s="13"/>
      <c r="K1433" s="13"/>
      <c r="L1433" s="13"/>
      <c r="M1433" s="85"/>
      <c r="N1433" s="85"/>
      <c r="O1433" s="85"/>
      <c r="P1433" s="85"/>
      <c r="Q1433" s="13"/>
      <c r="R1433" s="13"/>
      <c r="S1433" s="13"/>
      <c r="T1433" s="85"/>
      <c r="U1433" s="85"/>
      <c r="V1433" s="85"/>
      <c r="W1433" s="86"/>
      <c r="X1433" s="87"/>
      <c r="Y1433" s="87"/>
      <c r="Z1433" s="85"/>
      <c r="AA1433" s="85"/>
      <c r="AB1433" s="87"/>
      <c r="AC1433" s="85"/>
      <c r="AD1433" s="85"/>
      <c r="AE1433" s="85"/>
      <c r="AF1433" s="85"/>
      <c r="AG1433" s="85"/>
      <c r="AH1433" s="85"/>
      <c r="AI1433" s="85"/>
      <c r="AJ1433" s="85"/>
      <c r="AK1433" s="85"/>
      <c r="AL1433" s="85"/>
      <c r="AM1433" s="85"/>
      <c r="AN1433" s="88"/>
      <c r="AO1433" s="89"/>
      <c r="AP1433" s="90"/>
      <c r="AQ1433" s="90"/>
      <c r="AR1433" s="90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</row>
    <row r="1434">
      <c r="A1434" s="41">
        <v>159.0</v>
      </c>
      <c r="B1434" s="33">
        <v>5.902280305255E12</v>
      </c>
      <c r="C1434" s="9" t="s">
        <v>2841</v>
      </c>
      <c r="D1434" s="15" t="s">
        <v>2842</v>
      </c>
      <c r="E1434" s="16">
        <v>7.4</v>
      </c>
      <c r="F1434" s="85"/>
      <c r="G1434" s="85"/>
      <c r="H1434" s="13"/>
      <c r="I1434" s="13"/>
      <c r="J1434" s="13"/>
      <c r="K1434" s="13"/>
      <c r="L1434" s="13"/>
      <c r="M1434" s="85"/>
      <c r="N1434" s="85"/>
      <c r="O1434" s="85"/>
      <c r="P1434" s="85"/>
      <c r="Q1434" s="13"/>
      <c r="R1434" s="13"/>
      <c r="S1434" s="13"/>
      <c r="T1434" s="85"/>
      <c r="U1434" s="85"/>
      <c r="V1434" s="85"/>
      <c r="W1434" s="86"/>
      <c r="X1434" s="87"/>
      <c r="Y1434" s="87"/>
      <c r="Z1434" s="85"/>
      <c r="AA1434" s="85"/>
      <c r="AB1434" s="87"/>
      <c r="AC1434" s="85"/>
      <c r="AD1434" s="85"/>
      <c r="AE1434" s="85"/>
      <c r="AF1434" s="85"/>
      <c r="AG1434" s="85"/>
      <c r="AH1434" s="85"/>
      <c r="AI1434" s="85"/>
      <c r="AJ1434" s="85"/>
      <c r="AK1434" s="85"/>
      <c r="AL1434" s="85"/>
      <c r="AM1434" s="85"/>
      <c r="AN1434" s="88"/>
      <c r="AO1434" s="89"/>
      <c r="AP1434" s="90"/>
      <c r="AQ1434" s="90"/>
      <c r="AR1434" s="90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</row>
    <row r="1435">
      <c r="A1435" s="41">
        <v>274.0</v>
      </c>
      <c r="B1435" s="33">
        <v>5.902280305323E12</v>
      </c>
      <c r="C1435" s="9" t="s">
        <v>2843</v>
      </c>
      <c r="D1435" s="15" t="s">
        <v>2842</v>
      </c>
      <c r="E1435" s="16">
        <v>7.6</v>
      </c>
      <c r="F1435" s="85"/>
      <c r="G1435" s="85"/>
      <c r="H1435" s="13"/>
      <c r="I1435" s="13"/>
      <c r="J1435" s="13"/>
      <c r="K1435" s="13"/>
      <c r="L1435" s="13"/>
      <c r="M1435" s="85"/>
      <c r="N1435" s="85"/>
      <c r="O1435" s="85"/>
      <c r="P1435" s="85"/>
      <c r="Q1435" s="13"/>
      <c r="R1435" s="13"/>
      <c r="S1435" s="13"/>
      <c r="T1435" s="85"/>
      <c r="U1435" s="85"/>
      <c r="V1435" s="85"/>
      <c r="W1435" s="86"/>
      <c r="X1435" s="87"/>
      <c r="Y1435" s="87"/>
      <c r="Z1435" s="85"/>
      <c r="AA1435" s="85"/>
      <c r="AB1435" s="87"/>
      <c r="AC1435" s="85"/>
      <c r="AD1435" s="85"/>
      <c r="AE1435" s="85"/>
      <c r="AF1435" s="85"/>
      <c r="AG1435" s="85"/>
      <c r="AH1435" s="85"/>
      <c r="AI1435" s="85"/>
      <c r="AJ1435" s="85"/>
      <c r="AK1435" s="85"/>
      <c r="AL1435" s="85"/>
      <c r="AM1435" s="85"/>
      <c r="AN1435" s="88"/>
      <c r="AO1435" s="89"/>
      <c r="AP1435" s="90"/>
      <c r="AQ1435" s="90"/>
      <c r="AR1435" s="90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</row>
    <row r="1436">
      <c r="A1436" s="41">
        <v>195.0</v>
      </c>
      <c r="B1436" s="33">
        <v>5.902280305354E12</v>
      </c>
      <c r="C1436" s="9" t="s">
        <v>2844</v>
      </c>
      <c r="D1436" s="15" t="s">
        <v>2842</v>
      </c>
      <c r="E1436" s="16">
        <v>8.2</v>
      </c>
      <c r="F1436" s="85"/>
      <c r="G1436" s="85"/>
      <c r="H1436" s="13"/>
      <c r="I1436" s="13"/>
      <c r="J1436" s="13"/>
      <c r="K1436" s="13"/>
      <c r="L1436" s="13"/>
      <c r="M1436" s="85"/>
      <c r="N1436" s="85"/>
      <c r="O1436" s="85"/>
      <c r="P1436" s="85"/>
      <c r="Q1436" s="13"/>
      <c r="R1436" s="13"/>
      <c r="S1436" s="13"/>
      <c r="T1436" s="85"/>
      <c r="U1436" s="85"/>
      <c r="V1436" s="85"/>
      <c r="W1436" s="86"/>
      <c r="X1436" s="87"/>
      <c r="Y1436" s="87"/>
      <c r="Z1436" s="85"/>
      <c r="AA1436" s="85"/>
      <c r="AB1436" s="87"/>
      <c r="AC1436" s="85"/>
      <c r="AD1436" s="85"/>
      <c r="AE1436" s="85"/>
      <c r="AF1436" s="85"/>
      <c r="AG1436" s="85"/>
      <c r="AH1436" s="85"/>
      <c r="AI1436" s="85"/>
      <c r="AJ1436" s="85"/>
      <c r="AK1436" s="85"/>
      <c r="AL1436" s="85"/>
      <c r="AM1436" s="85"/>
      <c r="AN1436" s="88"/>
      <c r="AO1436" s="89"/>
      <c r="AP1436" s="90"/>
      <c r="AQ1436" s="90"/>
      <c r="AR1436" s="90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</row>
    <row r="1437">
      <c r="A1437" s="41">
        <v>61513.0</v>
      </c>
      <c r="B1437" s="33">
        <v>5.902280319115E12</v>
      </c>
      <c r="C1437" s="9" t="s">
        <v>2845</v>
      </c>
      <c r="D1437" s="15" t="s">
        <v>2842</v>
      </c>
      <c r="E1437" s="16">
        <v>10.6</v>
      </c>
      <c r="F1437" s="85"/>
      <c r="G1437" s="85"/>
      <c r="H1437" s="13"/>
      <c r="I1437" s="13"/>
      <c r="J1437" s="13"/>
      <c r="K1437" s="13"/>
      <c r="L1437" s="13"/>
      <c r="M1437" s="85"/>
      <c r="N1437" s="85"/>
      <c r="O1437" s="85"/>
      <c r="P1437" s="85"/>
      <c r="Q1437" s="13"/>
      <c r="R1437" s="13"/>
      <c r="S1437" s="13"/>
      <c r="T1437" s="85"/>
      <c r="U1437" s="85"/>
      <c r="V1437" s="85"/>
      <c r="W1437" s="86"/>
      <c r="X1437" s="87"/>
      <c r="Y1437" s="87"/>
      <c r="Z1437" s="85"/>
      <c r="AA1437" s="85"/>
      <c r="AB1437" s="87"/>
      <c r="AC1437" s="85"/>
      <c r="AD1437" s="85"/>
      <c r="AE1437" s="85"/>
      <c r="AF1437" s="85"/>
      <c r="AG1437" s="85"/>
      <c r="AH1437" s="85"/>
      <c r="AI1437" s="85"/>
      <c r="AJ1437" s="85"/>
      <c r="AK1437" s="85"/>
      <c r="AL1437" s="85"/>
      <c r="AM1437" s="85"/>
      <c r="AN1437" s="88"/>
      <c r="AO1437" s="89"/>
      <c r="AP1437" s="90"/>
      <c r="AQ1437" s="90"/>
      <c r="AR1437" s="90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</row>
    <row r="1438">
      <c r="A1438" s="41">
        <v>160.0</v>
      </c>
      <c r="B1438" s="33">
        <v>5.902280305262E12</v>
      </c>
      <c r="C1438" s="9" t="s">
        <v>2846</v>
      </c>
      <c r="D1438" s="15" t="s">
        <v>2842</v>
      </c>
      <c r="E1438" s="16">
        <v>7.9</v>
      </c>
      <c r="F1438" s="85"/>
      <c r="G1438" s="85"/>
      <c r="H1438" s="13"/>
      <c r="I1438" s="13"/>
      <c r="J1438" s="13"/>
      <c r="K1438" s="13"/>
      <c r="L1438" s="13"/>
      <c r="M1438" s="85"/>
      <c r="N1438" s="85"/>
      <c r="O1438" s="85"/>
      <c r="P1438" s="85"/>
      <c r="Q1438" s="13"/>
      <c r="R1438" s="13"/>
      <c r="S1438" s="13"/>
      <c r="T1438" s="85"/>
      <c r="U1438" s="85"/>
      <c r="V1438" s="85"/>
      <c r="W1438" s="86"/>
      <c r="X1438" s="87"/>
      <c r="Y1438" s="87"/>
      <c r="Z1438" s="85"/>
      <c r="AA1438" s="85"/>
      <c r="AB1438" s="87"/>
      <c r="AC1438" s="85"/>
      <c r="AD1438" s="85"/>
      <c r="AE1438" s="85"/>
      <c r="AF1438" s="85"/>
      <c r="AG1438" s="85"/>
      <c r="AH1438" s="85"/>
      <c r="AI1438" s="85"/>
      <c r="AJ1438" s="85"/>
      <c r="AK1438" s="85"/>
      <c r="AL1438" s="85"/>
      <c r="AM1438" s="85"/>
      <c r="AN1438" s="88"/>
      <c r="AO1438" s="89"/>
      <c r="AP1438" s="90"/>
      <c r="AQ1438" s="90"/>
      <c r="AR1438" s="90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</row>
    <row r="1439">
      <c r="A1439" s="41">
        <v>61567.0</v>
      </c>
      <c r="B1439" s="33">
        <v>5.902280348061E12</v>
      </c>
      <c r="C1439" s="9" t="s">
        <v>2847</v>
      </c>
      <c r="D1439" s="15" t="s">
        <v>2842</v>
      </c>
      <c r="E1439" s="16">
        <v>15.2</v>
      </c>
      <c r="F1439" s="85"/>
      <c r="G1439" s="85"/>
      <c r="H1439" s="13"/>
      <c r="I1439" s="13"/>
      <c r="J1439" s="13"/>
      <c r="K1439" s="13"/>
      <c r="L1439" s="13"/>
      <c r="M1439" s="85"/>
      <c r="N1439" s="85"/>
      <c r="O1439" s="85"/>
      <c r="P1439" s="85"/>
      <c r="Q1439" s="13"/>
      <c r="R1439" s="13"/>
      <c r="S1439" s="13"/>
      <c r="T1439" s="85"/>
      <c r="U1439" s="85"/>
      <c r="V1439" s="85"/>
      <c r="W1439" s="86"/>
      <c r="X1439" s="87"/>
      <c r="Y1439" s="87"/>
      <c r="Z1439" s="85"/>
      <c r="AA1439" s="85"/>
      <c r="AB1439" s="87"/>
      <c r="AC1439" s="85"/>
      <c r="AD1439" s="85"/>
      <c r="AE1439" s="85"/>
      <c r="AF1439" s="85"/>
      <c r="AG1439" s="85"/>
      <c r="AH1439" s="85"/>
      <c r="AI1439" s="85"/>
      <c r="AJ1439" s="85"/>
      <c r="AK1439" s="85"/>
      <c r="AL1439" s="85"/>
      <c r="AM1439" s="85"/>
      <c r="AN1439" s="88"/>
      <c r="AO1439" s="89"/>
      <c r="AP1439" s="90"/>
      <c r="AQ1439" s="90"/>
      <c r="AR1439" s="90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</row>
    <row r="1440">
      <c r="A1440" s="41">
        <v>61526.0</v>
      </c>
      <c r="B1440" s="33">
        <v>5.902280332039E12</v>
      </c>
      <c r="C1440" s="9" t="s">
        <v>2848</v>
      </c>
      <c r="D1440" s="59"/>
      <c r="E1440" s="16">
        <v>22.7</v>
      </c>
      <c r="F1440" s="85"/>
      <c r="G1440" s="85"/>
      <c r="H1440" s="13"/>
      <c r="I1440" s="13"/>
      <c r="J1440" s="13"/>
      <c r="K1440" s="13"/>
      <c r="L1440" s="13"/>
      <c r="M1440" s="85"/>
      <c r="N1440" s="85"/>
      <c r="O1440" s="85"/>
      <c r="P1440" s="85"/>
      <c r="Q1440" s="13"/>
      <c r="R1440" s="13"/>
      <c r="S1440" s="13"/>
      <c r="T1440" s="85"/>
      <c r="U1440" s="85"/>
      <c r="V1440" s="85"/>
      <c r="W1440" s="86"/>
      <c r="X1440" s="87"/>
      <c r="Y1440" s="87"/>
      <c r="Z1440" s="85"/>
      <c r="AA1440" s="85"/>
      <c r="AB1440" s="87"/>
      <c r="AC1440" s="85"/>
      <c r="AD1440" s="85"/>
      <c r="AE1440" s="85"/>
      <c r="AF1440" s="85"/>
      <c r="AG1440" s="85"/>
      <c r="AH1440" s="85"/>
      <c r="AI1440" s="85"/>
      <c r="AJ1440" s="85"/>
      <c r="AK1440" s="85"/>
      <c r="AL1440" s="85"/>
      <c r="AM1440" s="85"/>
      <c r="AN1440" s="88"/>
      <c r="AO1440" s="89"/>
      <c r="AP1440" s="90"/>
      <c r="AQ1440" s="90"/>
      <c r="AR1440" s="90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</row>
    <row r="1441">
      <c r="A1441" s="41">
        <v>61519.0</v>
      </c>
      <c r="B1441" s="33">
        <v>5.902280319061E12</v>
      </c>
      <c r="C1441" s="9" t="s">
        <v>2849</v>
      </c>
      <c r="D1441" s="59"/>
      <c r="E1441" s="16">
        <v>7.0</v>
      </c>
      <c r="F1441" s="85"/>
      <c r="G1441" s="85"/>
      <c r="H1441" s="13"/>
      <c r="I1441" s="13"/>
      <c r="J1441" s="13"/>
      <c r="K1441" s="13"/>
      <c r="L1441" s="13"/>
      <c r="M1441" s="85"/>
      <c r="N1441" s="85"/>
      <c r="O1441" s="85"/>
      <c r="P1441" s="85"/>
      <c r="Q1441" s="13"/>
      <c r="R1441" s="13"/>
      <c r="S1441" s="13"/>
      <c r="T1441" s="85"/>
      <c r="U1441" s="85"/>
      <c r="V1441" s="85"/>
      <c r="W1441" s="86"/>
      <c r="X1441" s="87"/>
      <c r="Y1441" s="87"/>
      <c r="Z1441" s="85"/>
      <c r="AA1441" s="85"/>
      <c r="AB1441" s="87"/>
      <c r="AC1441" s="85"/>
      <c r="AD1441" s="85"/>
      <c r="AE1441" s="85"/>
      <c r="AF1441" s="85"/>
      <c r="AG1441" s="85"/>
      <c r="AH1441" s="85"/>
      <c r="AI1441" s="85"/>
      <c r="AJ1441" s="85"/>
      <c r="AK1441" s="85"/>
      <c r="AL1441" s="85"/>
      <c r="AM1441" s="85"/>
      <c r="AN1441" s="88"/>
      <c r="AO1441" s="89"/>
      <c r="AP1441" s="90"/>
      <c r="AQ1441" s="90"/>
      <c r="AR1441" s="90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</row>
    <row r="1442">
      <c r="A1442" s="41">
        <v>244.0</v>
      </c>
      <c r="B1442" s="33">
        <v>5.902280305309E12</v>
      </c>
      <c r="C1442" s="9" t="s">
        <v>2850</v>
      </c>
      <c r="D1442" s="15" t="s">
        <v>2851</v>
      </c>
      <c r="E1442" s="16">
        <v>7.9</v>
      </c>
      <c r="F1442" s="85"/>
      <c r="G1442" s="85"/>
      <c r="H1442" s="13"/>
      <c r="I1442" s="13"/>
      <c r="J1442" s="13"/>
      <c r="K1442" s="13"/>
      <c r="L1442" s="13"/>
      <c r="M1442" s="85"/>
      <c r="N1442" s="85"/>
      <c r="O1442" s="85"/>
      <c r="P1442" s="85"/>
      <c r="Q1442" s="13"/>
      <c r="R1442" s="13"/>
      <c r="S1442" s="13"/>
      <c r="T1442" s="85"/>
      <c r="U1442" s="85"/>
      <c r="V1442" s="85"/>
      <c r="W1442" s="86"/>
      <c r="X1442" s="87"/>
      <c r="Y1442" s="87"/>
      <c r="Z1442" s="85"/>
      <c r="AA1442" s="85"/>
      <c r="AB1442" s="87"/>
      <c r="AC1442" s="85"/>
      <c r="AD1442" s="85"/>
      <c r="AE1442" s="85"/>
      <c r="AF1442" s="85"/>
      <c r="AG1442" s="85"/>
      <c r="AH1442" s="85"/>
      <c r="AI1442" s="85"/>
      <c r="AJ1442" s="85"/>
      <c r="AK1442" s="85"/>
      <c r="AL1442" s="85"/>
      <c r="AM1442" s="85"/>
      <c r="AN1442" s="88"/>
      <c r="AO1442" s="89"/>
      <c r="AP1442" s="90"/>
      <c r="AQ1442" s="90"/>
      <c r="AR1442" s="90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</row>
    <row r="1443">
      <c r="A1443" s="41">
        <v>61564.0</v>
      </c>
      <c r="B1443" s="33">
        <v>4.044773474978E12</v>
      </c>
      <c r="C1443" s="9" t="s">
        <v>2852</v>
      </c>
      <c r="D1443" s="15" t="s">
        <v>2851</v>
      </c>
      <c r="E1443" s="16">
        <v>13.2</v>
      </c>
      <c r="F1443" s="85"/>
      <c r="G1443" s="85"/>
      <c r="H1443" s="13"/>
      <c r="I1443" s="13"/>
      <c r="J1443" s="13"/>
      <c r="K1443" s="13"/>
      <c r="L1443" s="13"/>
      <c r="M1443" s="85"/>
      <c r="N1443" s="85"/>
      <c r="O1443" s="85"/>
      <c r="P1443" s="85"/>
      <c r="Q1443" s="13"/>
      <c r="R1443" s="13"/>
      <c r="S1443" s="13"/>
      <c r="T1443" s="85"/>
      <c r="U1443" s="85"/>
      <c r="V1443" s="85"/>
      <c r="W1443" s="86"/>
      <c r="X1443" s="87"/>
      <c r="Y1443" s="87"/>
      <c r="Z1443" s="85"/>
      <c r="AA1443" s="85"/>
      <c r="AB1443" s="87"/>
      <c r="AC1443" s="85"/>
      <c r="AD1443" s="85"/>
      <c r="AE1443" s="85"/>
      <c r="AF1443" s="85"/>
      <c r="AG1443" s="85"/>
      <c r="AH1443" s="85"/>
      <c r="AI1443" s="85"/>
      <c r="AJ1443" s="85"/>
      <c r="AK1443" s="85"/>
      <c r="AL1443" s="85"/>
      <c r="AM1443" s="85"/>
      <c r="AN1443" s="88"/>
      <c r="AO1443" s="89"/>
      <c r="AP1443" s="90"/>
      <c r="AQ1443" s="90"/>
      <c r="AR1443" s="90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</row>
    <row r="1444">
      <c r="A1444" s="41">
        <v>61565.0</v>
      </c>
      <c r="B1444" s="33">
        <v>4.044773505764E12</v>
      </c>
      <c r="C1444" s="9" t="s">
        <v>2853</v>
      </c>
      <c r="D1444" s="15" t="s">
        <v>2851</v>
      </c>
      <c r="E1444" s="16">
        <v>12.7</v>
      </c>
      <c r="F1444" s="85"/>
      <c r="G1444" s="85"/>
      <c r="H1444" s="13"/>
      <c r="I1444" s="13"/>
      <c r="J1444" s="13"/>
      <c r="K1444" s="13"/>
      <c r="L1444" s="13"/>
      <c r="M1444" s="85"/>
      <c r="N1444" s="85"/>
      <c r="O1444" s="85"/>
      <c r="P1444" s="85"/>
      <c r="Q1444" s="13"/>
      <c r="R1444" s="13"/>
      <c r="S1444" s="13"/>
      <c r="T1444" s="85"/>
      <c r="U1444" s="85"/>
      <c r="V1444" s="85"/>
      <c r="W1444" s="86"/>
      <c r="X1444" s="87"/>
      <c r="Y1444" s="87"/>
      <c r="Z1444" s="85"/>
      <c r="AA1444" s="85"/>
      <c r="AB1444" s="87"/>
      <c r="AC1444" s="85"/>
      <c r="AD1444" s="85"/>
      <c r="AE1444" s="85"/>
      <c r="AF1444" s="85"/>
      <c r="AG1444" s="85"/>
      <c r="AH1444" s="85"/>
      <c r="AI1444" s="85"/>
      <c r="AJ1444" s="85"/>
      <c r="AK1444" s="85"/>
      <c r="AL1444" s="85"/>
      <c r="AM1444" s="85"/>
      <c r="AN1444" s="88"/>
      <c r="AO1444" s="89"/>
      <c r="AP1444" s="90"/>
      <c r="AQ1444" s="90"/>
      <c r="AR1444" s="90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</row>
    <row r="1445">
      <c r="A1445" s="25">
        <v>24053.0</v>
      </c>
      <c r="B1445" s="33">
        <v>5.906660789741E12</v>
      </c>
      <c r="C1445" s="9" t="s">
        <v>2854</v>
      </c>
      <c r="D1445" s="15" t="s">
        <v>2855</v>
      </c>
      <c r="E1445" s="16">
        <v>58.4</v>
      </c>
      <c r="F1445" s="85"/>
      <c r="G1445" s="85"/>
      <c r="H1445" s="13"/>
      <c r="I1445" s="13"/>
      <c r="J1445" s="13"/>
      <c r="K1445" s="13"/>
      <c r="L1445" s="13"/>
      <c r="M1445" s="85"/>
      <c r="N1445" s="85"/>
      <c r="O1445" s="85"/>
      <c r="P1445" s="85"/>
      <c r="Q1445" s="13"/>
      <c r="R1445" s="13"/>
      <c r="S1445" s="13"/>
      <c r="T1445" s="85"/>
      <c r="U1445" s="85"/>
      <c r="V1445" s="85"/>
      <c r="W1445" s="86"/>
      <c r="X1445" s="87"/>
      <c r="Y1445" s="87"/>
      <c r="Z1445" s="85"/>
      <c r="AA1445" s="85"/>
      <c r="AB1445" s="87"/>
      <c r="AC1445" s="85"/>
      <c r="AD1445" s="85"/>
      <c r="AE1445" s="85"/>
      <c r="AF1445" s="85"/>
      <c r="AG1445" s="85"/>
      <c r="AH1445" s="85"/>
      <c r="AI1445" s="85"/>
      <c r="AJ1445" s="85"/>
      <c r="AK1445" s="85"/>
      <c r="AL1445" s="85"/>
      <c r="AM1445" s="85"/>
      <c r="AN1445" s="88"/>
      <c r="AO1445" s="89"/>
      <c r="AP1445" s="90"/>
      <c r="AQ1445" s="90"/>
      <c r="AR1445" s="90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</row>
    <row r="1446">
      <c r="A1446" s="25">
        <v>24025.0</v>
      </c>
      <c r="B1446" s="33">
        <v>5.906660789376E12</v>
      </c>
      <c r="C1446" s="9" t="s">
        <v>2856</v>
      </c>
      <c r="D1446" s="15" t="s">
        <v>2857</v>
      </c>
      <c r="E1446" s="16">
        <v>15.5</v>
      </c>
      <c r="F1446" s="85"/>
      <c r="G1446" s="85"/>
      <c r="H1446" s="13"/>
      <c r="I1446" s="13"/>
      <c r="J1446" s="13"/>
      <c r="K1446" s="13"/>
      <c r="L1446" s="13"/>
      <c r="M1446" s="85"/>
      <c r="N1446" s="85"/>
      <c r="O1446" s="85"/>
      <c r="P1446" s="85"/>
      <c r="Q1446" s="13"/>
      <c r="R1446" s="13"/>
      <c r="S1446" s="13"/>
      <c r="T1446" s="85"/>
      <c r="U1446" s="85"/>
      <c r="V1446" s="85"/>
      <c r="W1446" s="86"/>
      <c r="X1446" s="87"/>
      <c r="Y1446" s="87"/>
      <c r="Z1446" s="85"/>
      <c r="AA1446" s="85"/>
      <c r="AB1446" s="87"/>
      <c r="AC1446" s="85"/>
      <c r="AD1446" s="85"/>
      <c r="AE1446" s="85"/>
      <c r="AF1446" s="85"/>
      <c r="AG1446" s="85"/>
      <c r="AH1446" s="85"/>
      <c r="AI1446" s="85"/>
      <c r="AJ1446" s="85"/>
      <c r="AK1446" s="85"/>
      <c r="AL1446" s="85"/>
      <c r="AM1446" s="85"/>
      <c r="AN1446" s="88"/>
      <c r="AO1446" s="89"/>
      <c r="AP1446" s="90"/>
      <c r="AQ1446" s="90"/>
      <c r="AR1446" s="90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</row>
    <row r="1447">
      <c r="A1447" s="25">
        <v>24163.0</v>
      </c>
      <c r="B1447" s="33">
        <v>5.902280321521E12</v>
      </c>
      <c r="C1447" s="9" t="s">
        <v>2858</v>
      </c>
      <c r="D1447" s="15" t="s">
        <v>2082</v>
      </c>
      <c r="E1447" s="16">
        <v>4.4</v>
      </c>
      <c r="F1447" s="85"/>
      <c r="G1447" s="85"/>
      <c r="H1447" s="13"/>
      <c r="I1447" s="13"/>
      <c r="J1447" s="13"/>
      <c r="K1447" s="13"/>
      <c r="L1447" s="13"/>
      <c r="M1447" s="85"/>
      <c r="N1447" s="85"/>
      <c r="O1447" s="85"/>
      <c r="P1447" s="85"/>
      <c r="Q1447" s="13"/>
      <c r="R1447" s="13"/>
      <c r="S1447" s="13"/>
      <c r="T1447" s="85"/>
      <c r="U1447" s="85"/>
      <c r="V1447" s="85"/>
      <c r="W1447" s="86"/>
      <c r="X1447" s="87"/>
      <c r="Y1447" s="87"/>
      <c r="Z1447" s="85"/>
      <c r="AA1447" s="85"/>
      <c r="AB1447" s="87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8"/>
      <c r="AO1447" s="89"/>
      <c r="AP1447" s="90"/>
      <c r="AQ1447" s="90"/>
      <c r="AR1447" s="90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</row>
    <row r="1448">
      <c r="A1448" s="25">
        <v>24131.0</v>
      </c>
      <c r="B1448" s="33">
        <v>5.902280304661E12</v>
      </c>
      <c r="C1448" s="9" t="s">
        <v>2859</v>
      </c>
      <c r="D1448" s="15" t="s">
        <v>2860</v>
      </c>
      <c r="E1448" s="16">
        <v>5.2</v>
      </c>
      <c r="F1448" s="85"/>
      <c r="G1448" s="85"/>
      <c r="H1448" s="13"/>
      <c r="I1448" s="13"/>
      <c r="J1448" s="13"/>
      <c r="K1448" s="13"/>
      <c r="L1448" s="13"/>
      <c r="M1448" s="85"/>
      <c r="N1448" s="85"/>
      <c r="O1448" s="85"/>
      <c r="P1448" s="85"/>
      <c r="Q1448" s="13"/>
      <c r="R1448" s="13"/>
      <c r="S1448" s="13"/>
      <c r="T1448" s="85"/>
      <c r="U1448" s="85"/>
      <c r="V1448" s="85"/>
      <c r="W1448" s="86"/>
      <c r="X1448" s="87"/>
      <c r="Y1448" s="87"/>
      <c r="Z1448" s="85"/>
      <c r="AA1448" s="85"/>
      <c r="AB1448" s="87"/>
      <c r="AC1448" s="85"/>
      <c r="AD1448" s="85"/>
      <c r="AE1448" s="85"/>
      <c r="AF1448" s="85"/>
      <c r="AG1448" s="85"/>
      <c r="AH1448" s="85"/>
      <c r="AI1448" s="85"/>
      <c r="AJ1448" s="85"/>
      <c r="AK1448" s="85"/>
      <c r="AL1448" s="85"/>
      <c r="AM1448" s="85"/>
      <c r="AN1448" s="88"/>
      <c r="AO1448" s="89"/>
      <c r="AP1448" s="90"/>
      <c r="AQ1448" s="90"/>
      <c r="AR1448" s="90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</row>
    <row r="1449">
      <c r="A1449" s="25">
        <v>24372.0</v>
      </c>
      <c r="B1449" s="33">
        <v>5.902280335979E12</v>
      </c>
      <c r="C1449" s="9" t="s">
        <v>2861</v>
      </c>
      <c r="D1449" s="15" t="s">
        <v>2862</v>
      </c>
      <c r="E1449" s="16">
        <v>6.6</v>
      </c>
      <c r="F1449" s="85"/>
      <c r="G1449" s="85"/>
      <c r="H1449" s="13"/>
      <c r="I1449" s="13"/>
      <c r="J1449" s="13"/>
      <c r="K1449" s="13"/>
      <c r="L1449" s="13"/>
      <c r="M1449" s="85"/>
      <c r="N1449" s="85"/>
      <c r="O1449" s="85"/>
      <c r="P1449" s="85"/>
      <c r="Q1449" s="13"/>
      <c r="R1449" s="13"/>
      <c r="S1449" s="13"/>
      <c r="T1449" s="85"/>
      <c r="U1449" s="85"/>
      <c r="V1449" s="85"/>
      <c r="W1449" s="86"/>
      <c r="X1449" s="87"/>
      <c r="Y1449" s="87"/>
      <c r="Z1449" s="85"/>
      <c r="AA1449" s="85"/>
      <c r="AB1449" s="87"/>
      <c r="AC1449" s="85"/>
      <c r="AD1449" s="85"/>
      <c r="AE1449" s="85"/>
      <c r="AF1449" s="85"/>
      <c r="AG1449" s="85"/>
      <c r="AH1449" s="85"/>
      <c r="AI1449" s="85"/>
      <c r="AJ1449" s="85"/>
      <c r="AK1449" s="85"/>
      <c r="AL1449" s="85"/>
      <c r="AM1449" s="85"/>
      <c r="AN1449" s="88"/>
      <c r="AO1449" s="89"/>
      <c r="AP1449" s="90"/>
      <c r="AQ1449" s="90"/>
      <c r="AR1449" s="90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</row>
    <row r="1450">
      <c r="A1450" s="25">
        <v>24386.0</v>
      </c>
      <c r="B1450" s="33">
        <v>5.902280338284E12</v>
      </c>
      <c r="C1450" s="9" t="s">
        <v>2863</v>
      </c>
      <c r="D1450" s="15" t="s">
        <v>2862</v>
      </c>
      <c r="E1450" s="16">
        <v>6.6</v>
      </c>
      <c r="F1450" s="85"/>
      <c r="G1450" s="85"/>
      <c r="H1450" s="13"/>
      <c r="I1450" s="13"/>
      <c r="J1450" s="13"/>
      <c r="K1450" s="13"/>
      <c r="L1450" s="13"/>
      <c r="M1450" s="85"/>
      <c r="N1450" s="85"/>
      <c r="O1450" s="85"/>
      <c r="P1450" s="85"/>
      <c r="Q1450" s="13"/>
      <c r="R1450" s="13"/>
      <c r="S1450" s="13"/>
      <c r="T1450" s="85"/>
      <c r="U1450" s="85"/>
      <c r="V1450" s="85"/>
      <c r="W1450" s="86"/>
      <c r="X1450" s="87"/>
      <c r="Y1450" s="87"/>
      <c r="Z1450" s="85"/>
      <c r="AA1450" s="85"/>
      <c r="AB1450" s="87"/>
      <c r="AC1450" s="85"/>
      <c r="AD1450" s="85"/>
      <c r="AE1450" s="85"/>
      <c r="AF1450" s="85"/>
      <c r="AG1450" s="85"/>
      <c r="AH1450" s="85"/>
      <c r="AI1450" s="85"/>
      <c r="AJ1450" s="85"/>
      <c r="AK1450" s="85"/>
      <c r="AL1450" s="85"/>
      <c r="AM1450" s="85"/>
      <c r="AN1450" s="88"/>
      <c r="AO1450" s="89"/>
      <c r="AP1450" s="90"/>
      <c r="AQ1450" s="90"/>
      <c r="AR1450" s="90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</row>
    <row r="1451">
      <c r="A1451" s="25">
        <v>24383.0</v>
      </c>
      <c r="B1451" s="33">
        <v>5.902280338109E12</v>
      </c>
      <c r="C1451" s="9" t="s">
        <v>2864</v>
      </c>
      <c r="D1451" s="15" t="s">
        <v>2865</v>
      </c>
      <c r="E1451" s="16">
        <v>5.0</v>
      </c>
      <c r="F1451" s="85"/>
      <c r="G1451" s="85"/>
      <c r="H1451" s="13"/>
      <c r="I1451" s="13"/>
      <c r="J1451" s="13"/>
      <c r="K1451" s="13"/>
      <c r="L1451" s="13"/>
      <c r="M1451" s="85"/>
      <c r="N1451" s="85"/>
      <c r="O1451" s="85"/>
      <c r="P1451" s="85"/>
      <c r="Q1451" s="13"/>
      <c r="R1451" s="13"/>
      <c r="S1451" s="13"/>
      <c r="T1451" s="85"/>
      <c r="U1451" s="85"/>
      <c r="V1451" s="85"/>
      <c r="W1451" s="86"/>
      <c r="X1451" s="87"/>
      <c r="Y1451" s="87"/>
      <c r="Z1451" s="85"/>
      <c r="AA1451" s="85"/>
      <c r="AB1451" s="87"/>
      <c r="AC1451" s="85"/>
      <c r="AD1451" s="85"/>
      <c r="AE1451" s="85"/>
      <c r="AF1451" s="85"/>
      <c r="AG1451" s="85"/>
      <c r="AH1451" s="85"/>
      <c r="AI1451" s="85"/>
      <c r="AJ1451" s="85"/>
      <c r="AK1451" s="85"/>
      <c r="AL1451" s="85"/>
      <c r="AM1451" s="85"/>
      <c r="AN1451" s="88"/>
      <c r="AO1451" s="89"/>
      <c r="AP1451" s="90"/>
      <c r="AQ1451" s="90"/>
      <c r="AR1451" s="90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</row>
    <row r="1452">
      <c r="A1452" s="25">
        <v>24398.0</v>
      </c>
      <c r="B1452" s="33">
        <v>5.902280340232E12</v>
      </c>
      <c r="C1452" s="9" t="s">
        <v>2866</v>
      </c>
      <c r="D1452" s="15" t="s">
        <v>2865</v>
      </c>
      <c r="E1452" s="16">
        <v>5.0</v>
      </c>
      <c r="F1452" s="85"/>
      <c r="G1452" s="85"/>
      <c r="H1452" s="13"/>
      <c r="I1452" s="13"/>
      <c r="J1452" s="13"/>
      <c r="K1452" s="13"/>
      <c r="L1452" s="13"/>
      <c r="M1452" s="85"/>
      <c r="N1452" s="85"/>
      <c r="O1452" s="85"/>
      <c r="P1452" s="85"/>
      <c r="Q1452" s="13"/>
      <c r="R1452" s="13"/>
      <c r="S1452" s="13"/>
      <c r="T1452" s="85"/>
      <c r="U1452" s="85"/>
      <c r="V1452" s="85"/>
      <c r="W1452" s="86"/>
      <c r="X1452" s="87"/>
      <c r="Y1452" s="87"/>
      <c r="Z1452" s="85"/>
      <c r="AA1452" s="85"/>
      <c r="AB1452" s="87"/>
      <c r="AC1452" s="85"/>
      <c r="AD1452" s="85"/>
      <c r="AE1452" s="85"/>
      <c r="AF1452" s="85"/>
      <c r="AG1452" s="85"/>
      <c r="AH1452" s="85"/>
      <c r="AI1452" s="85"/>
      <c r="AJ1452" s="85"/>
      <c r="AK1452" s="85"/>
      <c r="AL1452" s="85"/>
      <c r="AM1452" s="85"/>
      <c r="AN1452" s="88"/>
      <c r="AO1452" s="89"/>
      <c r="AP1452" s="90"/>
      <c r="AQ1452" s="90"/>
      <c r="AR1452" s="90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</row>
    <row r="1453">
      <c r="A1453" s="25">
        <v>24368.0</v>
      </c>
      <c r="B1453" s="33">
        <v>5.902280334859E12</v>
      </c>
      <c r="C1453" s="9" t="s">
        <v>2867</v>
      </c>
      <c r="D1453" s="15" t="s">
        <v>2143</v>
      </c>
      <c r="E1453" s="16">
        <v>5.3</v>
      </c>
      <c r="F1453" s="85"/>
      <c r="G1453" s="85"/>
      <c r="H1453" s="13"/>
      <c r="I1453" s="13"/>
      <c r="J1453" s="13"/>
      <c r="K1453" s="13"/>
      <c r="L1453" s="13"/>
      <c r="M1453" s="85"/>
      <c r="N1453" s="85"/>
      <c r="O1453" s="85"/>
      <c r="P1453" s="85"/>
      <c r="Q1453" s="13"/>
      <c r="R1453" s="13"/>
      <c r="S1453" s="13"/>
      <c r="T1453" s="85"/>
      <c r="U1453" s="85"/>
      <c r="V1453" s="85"/>
      <c r="W1453" s="86"/>
      <c r="X1453" s="87"/>
      <c r="Y1453" s="87"/>
      <c r="Z1453" s="85"/>
      <c r="AA1453" s="85"/>
      <c r="AB1453" s="87"/>
      <c r="AC1453" s="85"/>
      <c r="AD1453" s="85"/>
      <c r="AE1453" s="85"/>
      <c r="AF1453" s="85"/>
      <c r="AG1453" s="85"/>
      <c r="AH1453" s="85"/>
      <c r="AI1453" s="85"/>
      <c r="AJ1453" s="85"/>
      <c r="AK1453" s="85"/>
      <c r="AL1453" s="85"/>
      <c r="AM1453" s="85"/>
      <c r="AN1453" s="88"/>
      <c r="AO1453" s="89"/>
      <c r="AP1453" s="90"/>
      <c r="AQ1453" s="90"/>
      <c r="AR1453" s="90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</row>
    <row r="1454">
      <c r="A1454" s="25">
        <v>24418.0</v>
      </c>
      <c r="B1454" s="33">
        <v>5.902280342717E12</v>
      </c>
      <c r="C1454" s="9" t="s">
        <v>2868</v>
      </c>
      <c r="D1454" s="15" t="s">
        <v>2869</v>
      </c>
      <c r="E1454" s="16">
        <v>7.0</v>
      </c>
      <c r="F1454" s="85"/>
      <c r="G1454" s="85"/>
      <c r="H1454" s="13"/>
      <c r="I1454" s="13"/>
      <c r="J1454" s="13"/>
      <c r="K1454" s="13"/>
      <c r="L1454" s="13"/>
      <c r="M1454" s="85"/>
      <c r="N1454" s="85"/>
      <c r="O1454" s="85"/>
      <c r="P1454" s="85"/>
      <c r="Q1454" s="13"/>
      <c r="R1454" s="13"/>
      <c r="S1454" s="13"/>
      <c r="T1454" s="85"/>
      <c r="U1454" s="85"/>
      <c r="V1454" s="85"/>
      <c r="W1454" s="86"/>
      <c r="X1454" s="87"/>
      <c r="Y1454" s="87"/>
      <c r="Z1454" s="85"/>
      <c r="AA1454" s="85"/>
      <c r="AB1454" s="87"/>
      <c r="AC1454" s="85"/>
      <c r="AD1454" s="85"/>
      <c r="AE1454" s="85"/>
      <c r="AF1454" s="85"/>
      <c r="AG1454" s="85"/>
      <c r="AH1454" s="85"/>
      <c r="AI1454" s="85"/>
      <c r="AJ1454" s="85"/>
      <c r="AK1454" s="85"/>
      <c r="AL1454" s="85"/>
      <c r="AM1454" s="85"/>
      <c r="AN1454" s="88"/>
      <c r="AO1454" s="89"/>
      <c r="AP1454" s="90"/>
      <c r="AQ1454" s="90"/>
      <c r="AR1454" s="90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</row>
    <row r="1455">
      <c r="A1455" s="25">
        <v>24452.0</v>
      </c>
      <c r="B1455" s="33">
        <v>5.902280349105E12</v>
      </c>
      <c r="C1455" s="9" t="s">
        <v>2870</v>
      </c>
      <c r="D1455" s="15" t="s">
        <v>2869</v>
      </c>
      <c r="E1455" s="16">
        <v>9.0</v>
      </c>
      <c r="F1455" s="85"/>
      <c r="G1455" s="85"/>
      <c r="H1455" s="13"/>
      <c r="I1455" s="13"/>
      <c r="J1455" s="13"/>
      <c r="K1455" s="13"/>
      <c r="L1455" s="13"/>
      <c r="M1455" s="85"/>
      <c r="N1455" s="85"/>
      <c r="O1455" s="85"/>
      <c r="P1455" s="85"/>
      <c r="Q1455" s="13"/>
      <c r="R1455" s="13"/>
      <c r="S1455" s="13"/>
      <c r="T1455" s="85"/>
      <c r="U1455" s="85"/>
      <c r="V1455" s="85"/>
      <c r="W1455" s="86"/>
      <c r="X1455" s="87"/>
      <c r="Y1455" s="87"/>
      <c r="Z1455" s="85"/>
      <c r="AA1455" s="85"/>
      <c r="AB1455" s="87"/>
      <c r="AC1455" s="85"/>
      <c r="AD1455" s="85"/>
      <c r="AE1455" s="85"/>
      <c r="AF1455" s="85"/>
      <c r="AG1455" s="85"/>
      <c r="AH1455" s="85"/>
      <c r="AI1455" s="85"/>
      <c r="AJ1455" s="85"/>
      <c r="AK1455" s="85"/>
      <c r="AL1455" s="85"/>
      <c r="AM1455" s="85"/>
      <c r="AN1455" s="88"/>
      <c r="AO1455" s="89"/>
      <c r="AP1455" s="90"/>
      <c r="AQ1455" s="90"/>
      <c r="AR1455" s="90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</row>
    <row r="1456">
      <c r="A1456" s="25">
        <v>347.0</v>
      </c>
      <c r="B1456" s="33">
        <v>5.906660787563E12</v>
      </c>
      <c r="C1456" s="9" t="s">
        <v>2871</v>
      </c>
      <c r="D1456" s="15" t="s">
        <v>2872</v>
      </c>
      <c r="E1456" s="16">
        <v>2.7</v>
      </c>
      <c r="F1456" s="85"/>
      <c r="G1456" s="85"/>
      <c r="H1456" s="13"/>
      <c r="I1456" s="13"/>
      <c r="J1456" s="13"/>
      <c r="K1456" s="13"/>
      <c r="L1456" s="13"/>
      <c r="M1456" s="85"/>
      <c r="N1456" s="85"/>
      <c r="O1456" s="85"/>
      <c r="P1456" s="85"/>
      <c r="Q1456" s="13"/>
      <c r="R1456" s="13"/>
      <c r="S1456" s="13"/>
      <c r="T1456" s="85"/>
      <c r="U1456" s="85"/>
      <c r="V1456" s="85"/>
      <c r="W1456" s="86"/>
      <c r="X1456" s="87"/>
      <c r="Y1456" s="87"/>
      <c r="Z1456" s="85"/>
      <c r="AA1456" s="85"/>
      <c r="AB1456" s="87"/>
      <c r="AC1456" s="85"/>
      <c r="AD1456" s="85"/>
      <c r="AE1456" s="85"/>
      <c r="AF1456" s="85"/>
      <c r="AG1456" s="85"/>
      <c r="AH1456" s="85"/>
      <c r="AI1456" s="85"/>
      <c r="AJ1456" s="85"/>
      <c r="AK1456" s="85"/>
      <c r="AL1456" s="85"/>
      <c r="AM1456" s="85"/>
      <c r="AN1456" s="88"/>
      <c r="AO1456" s="89"/>
      <c r="AP1456" s="90"/>
      <c r="AQ1456" s="90"/>
      <c r="AR1456" s="90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</row>
    <row r="1457">
      <c r="A1457" s="25">
        <v>24422.0</v>
      </c>
      <c r="B1457" s="33">
        <v>5.902280343448E12</v>
      </c>
      <c r="C1457" s="9" t="s">
        <v>2873</v>
      </c>
      <c r="D1457" s="15" t="s">
        <v>2874</v>
      </c>
      <c r="E1457" s="16">
        <v>3.8</v>
      </c>
      <c r="F1457" s="85"/>
      <c r="G1457" s="85"/>
      <c r="H1457" s="13"/>
      <c r="I1457" s="13"/>
      <c r="J1457" s="13"/>
      <c r="K1457" s="13"/>
      <c r="L1457" s="13"/>
      <c r="M1457" s="85"/>
      <c r="N1457" s="85"/>
      <c r="O1457" s="85"/>
      <c r="P1457" s="85"/>
      <c r="Q1457" s="13"/>
      <c r="R1457" s="13"/>
      <c r="S1457" s="13"/>
      <c r="T1457" s="85"/>
      <c r="U1457" s="85"/>
      <c r="V1457" s="85"/>
      <c r="W1457" s="86"/>
      <c r="X1457" s="87"/>
      <c r="Y1457" s="87"/>
      <c r="Z1457" s="85"/>
      <c r="AA1457" s="85"/>
      <c r="AB1457" s="87"/>
      <c r="AC1457" s="85"/>
      <c r="AD1457" s="85"/>
      <c r="AE1457" s="85"/>
      <c r="AF1457" s="85"/>
      <c r="AG1457" s="85"/>
      <c r="AH1457" s="85"/>
      <c r="AI1457" s="85"/>
      <c r="AJ1457" s="85"/>
      <c r="AK1457" s="85"/>
      <c r="AL1457" s="85"/>
      <c r="AM1457" s="85"/>
      <c r="AN1457" s="88"/>
      <c r="AO1457" s="89"/>
      <c r="AP1457" s="90"/>
      <c r="AQ1457" s="90"/>
      <c r="AR1457" s="90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</row>
    <row r="1458">
      <c r="A1458" s="25">
        <v>24015.0</v>
      </c>
      <c r="B1458" s="33">
        <v>5.906660789338E12</v>
      </c>
      <c r="C1458" s="9" t="s">
        <v>2875</v>
      </c>
      <c r="D1458" s="15" t="s">
        <v>2874</v>
      </c>
      <c r="E1458" s="16">
        <v>3.4</v>
      </c>
      <c r="F1458" s="85"/>
      <c r="G1458" s="85"/>
      <c r="H1458" s="13"/>
      <c r="I1458" s="13"/>
      <c r="J1458" s="13"/>
      <c r="K1458" s="13"/>
      <c r="L1458" s="13"/>
      <c r="M1458" s="85"/>
      <c r="N1458" s="85"/>
      <c r="O1458" s="85"/>
      <c r="P1458" s="85"/>
      <c r="Q1458" s="13"/>
      <c r="R1458" s="13"/>
      <c r="S1458" s="13"/>
      <c r="T1458" s="85"/>
      <c r="U1458" s="85"/>
      <c r="V1458" s="85"/>
      <c r="W1458" s="86"/>
      <c r="X1458" s="87"/>
      <c r="Y1458" s="87"/>
      <c r="Z1458" s="85"/>
      <c r="AA1458" s="85"/>
      <c r="AB1458" s="87"/>
      <c r="AC1458" s="85"/>
      <c r="AD1458" s="85"/>
      <c r="AE1458" s="85"/>
      <c r="AF1458" s="85"/>
      <c r="AG1458" s="85"/>
      <c r="AH1458" s="85"/>
      <c r="AI1458" s="85"/>
      <c r="AJ1458" s="85"/>
      <c r="AK1458" s="85"/>
      <c r="AL1458" s="85"/>
      <c r="AM1458" s="85"/>
      <c r="AN1458" s="88"/>
      <c r="AO1458" s="89"/>
      <c r="AP1458" s="90"/>
      <c r="AQ1458" s="90"/>
      <c r="AR1458" s="90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</row>
    <row r="1459">
      <c r="A1459" s="25">
        <v>24421.0</v>
      </c>
      <c r="B1459" s="33">
        <v>5.902280343455E12</v>
      </c>
      <c r="C1459" s="9" t="s">
        <v>2876</v>
      </c>
      <c r="D1459" s="15" t="s">
        <v>2874</v>
      </c>
      <c r="E1459" s="16">
        <v>3.8</v>
      </c>
      <c r="F1459" s="85"/>
      <c r="G1459" s="85"/>
      <c r="H1459" s="13"/>
      <c r="I1459" s="13"/>
      <c r="J1459" s="13"/>
      <c r="K1459" s="13"/>
      <c r="L1459" s="13"/>
      <c r="M1459" s="85"/>
      <c r="N1459" s="85"/>
      <c r="O1459" s="85"/>
      <c r="P1459" s="85"/>
      <c r="Q1459" s="13"/>
      <c r="R1459" s="13"/>
      <c r="S1459" s="13"/>
      <c r="T1459" s="85"/>
      <c r="U1459" s="85"/>
      <c r="V1459" s="85"/>
      <c r="W1459" s="86"/>
      <c r="X1459" s="87"/>
      <c r="Y1459" s="87"/>
      <c r="Z1459" s="85"/>
      <c r="AA1459" s="85"/>
      <c r="AB1459" s="87"/>
      <c r="AC1459" s="85"/>
      <c r="AD1459" s="85"/>
      <c r="AE1459" s="85"/>
      <c r="AF1459" s="85"/>
      <c r="AG1459" s="85"/>
      <c r="AH1459" s="85"/>
      <c r="AI1459" s="85"/>
      <c r="AJ1459" s="85"/>
      <c r="AK1459" s="85"/>
      <c r="AL1459" s="85"/>
      <c r="AM1459" s="85"/>
      <c r="AN1459" s="88"/>
      <c r="AO1459" s="89"/>
      <c r="AP1459" s="90"/>
      <c r="AQ1459" s="90"/>
      <c r="AR1459" s="90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</row>
    <row r="1460">
      <c r="A1460" s="25">
        <v>24283.0</v>
      </c>
      <c r="B1460" s="33">
        <v>5.902280319924E12</v>
      </c>
      <c r="C1460" s="9" t="s">
        <v>2877</v>
      </c>
      <c r="D1460" s="15" t="s">
        <v>2145</v>
      </c>
      <c r="E1460" s="16">
        <v>3.5</v>
      </c>
      <c r="F1460" s="85"/>
      <c r="G1460" s="85"/>
      <c r="H1460" s="13"/>
      <c r="I1460" s="13"/>
      <c r="J1460" s="13"/>
      <c r="K1460" s="13"/>
      <c r="L1460" s="13"/>
      <c r="M1460" s="85"/>
      <c r="N1460" s="85"/>
      <c r="O1460" s="85"/>
      <c r="P1460" s="85"/>
      <c r="Q1460" s="13"/>
      <c r="R1460" s="13"/>
      <c r="S1460" s="13"/>
      <c r="T1460" s="85"/>
      <c r="U1460" s="85"/>
      <c r="V1460" s="85"/>
      <c r="W1460" s="86"/>
      <c r="X1460" s="87"/>
      <c r="Y1460" s="87"/>
      <c r="Z1460" s="85"/>
      <c r="AA1460" s="85"/>
      <c r="AB1460" s="87"/>
      <c r="AC1460" s="85"/>
      <c r="AD1460" s="85"/>
      <c r="AE1460" s="85"/>
      <c r="AF1460" s="85"/>
      <c r="AG1460" s="85"/>
      <c r="AH1460" s="85"/>
      <c r="AI1460" s="85"/>
      <c r="AJ1460" s="85"/>
      <c r="AK1460" s="85"/>
      <c r="AL1460" s="85"/>
      <c r="AM1460" s="85"/>
      <c r="AN1460" s="88"/>
      <c r="AO1460" s="89"/>
      <c r="AP1460" s="90"/>
      <c r="AQ1460" s="90"/>
      <c r="AR1460" s="90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</row>
    <row r="1461">
      <c r="A1461" s="25">
        <v>24436.0</v>
      </c>
      <c r="B1461" s="33">
        <v>5.902280345534E12</v>
      </c>
      <c r="C1461" s="9" t="s">
        <v>2878</v>
      </c>
      <c r="D1461" s="15" t="s">
        <v>2145</v>
      </c>
      <c r="E1461" s="16">
        <v>8.1</v>
      </c>
      <c r="F1461" s="85"/>
      <c r="G1461" s="85"/>
      <c r="H1461" s="13"/>
      <c r="I1461" s="13"/>
      <c r="J1461" s="13"/>
      <c r="K1461" s="13"/>
      <c r="L1461" s="13"/>
      <c r="M1461" s="85"/>
      <c r="N1461" s="85"/>
      <c r="O1461" s="85"/>
      <c r="P1461" s="85"/>
      <c r="Q1461" s="13"/>
      <c r="R1461" s="13"/>
      <c r="S1461" s="13"/>
      <c r="T1461" s="85"/>
      <c r="U1461" s="85"/>
      <c r="V1461" s="85"/>
      <c r="W1461" s="86"/>
      <c r="X1461" s="87"/>
      <c r="Y1461" s="87"/>
      <c r="Z1461" s="85"/>
      <c r="AA1461" s="85"/>
      <c r="AB1461" s="87"/>
      <c r="AC1461" s="85"/>
      <c r="AD1461" s="85"/>
      <c r="AE1461" s="85"/>
      <c r="AF1461" s="85"/>
      <c r="AG1461" s="85"/>
      <c r="AH1461" s="85"/>
      <c r="AI1461" s="85"/>
      <c r="AJ1461" s="85"/>
      <c r="AK1461" s="85"/>
      <c r="AL1461" s="85"/>
      <c r="AM1461" s="85"/>
      <c r="AN1461" s="88"/>
      <c r="AO1461" s="89"/>
      <c r="AP1461" s="90"/>
      <c r="AQ1461" s="90"/>
      <c r="AR1461" s="90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</row>
    <row r="1462">
      <c r="A1462" s="25">
        <v>24319.0</v>
      </c>
      <c r="B1462" s="33">
        <v>5.902280326434E12</v>
      </c>
      <c r="C1462" s="9" t="s">
        <v>2879</v>
      </c>
      <c r="D1462" s="15" t="s">
        <v>2129</v>
      </c>
      <c r="E1462" s="16">
        <v>3.6</v>
      </c>
      <c r="F1462" s="85"/>
      <c r="G1462" s="85"/>
      <c r="H1462" s="13"/>
      <c r="I1462" s="13"/>
      <c r="J1462" s="13"/>
      <c r="K1462" s="13"/>
      <c r="L1462" s="13"/>
      <c r="M1462" s="85"/>
      <c r="N1462" s="85"/>
      <c r="O1462" s="85"/>
      <c r="P1462" s="85"/>
      <c r="Q1462" s="13"/>
      <c r="R1462" s="13"/>
      <c r="S1462" s="13"/>
      <c r="T1462" s="85"/>
      <c r="U1462" s="85"/>
      <c r="V1462" s="85"/>
      <c r="W1462" s="86"/>
      <c r="X1462" s="87"/>
      <c r="Y1462" s="87"/>
      <c r="Z1462" s="85"/>
      <c r="AA1462" s="85"/>
      <c r="AB1462" s="87"/>
      <c r="AC1462" s="85"/>
      <c r="AD1462" s="85"/>
      <c r="AE1462" s="85"/>
      <c r="AF1462" s="85"/>
      <c r="AG1462" s="85"/>
      <c r="AH1462" s="85"/>
      <c r="AI1462" s="85"/>
      <c r="AJ1462" s="85"/>
      <c r="AK1462" s="85"/>
      <c r="AL1462" s="85"/>
      <c r="AM1462" s="85"/>
      <c r="AN1462" s="88"/>
      <c r="AO1462" s="89"/>
      <c r="AP1462" s="90"/>
      <c r="AQ1462" s="90"/>
      <c r="AR1462" s="90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</row>
    <row r="1463">
      <c r="A1463" s="25">
        <v>24136.0</v>
      </c>
      <c r="B1463" s="33">
        <v>5.902280327905E12</v>
      </c>
      <c r="C1463" s="9" t="s">
        <v>2880</v>
      </c>
      <c r="D1463" s="15" t="s">
        <v>2881</v>
      </c>
      <c r="E1463" s="16">
        <v>8.3</v>
      </c>
      <c r="F1463" s="85"/>
      <c r="G1463" s="85"/>
      <c r="H1463" s="13"/>
      <c r="I1463" s="13"/>
      <c r="J1463" s="13"/>
      <c r="K1463" s="13"/>
      <c r="L1463" s="13"/>
      <c r="M1463" s="85"/>
      <c r="N1463" s="85"/>
      <c r="O1463" s="85"/>
      <c r="P1463" s="85"/>
      <c r="Q1463" s="13"/>
      <c r="R1463" s="13"/>
      <c r="S1463" s="13"/>
      <c r="T1463" s="85"/>
      <c r="U1463" s="85"/>
      <c r="V1463" s="85"/>
      <c r="W1463" s="86"/>
      <c r="X1463" s="87"/>
      <c r="Y1463" s="87"/>
      <c r="Z1463" s="85"/>
      <c r="AA1463" s="85"/>
      <c r="AB1463" s="87"/>
      <c r="AC1463" s="85"/>
      <c r="AD1463" s="85"/>
      <c r="AE1463" s="85"/>
      <c r="AF1463" s="85"/>
      <c r="AG1463" s="85"/>
      <c r="AH1463" s="85"/>
      <c r="AI1463" s="85"/>
      <c r="AJ1463" s="85"/>
      <c r="AK1463" s="85"/>
      <c r="AL1463" s="85"/>
      <c r="AM1463" s="85"/>
      <c r="AN1463" s="88"/>
      <c r="AO1463" s="89"/>
      <c r="AP1463" s="90"/>
      <c r="AQ1463" s="90"/>
      <c r="AR1463" s="90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</row>
    <row r="1464">
      <c r="A1464" s="25">
        <v>24403.0</v>
      </c>
      <c r="B1464" s="33">
        <v>5.90228034027E12</v>
      </c>
      <c r="C1464" s="9" t="s">
        <v>2882</v>
      </c>
      <c r="D1464" s="15" t="s">
        <v>2327</v>
      </c>
      <c r="E1464" s="16">
        <v>3.2</v>
      </c>
      <c r="F1464" s="85"/>
      <c r="G1464" s="85"/>
      <c r="H1464" s="13"/>
      <c r="I1464" s="13"/>
      <c r="J1464" s="13"/>
      <c r="K1464" s="13"/>
      <c r="L1464" s="13"/>
      <c r="M1464" s="85"/>
      <c r="N1464" s="85"/>
      <c r="O1464" s="85"/>
      <c r="P1464" s="85"/>
      <c r="Q1464" s="13"/>
      <c r="R1464" s="13"/>
      <c r="S1464" s="13"/>
      <c r="T1464" s="85"/>
      <c r="U1464" s="85"/>
      <c r="V1464" s="85"/>
      <c r="W1464" s="86"/>
      <c r="X1464" s="87"/>
      <c r="Y1464" s="87"/>
      <c r="Z1464" s="85"/>
      <c r="AA1464" s="85"/>
      <c r="AB1464" s="87"/>
      <c r="AC1464" s="85"/>
      <c r="AD1464" s="85"/>
      <c r="AE1464" s="85"/>
      <c r="AF1464" s="85"/>
      <c r="AG1464" s="85"/>
      <c r="AH1464" s="85"/>
      <c r="AI1464" s="85"/>
      <c r="AJ1464" s="85"/>
      <c r="AK1464" s="85"/>
      <c r="AL1464" s="85"/>
      <c r="AM1464" s="85"/>
      <c r="AN1464" s="88"/>
      <c r="AO1464" s="89"/>
      <c r="AP1464" s="90"/>
      <c r="AQ1464" s="90"/>
      <c r="AR1464" s="90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</row>
    <row r="1465">
      <c r="A1465" s="25">
        <v>24401.0</v>
      </c>
      <c r="B1465" s="33">
        <v>5.902280340263E12</v>
      </c>
      <c r="C1465" s="9" t="s">
        <v>2883</v>
      </c>
      <c r="D1465" s="15" t="s">
        <v>2329</v>
      </c>
      <c r="E1465" s="16">
        <v>3.2</v>
      </c>
      <c r="F1465" s="85"/>
      <c r="G1465" s="85"/>
      <c r="H1465" s="13"/>
      <c r="I1465" s="13"/>
      <c r="J1465" s="13"/>
      <c r="K1465" s="13"/>
      <c r="L1465" s="13"/>
      <c r="M1465" s="85"/>
      <c r="N1465" s="85"/>
      <c r="O1465" s="85"/>
      <c r="P1465" s="85"/>
      <c r="Q1465" s="13"/>
      <c r="R1465" s="13"/>
      <c r="S1465" s="13"/>
      <c r="T1465" s="85"/>
      <c r="U1465" s="85"/>
      <c r="V1465" s="85"/>
      <c r="W1465" s="86"/>
      <c r="X1465" s="87"/>
      <c r="Y1465" s="87"/>
      <c r="Z1465" s="85"/>
      <c r="AA1465" s="85"/>
      <c r="AB1465" s="87"/>
      <c r="AC1465" s="85"/>
      <c r="AD1465" s="85"/>
      <c r="AE1465" s="85"/>
      <c r="AF1465" s="85"/>
      <c r="AG1465" s="85"/>
      <c r="AH1465" s="85"/>
      <c r="AI1465" s="85"/>
      <c r="AJ1465" s="85"/>
      <c r="AK1465" s="85"/>
      <c r="AL1465" s="85"/>
      <c r="AM1465" s="85"/>
      <c r="AN1465" s="88"/>
      <c r="AO1465" s="89"/>
      <c r="AP1465" s="90"/>
      <c r="AQ1465" s="90"/>
      <c r="AR1465" s="90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</row>
    <row r="1466">
      <c r="A1466" s="25">
        <v>1407.0</v>
      </c>
      <c r="B1466" s="33">
        <v>5.906660780649E12</v>
      </c>
      <c r="C1466" s="9" t="s">
        <v>2884</v>
      </c>
      <c r="D1466" s="15" t="s">
        <v>2885</v>
      </c>
      <c r="E1466" s="16">
        <v>23.6</v>
      </c>
      <c r="F1466" s="85"/>
      <c r="G1466" s="85"/>
      <c r="H1466" s="13"/>
      <c r="I1466" s="13"/>
      <c r="J1466" s="13"/>
      <c r="K1466" s="13"/>
      <c r="L1466" s="13"/>
      <c r="M1466" s="85"/>
      <c r="N1466" s="85"/>
      <c r="O1466" s="85"/>
      <c r="P1466" s="85"/>
      <c r="Q1466" s="13"/>
      <c r="R1466" s="13"/>
      <c r="S1466" s="13"/>
      <c r="T1466" s="85"/>
      <c r="U1466" s="85"/>
      <c r="V1466" s="85"/>
      <c r="W1466" s="86"/>
      <c r="X1466" s="87"/>
      <c r="Y1466" s="87"/>
      <c r="Z1466" s="85"/>
      <c r="AA1466" s="85"/>
      <c r="AB1466" s="87"/>
      <c r="AC1466" s="85"/>
      <c r="AD1466" s="85"/>
      <c r="AE1466" s="85"/>
      <c r="AF1466" s="85"/>
      <c r="AG1466" s="85"/>
      <c r="AH1466" s="85"/>
      <c r="AI1466" s="85"/>
      <c r="AJ1466" s="85"/>
      <c r="AK1466" s="85"/>
      <c r="AL1466" s="85"/>
      <c r="AM1466" s="85"/>
      <c r="AN1466" s="88"/>
      <c r="AO1466" s="89"/>
      <c r="AP1466" s="90"/>
      <c r="AQ1466" s="90"/>
      <c r="AR1466" s="90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</row>
    <row r="1467">
      <c r="A1467" s="25">
        <v>24162.0</v>
      </c>
      <c r="B1467" s="33">
        <v>5.902280321514E12</v>
      </c>
      <c r="C1467" s="9" t="s">
        <v>2886</v>
      </c>
      <c r="D1467" s="15" t="s">
        <v>2887</v>
      </c>
      <c r="E1467" s="16">
        <v>4.4</v>
      </c>
      <c r="F1467" s="85"/>
      <c r="G1467" s="85"/>
      <c r="H1467" s="13"/>
      <c r="I1467" s="13"/>
      <c r="J1467" s="13"/>
      <c r="K1467" s="13"/>
      <c r="L1467" s="13"/>
      <c r="M1467" s="85"/>
      <c r="N1467" s="85"/>
      <c r="O1467" s="85"/>
      <c r="P1467" s="85"/>
      <c r="Q1467" s="13"/>
      <c r="R1467" s="13"/>
      <c r="S1467" s="13"/>
      <c r="T1467" s="85"/>
      <c r="U1467" s="85"/>
      <c r="V1467" s="85"/>
      <c r="W1467" s="86"/>
      <c r="X1467" s="87"/>
      <c r="Y1467" s="87"/>
      <c r="Z1467" s="85"/>
      <c r="AA1467" s="85"/>
      <c r="AB1467" s="87"/>
      <c r="AC1467" s="85"/>
      <c r="AD1467" s="85"/>
      <c r="AE1467" s="85"/>
      <c r="AF1467" s="85"/>
      <c r="AG1467" s="85"/>
      <c r="AH1467" s="85"/>
      <c r="AI1467" s="85"/>
      <c r="AJ1467" s="85"/>
      <c r="AK1467" s="85"/>
      <c r="AL1467" s="85"/>
      <c r="AM1467" s="85"/>
      <c r="AN1467" s="88"/>
      <c r="AO1467" s="89"/>
      <c r="AP1467" s="90"/>
      <c r="AQ1467" s="90"/>
      <c r="AR1467" s="90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</row>
    <row r="1468">
      <c r="A1468" s="25">
        <v>24330.0</v>
      </c>
      <c r="B1468" s="33">
        <v>5.902280327288E12</v>
      </c>
      <c r="C1468" s="9" t="s">
        <v>2888</v>
      </c>
      <c r="D1468" s="15" t="s">
        <v>2889</v>
      </c>
      <c r="E1468" s="16">
        <v>3.6</v>
      </c>
      <c r="F1468" s="85"/>
      <c r="G1468" s="85"/>
      <c r="H1468" s="13"/>
      <c r="I1468" s="13"/>
      <c r="J1468" s="13"/>
      <c r="K1468" s="13"/>
      <c r="L1468" s="13"/>
      <c r="M1468" s="85"/>
      <c r="N1468" s="85"/>
      <c r="O1468" s="85"/>
      <c r="P1468" s="85"/>
      <c r="Q1468" s="13"/>
      <c r="R1468" s="13"/>
      <c r="S1468" s="13"/>
      <c r="T1468" s="85"/>
      <c r="U1468" s="85"/>
      <c r="V1468" s="85"/>
      <c r="W1468" s="86"/>
      <c r="X1468" s="87"/>
      <c r="Y1468" s="87"/>
      <c r="Z1468" s="85"/>
      <c r="AA1468" s="85"/>
      <c r="AB1468" s="87"/>
      <c r="AC1468" s="85"/>
      <c r="AD1468" s="85"/>
      <c r="AE1468" s="85"/>
      <c r="AF1468" s="85"/>
      <c r="AG1468" s="85"/>
      <c r="AH1468" s="85"/>
      <c r="AI1468" s="85"/>
      <c r="AJ1468" s="85"/>
      <c r="AK1468" s="85"/>
      <c r="AL1468" s="85"/>
      <c r="AM1468" s="85"/>
      <c r="AN1468" s="88"/>
      <c r="AO1468" s="89"/>
      <c r="AP1468" s="90"/>
      <c r="AQ1468" s="90"/>
      <c r="AR1468" s="90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</row>
    <row r="1469">
      <c r="A1469" s="25">
        <v>24059.0</v>
      </c>
      <c r="B1469" s="33">
        <v>5.9066607883E12</v>
      </c>
      <c r="C1469" s="9" t="s">
        <v>2890</v>
      </c>
      <c r="D1469" s="15" t="s">
        <v>2324</v>
      </c>
      <c r="E1469" s="16">
        <v>5.7</v>
      </c>
      <c r="F1469" s="85"/>
      <c r="G1469" s="85"/>
      <c r="H1469" s="13"/>
      <c r="I1469" s="13"/>
      <c r="J1469" s="13"/>
      <c r="K1469" s="13"/>
      <c r="L1469" s="13"/>
      <c r="M1469" s="85"/>
      <c r="N1469" s="85"/>
      <c r="O1469" s="85"/>
      <c r="P1469" s="85"/>
      <c r="Q1469" s="13"/>
      <c r="R1469" s="13"/>
      <c r="S1469" s="13"/>
      <c r="T1469" s="85"/>
      <c r="U1469" s="85"/>
      <c r="V1469" s="85"/>
      <c r="W1469" s="86"/>
      <c r="X1469" s="87"/>
      <c r="Y1469" s="87"/>
      <c r="Z1469" s="85"/>
      <c r="AA1469" s="85"/>
      <c r="AB1469" s="87"/>
      <c r="AC1469" s="85"/>
      <c r="AD1469" s="85"/>
      <c r="AE1469" s="85"/>
      <c r="AF1469" s="85"/>
      <c r="AG1469" s="85"/>
      <c r="AH1469" s="85"/>
      <c r="AI1469" s="85"/>
      <c r="AJ1469" s="85"/>
      <c r="AK1469" s="85"/>
      <c r="AL1469" s="85"/>
      <c r="AM1469" s="85"/>
      <c r="AN1469" s="88"/>
      <c r="AO1469" s="89"/>
      <c r="AP1469" s="90"/>
      <c r="AQ1469" s="90"/>
      <c r="AR1469" s="90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</row>
    <row r="1470">
      <c r="A1470" s="25">
        <v>24213.0</v>
      </c>
      <c r="B1470" s="33">
        <v>5.902280331599E12</v>
      </c>
      <c r="C1470" s="9" t="s">
        <v>2891</v>
      </c>
      <c r="D1470" s="15" t="s">
        <v>2892</v>
      </c>
      <c r="E1470" s="16">
        <v>5.4</v>
      </c>
      <c r="F1470" s="85"/>
      <c r="G1470" s="85"/>
      <c r="H1470" s="13"/>
      <c r="I1470" s="13"/>
      <c r="J1470" s="13"/>
      <c r="K1470" s="13"/>
      <c r="L1470" s="13"/>
      <c r="M1470" s="85"/>
      <c r="N1470" s="85"/>
      <c r="O1470" s="85"/>
      <c r="P1470" s="85"/>
      <c r="Q1470" s="13"/>
      <c r="R1470" s="13"/>
      <c r="S1470" s="13"/>
      <c r="T1470" s="85"/>
      <c r="U1470" s="85"/>
      <c r="V1470" s="85"/>
      <c r="W1470" s="86"/>
      <c r="X1470" s="87"/>
      <c r="Y1470" s="87"/>
      <c r="Z1470" s="85"/>
      <c r="AA1470" s="85"/>
      <c r="AB1470" s="87"/>
      <c r="AC1470" s="85"/>
      <c r="AD1470" s="85"/>
      <c r="AE1470" s="85"/>
      <c r="AF1470" s="85"/>
      <c r="AG1470" s="85"/>
      <c r="AH1470" s="85"/>
      <c r="AI1470" s="85"/>
      <c r="AJ1470" s="85"/>
      <c r="AK1470" s="85"/>
      <c r="AL1470" s="85"/>
      <c r="AM1470" s="85"/>
      <c r="AN1470" s="88"/>
      <c r="AO1470" s="89"/>
      <c r="AP1470" s="90"/>
      <c r="AQ1470" s="90"/>
      <c r="AR1470" s="90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</row>
    <row r="1471">
      <c r="A1471" s="25">
        <v>24254.0</v>
      </c>
      <c r="B1471" s="33">
        <v>5.902280311119E12</v>
      </c>
      <c r="C1471" s="9" t="s">
        <v>2893</v>
      </c>
      <c r="D1471" s="15" t="s">
        <v>2894</v>
      </c>
      <c r="E1471" s="16">
        <v>5.7</v>
      </c>
      <c r="F1471" s="85"/>
      <c r="G1471" s="85"/>
      <c r="H1471" s="13"/>
      <c r="I1471" s="13"/>
      <c r="J1471" s="13"/>
      <c r="K1471" s="13"/>
      <c r="L1471" s="13"/>
      <c r="M1471" s="85"/>
      <c r="N1471" s="85"/>
      <c r="O1471" s="85"/>
      <c r="P1471" s="85"/>
      <c r="Q1471" s="13"/>
      <c r="R1471" s="13"/>
      <c r="S1471" s="13"/>
      <c r="T1471" s="85"/>
      <c r="U1471" s="85"/>
      <c r="V1471" s="85"/>
      <c r="W1471" s="86"/>
      <c r="X1471" s="87"/>
      <c r="Y1471" s="87"/>
      <c r="Z1471" s="85"/>
      <c r="AA1471" s="85"/>
      <c r="AB1471" s="87"/>
      <c r="AC1471" s="85"/>
      <c r="AD1471" s="85"/>
      <c r="AE1471" s="85"/>
      <c r="AF1471" s="85"/>
      <c r="AG1471" s="85"/>
      <c r="AH1471" s="85"/>
      <c r="AI1471" s="85"/>
      <c r="AJ1471" s="85"/>
      <c r="AK1471" s="85"/>
      <c r="AL1471" s="85"/>
      <c r="AM1471" s="85"/>
      <c r="AN1471" s="88"/>
      <c r="AO1471" s="89"/>
      <c r="AP1471" s="90"/>
      <c r="AQ1471" s="90"/>
      <c r="AR1471" s="90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</row>
    <row r="1472">
      <c r="A1472" s="25">
        <v>24364.0</v>
      </c>
      <c r="B1472" s="33">
        <v>5.902280332459E12</v>
      </c>
      <c r="C1472" s="9" t="s">
        <v>2895</v>
      </c>
      <c r="D1472" s="15" t="s">
        <v>2896</v>
      </c>
      <c r="E1472" s="16">
        <v>4.0</v>
      </c>
      <c r="F1472" s="85"/>
      <c r="G1472" s="85"/>
      <c r="H1472" s="13"/>
      <c r="I1472" s="13"/>
      <c r="J1472" s="13"/>
      <c r="K1472" s="13"/>
      <c r="L1472" s="13"/>
      <c r="M1472" s="85"/>
      <c r="N1472" s="85"/>
      <c r="O1472" s="85"/>
      <c r="P1472" s="85"/>
      <c r="Q1472" s="13"/>
      <c r="R1472" s="13"/>
      <c r="S1472" s="13"/>
      <c r="T1472" s="85"/>
      <c r="U1472" s="85"/>
      <c r="V1472" s="85"/>
      <c r="W1472" s="86"/>
      <c r="X1472" s="87"/>
      <c r="Y1472" s="87"/>
      <c r="Z1472" s="85"/>
      <c r="AA1472" s="85"/>
      <c r="AB1472" s="87"/>
      <c r="AC1472" s="85"/>
      <c r="AD1472" s="85"/>
      <c r="AE1472" s="85"/>
      <c r="AF1472" s="85"/>
      <c r="AG1472" s="85"/>
      <c r="AH1472" s="85"/>
      <c r="AI1472" s="85"/>
      <c r="AJ1472" s="85"/>
      <c r="AK1472" s="85"/>
      <c r="AL1472" s="85"/>
      <c r="AM1472" s="85"/>
      <c r="AN1472" s="88"/>
      <c r="AO1472" s="89"/>
      <c r="AP1472" s="90"/>
      <c r="AQ1472" s="90"/>
      <c r="AR1472" s="90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</row>
    <row r="1473">
      <c r="A1473" s="25">
        <v>24397.0</v>
      </c>
      <c r="B1473" s="33">
        <v>5.902280340133E12</v>
      </c>
      <c r="C1473" s="9" t="s">
        <v>2897</v>
      </c>
      <c r="D1473" s="15" t="s">
        <v>2896</v>
      </c>
      <c r="E1473" s="16">
        <v>4.4</v>
      </c>
      <c r="F1473" s="13"/>
      <c r="G1473" s="85"/>
      <c r="H1473" s="13"/>
      <c r="I1473" s="13"/>
      <c r="J1473" s="13"/>
      <c r="K1473" s="13"/>
      <c r="L1473" s="13"/>
      <c r="M1473" s="85"/>
      <c r="N1473" s="85"/>
      <c r="O1473" s="85"/>
      <c r="P1473" s="85"/>
      <c r="Q1473" s="13"/>
      <c r="R1473" s="13"/>
      <c r="S1473" s="13"/>
      <c r="T1473" s="85"/>
      <c r="U1473" s="85"/>
      <c r="V1473" s="85"/>
      <c r="W1473" s="86"/>
      <c r="X1473" s="87"/>
      <c r="Y1473" s="87"/>
      <c r="Z1473" s="85"/>
      <c r="AA1473" s="85"/>
      <c r="AB1473" s="87"/>
      <c r="AC1473" s="85"/>
      <c r="AD1473" s="85"/>
      <c r="AE1473" s="85"/>
      <c r="AF1473" s="85"/>
      <c r="AG1473" s="85"/>
      <c r="AH1473" s="85"/>
      <c r="AI1473" s="85"/>
      <c r="AJ1473" s="85"/>
      <c r="AK1473" s="85"/>
      <c r="AL1473" s="85"/>
      <c r="AM1473" s="85"/>
      <c r="AN1473" s="88"/>
      <c r="AO1473" s="89"/>
      <c r="AP1473" s="90"/>
      <c r="AQ1473" s="90"/>
      <c r="AR1473" s="90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</row>
    <row r="1474">
      <c r="A1474" s="25">
        <v>24137.0</v>
      </c>
      <c r="B1474" s="33">
        <v>5.902280304715E12</v>
      </c>
      <c r="C1474" s="9" t="s">
        <v>2898</v>
      </c>
      <c r="D1474" s="15" t="s">
        <v>2899</v>
      </c>
      <c r="E1474" s="16">
        <v>4.5</v>
      </c>
      <c r="F1474" s="85"/>
      <c r="G1474" s="85"/>
      <c r="H1474" s="13"/>
      <c r="I1474" s="13"/>
      <c r="J1474" s="13"/>
      <c r="K1474" s="13"/>
      <c r="L1474" s="13"/>
      <c r="M1474" s="85"/>
      <c r="N1474" s="85"/>
      <c r="O1474" s="85"/>
      <c r="P1474" s="85"/>
      <c r="Q1474" s="13"/>
      <c r="R1474" s="13"/>
      <c r="S1474" s="13"/>
      <c r="T1474" s="85"/>
      <c r="U1474" s="85"/>
      <c r="V1474" s="85"/>
      <c r="W1474" s="86"/>
      <c r="X1474" s="87"/>
      <c r="Y1474" s="87"/>
      <c r="Z1474" s="85"/>
      <c r="AA1474" s="85"/>
      <c r="AB1474" s="87"/>
      <c r="AC1474" s="85"/>
      <c r="AD1474" s="85"/>
      <c r="AE1474" s="85"/>
      <c r="AF1474" s="85"/>
      <c r="AG1474" s="85"/>
      <c r="AH1474" s="85"/>
      <c r="AI1474" s="85"/>
      <c r="AJ1474" s="85"/>
      <c r="AK1474" s="85"/>
      <c r="AL1474" s="85"/>
      <c r="AM1474" s="85"/>
      <c r="AN1474" s="88"/>
      <c r="AO1474" s="89"/>
      <c r="AP1474" s="90"/>
      <c r="AQ1474" s="90"/>
      <c r="AR1474" s="90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</row>
    <row r="1475">
      <c r="A1475" s="25">
        <v>313.0</v>
      </c>
      <c r="B1475" s="33">
        <v>5.906660785538E12</v>
      </c>
      <c r="C1475" s="9" t="s">
        <v>2900</v>
      </c>
      <c r="D1475" s="15" t="s">
        <v>2901</v>
      </c>
      <c r="E1475" s="16">
        <v>2.7</v>
      </c>
      <c r="F1475" s="85"/>
      <c r="G1475" s="85"/>
      <c r="H1475" s="13"/>
      <c r="I1475" s="13"/>
      <c r="J1475" s="13"/>
      <c r="K1475" s="13"/>
      <c r="L1475" s="13"/>
      <c r="M1475" s="85"/>
      <c r="N1475" s="85"/>
      <c r="O1475" s="85"/>
      <c r="P1475" s="85"/>
      <c r="Q1475" s="13"/>
      <c r="R1475" s="13"/>
      <c r="S1475" s="13"/>
      <c r="T1475" s="85"/>
      <c r="U1475" s="85"/>
      <c r="V1475" s="85"/>
      <c r="W1475" s="86"/>
      <c r="X1475" s="87"/>
      <c r="Y1475" s="87"/>
      <c r="Z1475" s="85"/>
      <c r="AA1475" s="85"/>
      <c r="AB1475" s="87"/>
      <c r="AC1475" s="85"/>
      <c r="AD1475" s="85"/>
      <c r="AE1475" s="85"/>
      <c r="AF1475" s="85"/>
      <c r="AG1475" s="85"/>
      <c r="AH1475" s="85"/>
      <c r="AI1475" s="85"/>
      <c r="AJ1475" s="85"/>
      <c r="AK1475" s="85"/>
      <c r="AL1475" s="85"/>
      <c r="AM1475" s="85"/>
      <c r="AN1475" s="88"/>
      <c r="AO1475" s="89"/>
      <c r="AP1475" s="90"/>
      <c r="AQ1475" s="90"/>
      <c r="AR1475" s="90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</row>
    <row r="1476">
      <c r="A1476" s="25">
        <v>24407.0</v>
      </c>
      <c r="B1476" s="33">
        <v>5.902280340386E12</v>
      </c>
      <c r="C1476" s="9" t="s">
        <v>2902</v>
      </c>
      <c r="D1476" s="15" t="s">
        <v>2903</v>
      </c>
      <c r="E1476" s="16">
        <v>3.0</v>
      </c>
      <c r="F1476" s="85"/>
      <c r="G1476" s="85"/>
      <c r="H1476" s="13"/>
      <c r="I1476" s="13"/>
      <c r="J1476" s="13"/>
      <c r="K1476" s="13"/>
      <c r="L1476" s="13"/>
      <c r="M1476" s="85"/>
      <c r="N1476" s="85"/>
      <c r="O1476" s="85"/>
      <c r="P1476" s="85"/>
      <c r="Q1476" s="13"/>
      <c r="R1476" s="13"/>
      <c r="S1476" s="13"/>
      <c r="T1476" s="85"/>
      <c r="U1476" s="85"/>
      <c r="V1476" s="85"/>
      <c r="W1476" s="86"/>
      <c r="X1476" s="87"/>
      <c r="Y1476" s="87"/>
      <c r="Z1476" s="85"/>
      <c r="AA1476" s="85"/>
      <c r="AB1476" s="87"/>
      <c r="AC1476" s="85"/>
      <c r="AD1476" s="85"/>
      <c r="AE1476" s="85"/>
      <c r="AF1476" s="85"/>
      <c r="AG1476" s="85"/>
      <c r="AH1476" s="85"/>
      <c r="AI1476" s="85"/>
      <c r="AJ1476" s="85"/>
      <c r="AK1476" s="85"/>
      <c r="AL1476" s="85"/>
      <c r="AM1476" s="85"/>
      <c r="AN1476" s="88"/>
      <c r="AO1476" s="89"/>
      <c r="AP1476" s="90"/>
      <c r="AQ1476" s="90"/>
      <c r="AR1476" s="90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</row>
    <row r="1477">
      <c r="A1477" s="25">
        <v>24460.0</v>
      </c>
      <c r="B1477" s="33">
        <v>5.902280352204E12</v>
      </c>
      <c r="C1477" s="9" t="s">
        <v>2904</v>
      </c>
      <c r="D1477" s="15" t="s">
        <v>2905</v>
      </c>
      <c r="E1477" s="16">
        <v>10.4</v>
      </c>
      <c r="F1477" s="85"/>
      <c r="G1477" s="85"/>
      <c r="H1477" s="13"/>
      <c r="I1477" s="13"/>
      <c r="J1477" s="13"/>
      <c r="K1477" s="13"/>
      <c r="L1477" s="13"/>
      <c r="M1477" s="85"/>
      <c r="N1477" s="85"/>
      <c r="O1477" s="85"/>
      <c r="P1477" s="85"/>
      <c r="Q1477" s="13"/>
      <c r="R1477" s="13"/>
      <c r="S1477" s="13"/>
      <c r="T1477" s="85"/>
      <c r="U1477" s="85"/>
      <c r="V1477" s="85"/>
      <c r="W1477" s="86"/>
      <c r="X1477" s="87"/>
      <c r="Y1477" s="87"/>
      <c r="Z1477" s="85"/>
      <c r="AA1477" s="85"/>
      <c r="AB1477" s="87"/>
      <c r="AC1477" s="85"/>
      <c r="AD1477" s="85"/>
      <c r="AE1477" s="85"/>
      <c r="AF1477" s="85"/>
      <c r="AG1477" s="85"/>
      <c r="AH1477" s="85"/>
      <c r="AI1477" s="85"/>
      <c r="AJ1477" s="85"/>
      <c r="AK1477" s="85"/>
      <c r="AL1477" s="85"/>
      <c r="AM1477" s="85"/>
      <c r="AN1477" s="88"/>
      <c r="AO1477" s="89"/>
      <c r="AP1477" s="90"/>
      <c r="AQ1477" s="90"/>
      <c r="AR1477" s="90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</row>
    <row r="1478">
      <c r="A1478" s="25">
        <v>24463.0</v>
      </c>
      <c r="B1478" s="33">
        <v>5.902280352945E12</v>
      </c>
      <c r="C1478" s="9" t="s">
        <v>2906</v>
      </c>
      <c r="D1478" s="15" t="s">
        <v>2905</v>
      </c>
      <c r="E1478" s="16">
        <v>10.4</v>
      </c>
      <c r="F1478" s="85"/>
      <c r="G1478" s="85"/>
      <c r="H1478" s="13"/>
      <c r="I1478" s="13"/>
      <c r="J1478" s="13"/>
      <c r="K1478" s="13"/>
      <c r="L1478" s="13"/>
      <c r="M1478" s="85"/>
      <c r="N1478" s="85"/>
      <c r="O1478" s="85"/>
      <c r="P1478" s="85"/>
      <c r="Q1478" s="13"/>
      <c r="R1478" s="13"/>
      <c r="S1478" s="13"/>
      <c r="T1478" s="85"/>
      <c r="U1478" s="85"/>
      <c r="V1478" s="85"/>
      <c r="W1478" s="86"/>
      <c r="X1478" s="87"/>
      <c r="Y1478" s="87"/>
      <c r="Z1478" s="85"/>
      <c r="AA1478" s="85"/>
      <c r="AB1478" s="87"/>
      <c r="AC1478" s="85"/>
      <c r="AD1478" s="85"/>
      <c r="AE1478" s="85"/>
      <c r="AF1478" s="85"/>
      <c r="AG1478" s="85"/>
      <c r="AH1478" s="85"/>
      <c r="AI1478" s="85"/>
      <c r="AJ1478" s="85"/>
      <c r="AK1478" s="85"/>
      <c r="AL1478" s="85"/>
      <c r="AM1478" s="85"/>
      <c r="AN1478" s="88"/>
      <c r="AO1478" s="89"/>
      <c r="AP1478" s="90"/>
      <c r="AQ1478" s="90"/>
      <c r="AR1478" s="90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</row>
    <row r="1479">
      <c r="A1479" s="25">
        <v>24461.0</v>
      </c>
      <c r="B1479" s="33">
        <v>5.902280353232E12</v>
      </c>
      <c r="C1479" s="9" t="s">
        <v>2907</v>
      </c>
      <c r="D1479" s="15" t="s">
        <v>2908</v>
      </c>
      <c r="E1479" s="16">
        <v>10.4</v>
      </c>
      <c r="F1479" s="85"/>
      <c r="G1479" s="85"/>
      <c r="H1479" s="13"/>
      <c r="I1479" s="13"/>
      <c r="J1479" s="13"/>
      <c r="K1479" s="13"/>
      <c r="L1479" s="13"/>
      <c r="M1479" s="85"/>
      <c r="N1479" s="85"/>
      <c r="O1479" s="85"/>
      <c r="P1479" s="85"/>
      <c r="Q1479" s="13"/>
      <c r="R1479" s="13"/>
      <c r="S1479" s="13"/>
      <c r="T1479" s="85"/>
      <c r="U1479" s="85"/>
      <c r="V1479" s="85"/>
      <c r="W1479" s="86"/>
      <c r="X1479" s="87"/>
      <c r="Y1479" s="87"/>
      <c r="Z1479" s="85"/>
      <c r="AA1479" s="85"/>
      <c r="AB1479" s="87"/>
      <c r="AC1479" s="85"/>
      <c r="AD1479" s="85"/>
      <c r="AE1479" s="85"/>
      <c r="AF1479" s="85"/>
      <c r="AG1479" s="85"/>
      <c r="AH1479" s="85"/>
      <c r="AI1479" s="85"/>
      <c r="AJ1479" s="85"/>
      <c r="AK1479" s="85"/>
      <c r="AL1479" s="85"/>
      <c r="AM1479" s="85"/>
      <c r="AN1479" s="88"/>
      <c r="AO1479" s="89"/>
      <c r="AP1479" s="90"/>
      <c r="AQ1479" s="90"/>
      <c r="AR1479" s="90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</row>
    <row r="1480">
      <c r="A1480" s="25">
        <v>24462.0</v>
      </c>
      <c r="B1480" s="33">
        <v>5.902280352938E12</v>
      </c>
      <c r="C1480" s="9" t="s">
        <v>2909</v>
      </c>
      <c r="D1480" s="15" t="s">
        <v>2908</v>
      </c>
      <c r="E1480" s="16">
        <v>10.4</v>
      </c>
      <c r="F1480" s="85"/>
      <c r="G1480" s="85"/>
      <c r="H1480" s="13"/>
      <c r="I1480" s="13"/>
      <c r="J1480" s="13"/>
      <c r="K1480" s="13"/>
      <c r="L1480" s="13"/>
      <c r="M1480" s="85"/>
      <c r="N1480" s="85"/>
      <c r="O1480" s="85"/>
      <c r="P1480" s="85"/>
      <c r="Q1480" s="13"/>
      <c r="R1480" s="13"/>
      <c r="S1480" s="13"/>
      <c r="T1480" s="85"/>
      <c r="U1480" s="85"/>
      <c r="V1480" s="85"/>
      <c r="W1480" s="86"/>
      <c r="X1480" s="87"/>
      <c r="Y1480" s="87"/>
      <c r="Z1480" s="85"/>
      <c r="AA1480" s="85"/>
      <c r="AB1480" s="87"/>
      <c r="AC1480" s="85"/>
      <c r="AD1480" s="85"/>
      <c r="AE1480" s="85"/>
      <c r="AF1480" s="85"/>
      <c r="AG1480" s="85"/>
      <c r="AH1480" s="85"/>
      <c r="AI1480" s="85"/>
      <c r="AJ1480" s="85"/>
      <c r="AK1480" s="85"/>
      <c r="AL1480" s="85"/>
      <c r="AM1480" s="85"/>
      <c r="AN1480" s="88"/>
      <c r="AO1480" s="89"/>
      <c r="AP1480" s="90"/>
      <c r="AQ1480" s="90"/>
      <c r="AR1480" s="90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</row>
    <row r="1481">
      <c r="A1481" s="25" t="s">
        <v>2910</v>
      </c>
      <c r="B1481" s="33">
        <v>5.902280355359E12</v>
      </c>
      <c r="C1481" s="9" t="s">
        <v>2911</v>
      </c>
      <c r="D1481" s="15" t="s">
        <v>2912</v>
      </c>
      <c r="E1481" s="16">
        <v>13.0</v>
      </c>
      <c r="F1481" s="85"/>
      <c r="G1481" s="13"/>
      <c r="H1481" s="13"/>
      <c r="I1481" s="13"/>
      <c r="J1481" s="13"/>
      <c r="K1481" s="13"/>
      <c r="L1481" s="85"/>
      <c r="M1481" s="85"/>
      <c r="N1481" s="85"/>
      <c r="O1481" s="85"/>
      <c r="P1481" s="13"/>
      <c r="Q1481" s="13"/>
      <c r="R1481" s="13"/>
      <c r="S1481" s="85"/>
      <c r="T1481" s="85"/>
      <c r="U1481" s="85"/>
      <c r="V1481" s="86"/>
      <c r="W1481" s="87"/>
      <c r="X1481" s="87"/>
      <c r="Y1481" s="85"/>
      <c r="Z1481" s="85"/>
      <c r="AA1481" s="87"/>
      <c r="AB1481" s="85"/>
      <c r="AC1481" s="85"/>
      <c r="AD1481" s="85"/>
      <c r="AE1481" s="85"/>
      <c r="AF1481" s="85"/>
      <c r="AG1481" s="85"/>
      <c r="AH1481" s="85"/>
      <c r="AI1481" s="85"/>
      <c r="AJ1481" s="85"/>
      <c r="AK1481" s="85"/>
      <c r="AL1481" s="85"/>
      <c r="AM1481" s="88"/>
      <c r="AN1481" s="89"/>
      <c r="AO1481" s="90"/>
      <c r="AP1481" s="90"/>
      <c r="AQ1481" s="90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</row>
    <row r="1482">
      <c r="A1482" s="25" t="s">
        <v>2913</v>
      </c>
      <c r="B1482" s="33">
        <v>5.902280355342E12</v>
      </c>
      <c r="C1482" s="9" t="s">
        <v>2914</v>
      </c>
      <c r="D1482" s="15" t="s">
        <v>2912</v>
      </c>
      <c r="E1482" s="16">
        <v>13.0</v>
      </c>
      <c r="F1482" s="85"/>
      <c r="G1482" s="13"/>
      <c r="H1482" s="13"/>
      <c r="I1482" s="13"/>
      <c r="J1482" s="13"/>
      <c r="K1482" s="13"/>
      <c r="L1482" s="85"/>
      <c r="M1482" s="85"/>
      <c r="N1482" s="85"/>
      <c r="O1482" s="85"/>
      <c r="P1482" s="13"/>
      <c r="Q1482" s="13"/>
      <c r="R1482" s="13"/>
      <c r="S1482" s="85"/>
      <c r="T1482" s="85"/>
      <c r="U1482" s="85"/>
      <c r="V1482" s="86"/>
      <c r="W1482" s="87"/>
      <c r="X1482" s="87"/>
      <c r="Y1482" s="85"/>
      <c r="Z1482" s="85"/>
      <c r="AA1482" s="87"/>
      <c r="AB1482" s="85"/>
      <c r="AC1482" s="85"/>
      <c r="AD1482" s="85"/>
      <c r="AE1482" s="85"/>
      <c r="AF1482" s="85"/>
      <c r="AG1482" s="85"/>
      <c r="AH1482" s="85"/>
      <c r="AI1482" s="85"/>
      <c r="AJ1482" s="85"/>
      <c r="AK1482" s="85"/>
      <c r="AL1482" s="85"/>
      <c r="AM1482" s="88"/>
      <c r="AN1482" s="89"/>
      <c r="AO1482" s="90"/>
      <c r="AP1482" s="90"/>
      <c r="AQ1482" s="90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</row>
    <row r="1483">
      <c r="A1483" s="25" t="s">
        <v>2915</v>
      </c>
      <c r="B1483" s="33">
        <v>5.902280355304E12</v>
      </c>
      <c r="C1483" s="9" t="s">
        <v>2916</v>
      </c>
      <c r="D1483" s="15" t="s">
        <v>2912</v>
      </c>
      <c r="E1483" s="16">
        <v>13.0</v>
      </c>
      <c r="F1483" s="85"/>
      <c r="G1483" s="13"/>
      <c r="H1483" s="13"/>
      <c r="I1483" s="13"/>
      <c r="J1483" s="13"/>
      <c r="K1483" s="13"/>
      <c r="L1483" s="85"/>
      <c r="M1483" s="85"/>
      <c r="N1483" s="85"/>
      <c r="O1483" s="85"/>
      <c r="P1483" s="13"/>
      <c r="Q1483" s="13"/>
      <c r="R1483" s="13"/>
      <c r="S1483" s="85"/>
      <c r="T1483" s="85"/>
      <c r="U1483" s="85"/>
      <c r="V1483" s="86"/>
      <c r="W1483" s="87"/>
      <c r="X1483" s="87"/>
      <c r="Y1483" s="85"/>
      <c r="Z1483" s="85"/>
      <c r="AA1483" s="87"/>
      <c r="AB1483" s="85"/>
      <c r="AC1483" s="85"/>
      <c r="AD1483" s="85"/>
      <c r="AE1483" s="85"/>
      <c r="AF1483" s="85"/>
      <c r="AG1483" s="85"/>
      <c r="AH1483" s="85"/>
      <c r="AI1483" s="85"/>
      <c r="AJ1483" s="85"/>
      <c r="AK1483" s="85"/>
      <c r="AL1483" s="85"/>
      <c r="AM1483" s="88"/>
      <c r="AN1483" s="89"/>
      <c r="AO1483" s="90"/>
      <c r="AP1483" s="90"/>
      <c r="AQ1483" s="90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</row>
    <row r="1484">
      <c r="A1484" s="25" t="s">
        <v>2917</v>
      </c>
      <c r="B1484" s="33">
        <v>5.902280355311E12</v>
      </c>
      <c r="C1484" s="9" t="s">
        <v>2918</v>
      </c>
      <c r="D1484" s="15" t="s">
        <v>2912</v>
      </c>
      <c r="E1484" s="16">
        <v>17.0</v>
      </c>
      <c r="F1484" s="85"/>
      <c r="G1484" s="13"/>
      <c r="H1484" s="13"/>
      <c r="I1484" s="13"/>
      <c r="J1484" s="13"/>
      <c r="K1484" s="13"/>
      <c r="L1484" s="85"/>
      <c r="M1484" s="85"/>
      <c r="N1484" s="85"/>
      <c r="O1484" s="85"/>
      <c r="P1484" s="13"/>
      <c r="Q1484" s="13"/>
      <c r="R1484" s="13"/>
      <c r="S1484" s="85"/>
      <c r="T1484" s="85"/>
      <c r="U1484" s="85"/>
      <c r="V1484" s="86"/>
      <c r="W1484" s="87"/>
      <c r="X1484" s="87"/>
      <c r="Y1484" s="85"/>
      <c r="Z1484" s="85"/>
      <c r="AA1484" s="87"/>
      <c r="AB1484" s="85"/>
      <c r="AC1484" s="85"/>
      <c r="AD1484" s="85"/>
      <c r="AE1484" s="85"/>
      <c r="AF1484" s="85"/>
      <c r="AG1484" s="85"/>
      <c r="AH1484" s="85"/>
      <c r="AI1484" s="85"/>
      <c r="AJ1484" s="85"/>
      <c r="AK1484" s="85"/>
      <c r="AL1484" s="85"/>
      <c r="AM1484" s="88"/>
      <c r="AN1484" s="89"/>
      <c r="AO1484" s="90"/>
      <c r="AP1484" s="90"/>
      <c r="AQ1484" s="90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</row>
    <row r="1485">
      <c r="A1485" s="25" t="s">
        <v>2919</v>
      </c>
      <c r="B1485" s="33">
        <v>5.902280350286E12</v>
      </c>
      <c r="C1485" s="9" t="s">
        <v>2920</v>
      </c>
      <c r="D1485" s="15" t="s">
        <v>2912</v>
      </c>
      <c r="E1485" s="16">
        <v>25.0</v>
      </c>
      <c r="F1485" s="85"/>
      <c r="G1485" s="13"/>
      <c r="H1485" s="13"/>
      <c r="I1485" s="13"/>
      <c r="J1485" s="13"/>
      <c r="K1485" s="13"/>
      <c r="L1485" s="85"/>
      <c r="M1485" s="85"/>
      <c r="N1485" s="85"/>
      <c r="O1485" s="85"/>
      <c r="P1485" s="13"/>
      <c r="Q1485" s="13"/>
      <c r="R1485" s="13"/>
      <c r="S1485" s="85"/>
      <c r="T1485" s="85"/>
      <c r="U1485" s="85"/>
      <c r="V1485" s="86"/>
      <c r="W1485" s="87"/>
      <c r="X1485" s="87"/>
      <c r="Y1485" s="85"/>
      <c r="Z1485" s="85"/>
      <c r="AA1485" s="87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8"/>
      <c r="AN1485" s="89"/>
      <c r="AO1485" s="90"/>
      <c r="AP1485" s="90"/>
      <c r="AQ1485" s="90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</row>
    <row r="1486">
      <c r="A1486" s="25" t="s">
        <v>2921</v>
      </c>
      <c r="B1486" s="33">
        <v>5.902280350293E12</v>
      </c>
      <c r="C1486" s="9" t="s">
        <v>2922</v>
      </c>
      <c r="D1486" s="15" t="s">
        <v>2912</v>
      </c>
      <c r="E1486" s="16">
        <v>50.0</v>
      </c>
      <c r="F1486" s="85"/>
      <c r="G1486" s="13"/>
      <c r="H1486" s="13"/>
      <c r="I1486" s="13"/>
      <c r="J1486" s="13"/>
      <c r="K1486" s="13"/>
      <c r="L1486" s="85"/>
      <c r="M1486" s="85"/>
      <c r="N1486" s="85"/>
      <c r="O1486" s="85"/>
      <c r="P1486" s="13"/>
      <c r="Q1486" s="13"/>
      <c r="R1486" s="13"/>
      <c r="S1486" s="85"/>
      <c r="T1486" s="85"/>
      <c r="U1486" s="85"/>
      <c r="V1486" s="86"/>
      <c r="W1486" s="87"/>
      <c r="X1486" s="87"/>
      <c r="Y1486" s="85"/>
      <c r="Z1486" s="85"/>
      <c r="AA1486" s="87"/>
      <c r="AB1486" s="85"/>
      <c r="AC1486" s="85"/>
      <c r="AD1486" s="85"/>
      <c r="AE1486" s="85"/>
      <c r="AF1486" s="85"/>
      <c r="AG1486" s="85"/>
      <c r="AH1486" s="85"/>
      <c r="AI1486" s="85"/>
      <c r="AJ1486" s="85"/>
      <c r="AK1486" s="85"/>
      <c r="AL1486" s="85"/>
      <c r="AM1486" s="88"/>
      <c r="AN1486" s="89"/>
      <c r="AO1486" s="90"/>
      <c r="AP1486" s="90"/>
      <c r="AQ1486" s="90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</row>
    <row r="1487">
      <c r="A1487" s="25" t="s">
        <v>2923</v>
      </c>
      <c r="B1487" s="33">
        <v>5.902280350316E12</v>
      </c>
      <c r="C1487" s="9" t="s">
        <v>2924</v>
      </c>
      <c r="D1487" s="15" t="s">
        <v>2912</v>
      </c>
      <c r="E1487" s="16">
        <v>75.0</v>
      </c>
      <c r="F1487" s="85"/>
      <c r="G1487" s="13"/>
      <c r="H1487" s="13"/>
      <c r="I1487" s="13"/>
      <c r="J1487" s="13"/>
      <c r="K1487" s="13"/>
      <c r="L1487" s="85"/>
      <c r="M1487" s="85"/>
      <c r="N1487" s="85"/>
      <c r="O1487" s="85"/>
      <c r="P1487" s="13"/>
      <c r="Q1487" s="13"/>
      <c r="R1487" s="13"/>
      <c r="S1487" s="85"/>
      <c r="T1487" s="85"/>
      <c r="U1487" s="85"/>
      <c r="V1487" s="86"/>
      <c r="W1487" s="87"/>
      <c r="X1487" s="87"/>
      <c r="Y1487" s="85"/>
      <c r="Z1487" s="85"/>
      <c r="AA1487" s="87"/>
      <c r="AB1487" s="85"/>
      <c r="AC1487" s="85"/>
      <c r="AD1487" s="85"/>
      <c r="AE1487" s="85"/>
      <c r="AF1487" s="85"/>
      <c r="AG1487" s="85"/>
      <c r="AH1487" s="85"/>
      <c r="AI1487" s="85"/>
      <c r="AJ1487" s="85"/>
      <c r="AK1487" s="85"/>
      <c r="AL1487" s="85"/>
      <c r="AM1487" s="88"/>
      <c r="AN1487" s="89"/>
      <c r="AO1487" s="90"/>
      <c r="AP1487" s="90"/>
      <c r="AQ1487" s="90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</row>
    <row r="1488">
      <c r="A1488" s="95"/>
      <c r="B1488" s="96"/>
      <c r="C1488" s="95"/>
      <c r="D1488" s="97"/>
      <c r="E1488" s="98"/>
      <c r="F1488" s="85"/>
      <c r="G1488" s="13"/>
      <c r="H1488" s="13"/>
      <c r="I1488" s="13"/>
      <c r="J1488" s="13"/>
      <c r="K1488" s="13"/>
      <c r="L1488" s="85"/>
      <c r="M1488" s="85"/>
      <c r="N1488" s="85"/>
      <c r="O1488" s="85"/>
      <c r="P1488" s="13"/>
      <c r="Q1488" s="13"/>
      <c r="R1488" s="13"/>
      <c r="S1488" s="85"/>
      <c r="T1488" s="85"/>
      <c r="U1488" s="85"/>
      <c r="V1488" s="86"/>
      <c r="W1488" s="87"/>
      <c r="X1488" s="87"/>
      <c r="Y1488" s="85"/>
      <c r="Z1488" s="85"/>
      <c r="AA1488" s="87"/>
      <c r="AB1488" s="85"/>
      <c r="AC1488" s="85"/>
      <c r="AD1488" s="85"/>
      <c r="AE1488" s="85"/>
      <c r="AF1488" s="85"/>
      <c r="AG1488" s="85"/>
      <c r="AH1488" s="85"/>
      <c r="AI1488" s="85"/>
      <c r="AJ1488" s="85"/>
      <c r="AK1488" s="85"/>
      <c r="AL1488" s="85"/>
      <c r="AM1488" s="88"/>
      <c r="AN1488" s="89"/>
      <c r="AO1488" s="90"/>
      <c r="AP1488" s="90"/>
      <c r="AQ1488" s="90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</row>
    <row r="1489">
      <c r="A1489" s="95"/>
      <c r="B1489" s="96"/>
      <c r="C1489" s="95"/>
      <c r="D1489" s="97"/>
      <c r="E1489" s="98"/>
      <c r="F1489" s="85"/>
      <c r="G1489" s="13"/>
      <c r="H1489" s="13"/>
      <c r="I1489" s="13"/>
      <c r="J1489" s="13"/>
      <c r="K1489" s="13"/>
      <c r="L1489" s="85"/>
      <c r="M1489" s="85"/>
      <c r="N1489" s="85"/>
      <c r="O1489" s="85"/>
      <c r="P1489" s="13"/>
      <c r="Q1489" s="13"/>
      <c r="R1489" s="13"/>
      <c r="S1489" s="85"/>
      <c r="T1489" s="85"/>
      <c r="U1489" s="85"/>
      <c r="V1489" s="86"/>
      <c r="W1489" s="87"/>
      <c r="X1489" s="87"/>
      <c r="Y1489" s="85"/>
      <c r="Z1489" s="85"/>
      <c r="AA1489" s="87"/>
      <c r="AB1489" s="85"/>
      <c r="AC1489" s="85"/>
      <c r="AD1489" s="85"/>
      <c r="AE1489" s="85"/>
      <c r="AF1489" s="85"/>
      <c r="AG1489" s="85"/>
      <c r="AH1489" s="85"/>
      <c r="AI1489" s="85"/>
      <c r="AJ1489" s="85"/>
      <c r="AK1489" s="85"/>
      <c r="AL1489" s="85"/>
      <c r="AM1489" s="88"/>
      <c r="AN1489" s="89"/>
      <c r="AO1489" s="90"/>
      <c r="AP1489" s="90"/>
      <c r="AQ1489" s="90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</row>
    <row r="1490">
      <c r="A1490" s="95"/>
      <c r="B1490" s="96"/>
      <c r="C1490" s="95"/>
      <c r="D1490" s="97"/>
      <c r="E1490" s="98"/>
      <c r="F1490" s="85"/>
      <c r="G1490" s="13"/>
      <c r="H1490" s="13"/>
      <c r="I1490" s="13"/>
      <c r="J1490" s="13"/>
      <c r="K1490" s="13"/>
      <c r="L1490" s="85"/>
      <c r="M1490" s="85"/>
      <c r="N1490" s="85"/>
      <c r="O1490" s="85"/>
      <c r="P1490" s="13"/>
      <c r="Q1490" s="13"/>
      <c r="R1490" s="13"/>
      <c r="S1490" s="85"/>
      <c r="T1490" s="85"/>
      <c r="U1490" s="85"/>
      <c r="V1490" s="86"/>
      <c r="W1490" s="87"/>
      <c r="X1490" s="87"/>
      <c r="Y1490" s="85"/>
      <c r="Z1490" s="85"/>
      <c r="AA1490" s="87"/>
      <c r="AB1490" s="85"/>
      <c r="AC1490" s="85"/>
      <c r="AD1490" s="85"/>
      <c r="AE1490" s="85"/>
      <c r="AF1490" s="85"/>
      <c r="AG1490" s="85"/>
      <c r="AH1490" s="85"/>
      <c r="AI1490" s="85"/>
      <c r="AJ1490" s="85"/>
      <c r="AK1490" s="85"/>
      <c r="AL1490" s="85"/>
      <c r="AM1490" s="88"/>
      <c r="AN1490" s="89"/>
      <c r="AO1490" s="90"/>
      <c r="AP1490" s="90"/>
      <c r="AQ1490" s="90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</row>
    <row r="1491">
      <c r="A1491" s="95"/>
      <c r="B1491" s="96"/>
      <c r="C1491" s="95"/>
      <c r="D1491" s="97"/>
      <c r="E1491" s="98"/>
      <c r="F1491" s="85"/>
      <c r="G1491" s="13"/>
      <c r="H1491" s="13"/>
      <c r="I1491" s="13"/>
      <c r="J1491" s="13"/>
      <c r="K1491" s="13"/>
      <c r="L1491" s="85"/>
      <c r="M1491" s="85"/>
      <c r="N1491" s="85"/>
      <c r="O1491" s="85"/>
      <c r="P1491" s="13"/>
      <c r="Q1491" s="13"/>
      <c r="R1491" s="13"/>
      <c r="S1491" s="85"/>
      <c r="T1491" s="85"/>
      <c r="U1491" s="85"/>
      <c r="V1491" s="86"/>
      <c r="W1491" s="87"/>
      <c r="X1491" s="87"/>
      <c r="Y1491" s="85"/>
      <c r="Z1491" s="85"/>
      <c r="AA1491" s="87"/>
      <c r="AB1491" s="85"/>
      <c r="AC1491" s="85"/>
      <c r="AD1491" s="85"/>
      <c r="AE1491" s="85"/>
      <c r="AF1491" s="85"/>
      <c r="AG1491" s="85"/>
      <c r="AH1491" s="85"/>
      <c r="AI1491" s="85"/>
      <c r="AJ1491" s="85"/>
      <c r="AK1491" s="85"/>
      <c r="AL1491" s="85"/>
      <c r="AM1491" s="88"/>
      <c r="AN1491" s="89"/>
      <c r="AO1491" s="90"/>
      <c r="AP1491" s="90"/>
      <c r="AQ1491" s="90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</row>
    <row r="1492">
      <c r="A1492" s="95"/>
      <c r="B1492" s="96"/>
      <c r="C1492" s="95"/>
      <c r="D1492" s="97"/>
      <c r="E1492" s="98"/>
      <c r="F1492" s="85"/>
      <c r="G1492" s="13"/>
      <c r="H1492" s="13"/>
      <c r="I1492" s="13"/>
      <c r="J1492" s="13"/>
      <c r="K1492" s="13"/>
      <c r="L1492" s="85"/>
      <c r="M1492" s="85"/>
      <c r="N1492" s="85"/>
      <c r="O1492" s="85"/>
      <c r="P1492" s="13"/>
      <c r="Q1492" s="13"/>
      <c r="R1492" s="13"/>
      <c r="S1492" s="85"/>
      <c r="T1492" s="85"/>
      <c r="U1492" s="85"/>
      <c r="V1492" s="86"/>
      <c r="W1492" s="87"/>
      <c r="X1492" s="87"/>
      <c r="Y1492" s="85"/>
      <c r="Z1492" s="85"/>
      <c r="AA1492" s="87"/>
      <c r="AB1492" s="85"/>
      <c r="AC1492" s="85"/>
      <c r="AD1492" s="85"/>
      <c r="AE1492" s="85"/>
      <c r="AF1492" s="85"/>
      <c r="AG1492" s="85"/>
      <c r="AH1492" s="85"/>
      <c r="AI1492" s="85"/>
      <c r="AJ1492" s="85"/>
      <c r="AK1492" s="85"/>
      <c r="AL1492" s="85"/>
      <c r="AM1492" s="88"/>
      <c r="AN1492" s="89"/>
      <c r="AO1492" s="90"/>
      <c r="AP1492" s="90"/>
      <c r="AQ1492" s="90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</row>
    <row r="1493">
      <c r="A1493" s="95"/>
      <c r="B1493" s="96"/>
      <c r="C1493" s="95"/>
      <c r="D1493" s="97"/>
      <c r="E1493" s="98"/>
      <c r="F1493" s="85"/>
      <c r="G1493" s="13"/>
      <c r="H1493" s="13"/>
      <c r="I1493" s="13"/>
      <c r="J1493" s="13"/>
      <c r="K1493" s="13"/>
      <c r="L1493" s="85"/>
      <c r="M1493" s="85"/>
      <c r="N1493" s="85"/>
      <c r="O1493" s="85"/>
      <c r="P1493" s="13"/>
      <c r="Q1493" s="13"/>
      <c r="R1493" s="13"/>
      <c r="S1493" s="85"/>
      <c r="T1493" s="85"/>
      <c r="U1493" s="85"/>
      <c r="V1493" s="86"/>
      <c r="W1493" s="87"/>
      <c r="X1493" s="87"/>
      <c r="Y1493" s="85"/>
      <c r="Z1493" s="85"/>
      <c r="AA1493" s="87"/>
      <c r="AB1493" s="85"/>
      <c r="AC1493" s="85"/>
      <c r="AD1493" s="85"/>
      <c r="AE1493" s="85"/>
      <c r="AF1493" s="85"/>
      <c r="AG1493" s="85"/>
      <c r="AH1493" s="85"/>
      <c r="AI1493" s="85"/>
      <c r="AJ1493" s="85"/>
      <c r="AK1493" s="85"/>
      <c r="AL1493" s="85"/>
      <c r="AM1493" s="88"/>
      <c r="AN1493" s="89"/>
      <c r="AO1493" s="90"/>
      <c r="AP1493" s="90"/>
      <c r="AQ1493" s="90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</row>
    <row r="1494">
      <c r="A1494" s="95"/>
      <c r="B1494" s="96"/>
      <c r="C1494" s="95"/>
      <c r="D1494" s="97"/>
      <c r="E1494" s="98"/>
      <c r="F1494" s="85"/>
      <c r="G1494" s="13"/>
      <c r="H1494" s="13"/>
      <c r="I1494" s="13"/>
      <c r="J1494" s="13"/>
      <c r="K1494" s="13"/>
      <c r="L1494" s="85"/>
      <c r="M1494" s="85"/>
      <c r="N1494" s="85"/>
      <c r="O1494" s="85"/>
      <c r="P1494" s="13"/>
      <c r="Q1494" s="13"/>
      <c r="R1494" s="13"/>
      <c r="S1494" s="85"/>
      <c r="T1494" s="85"/>
      <c r="U1494" s="85"/>
      <c r="V1494" s="86"/>
      <c r="W1494" s="87"/>
      <c r="X1494" s="87"/>
      <c r="Y1494" s="85"/>
      <c r="Z1494" s="85"/>
      <c r="AA1494" s="87"/>
      <c r="AB1494" s="85"/>
      <c r="AC1494" s="85"/>
      <c r="AD1494" s="85"/>
      <c r="AE1494" s="85"/>
      <c r="AF1494" s="85"/>
      <c r="AG1494" s="85"/>
      <c r="AH1494" s="85"/>
      <c r="AI1494" s="85"/>
      <c r="AJ1494" s="85"/>
      <c r="AK1494" s="85"/>
      <c r="AL1494" s="85"/>
      <c r="AM1494" s="88"/>
      <c r="AN1494" s="89"/>
      <c r="AO1494" s="90"/>
      <c r="AP1494" s="90"/>
      <c r="AQ1494" s="90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</row>
    <row r="1495">
      <c r="A1495" s="95"/>
      <c r="B1495" s="96"/>
      <c r="C1495" s="95"/>
      <c r="D1495" s="97"/>
      <c r="E1495" s="98"/>
      <c r="F1495" s="85"/>
      <c r="G1495" s="13"/>
      <c r="H1495" s="13"/>
      <c r="I1495" s="13"/>
      <c r="J1495" s="13"/>
      <c r="K1495" s="13"/>
      <c r="L1495" s="85"/>
      <c r="M1495" s="85"/>
      <c r="N1495" s="85"/>
      <c r="O1495" s="85"/>
      <c r="P1495" s="13"/>
      <c r="Q1495" s="13"/>
      <c r="R1495" s="13"/>
      <c r="S1495" s="85"/>
      <c r="T1495" s="85"/>
      <c r="U1495" s="85"/>
      <c r="V1495" s="86"/>
      <c r="W1495" s="87"/>
      <c r="X1495" s="87"/>
      <c r="Y1495" s="85"/>
      <c r="Z1495" s="85"/>
      <c r="AA1495" s="87"/>
      <c r="AB1495" s="85"/>
      <c r="AC1495" s="85"/>
      <c r="AD1495" s="85"/>
      <c r="AE1495" s="85"/>
      <c r="AF1495" s="85"/>
      <c r="AG1495" s="85"/>
      <c r="AH1495" s="85"/>
      <c r="AI1495" s="85"/>
      <c r="AJ1495" s="85"/>
      <c r="AK1495" s="85"/>
      <c r="AL1495" s="85"/>
      <c r="AM1495" s="88"/>
      <c r="AN1495" s="89"/>
      <c r="AO1495" s="90"/>
      <c r="AP1495" s="90"/>
      <c r="AQ1495" s="90"/>
      <c r="AR1495" s="13"/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13"/>
      <c r="BP1495" s="13"/>
      <c r="BQ1495" s="13"/>
    </row>
    <row r="1496">
      <c r="A1496" s="95"/>
      <c r="B1496" s="96"/>
      <c r="C1496" s="95"/>
      <c r="D1496" s="97"/>
      <c r="E1496" s="98"/>
      <c r="F1496" s="85"/>
      <c r="G1496" s="13"/>
      <c r="H1496" s="13"/>
      <c r="I1496" s="13"/>
      <c r="J1496" s="13"/>
      <c r="K1496" s="13"/>
      <c r="L1496" s="85"/>
      <c r="M1496" s="85"/>
      <c r="N1496" s="85"/>
      <c r="O1496" s="85"/>
      <c r="P1496" s="13"/>
      <c r="Q1496" s="13"/>
      <c r="R1496" s="13"/>
      <c r="S1496" s="85"/>
      <c r="T1496" s="85"/>
      <c r="U1496" s="85"/>
      <c r="V1496" s="86"/>
      <c r="W1496" s="87"/>
      <c r="X1496" s="87"/>
      <c r="Y1496" s="85"/>
      <c r="Z1496" s="85"/>
      <c r="AA1496" s="87"/>
      <c r="AB1496" s="85"/>
      <c r="AC1496" s="85"/>
      <c r="AD1496" s="85"/>
      <c r="AE1496" s="85"/>
      <c r="AF1496" s="85"/>
      <c r="AG1496" s="85"/>
      <c r="AH1496" s="85"/>
      <c r="AI1496" s="85"/>
      <c r="AJ1496" s="85"/>
      <c r="AK1496" s="85"/>
      <c r="AL1496" s="85"/>
      <c r="AM1496" s="88"/>
      <c r="AN1496" s="89"/>
      <c r="AO1496" s="90"/>
      <c r="AP1496" s="90"/>
      <c r="AQ1496" s="90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</row>
    <row r="1497">
      <c r="A1497" s="95"/>
      <c r="B1497" s="96"/>
      <c r="C1497" s="95"/>
      <c r="D1497" s="97"/>
      <c r="E1497" s="98"/>
      <c r="F1497" s="85"/>
      <c r="G1497" s="13"/>
      <c r="H1497" s="13"/>
      <c r="I1497" s="13"/>
      <c r="J1497" s="13"/>
      <c r="K1497" s="13"/>
      <c r="L1497" s="85"/>
      <c r="M1497" s="85"/>
      <c r="N1497" s="85"/>
      <c r="O1497" s="85"/>
      <c r="P1497" s="13"/>
      <c r="Q1497" s="13"/>
      <c r="R1497" s="13"/>
      <c r="S1497" s="85"/>
      <c r="T1497" s="85"/>
      <c r="U1497" s="85"/>
      <c r="V1497" s="86"/>
      <c r="W1497" s="87"/>
      <c r="X1497" s="87"/>
      <c r="Y1497" s="85"/>
      <c r="Z1497" s="85"/>
      <c r="AA1497" s="87"/>
      <c r="AB1497" s="85"/>
      <c r="AC1497" s="85"/>
      <c r="AD1497" s="85"/>
      <c r="AE1497" s="85"/>
      <c r="AF1497" s="85"/>
      <c r="AG1497" s="85"/>
      <c r="AH1497" s="85"/>
      <c r="AI1497" s="85"/>
      <c r="AJ1497" s="85"/>
      <c r="AK1497" s="85"/>
      <c r="AL1497" s="85"/>
      <c r="AM1497" s="88"/>
      <c r="AN1497" s="89"/>
      <c r="AO1497" s="90"/>
      <c r="AP1497" s="90"/>
      <c r="AQ1497" s="90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</row>
    <row r="1498">
      <c r="A1498" s="95"/>
      <c r="B1498" s="96"/>
      <c r="C1498" s="95"/>
      <c r="D1498" s="97"/>
      <c r="E1498" s="98"/>
      <c r="F1498" s="85"/>
      <c r="G1498" s="13"/>
      <c r="H1498" s="13"/>
      <c r="I1498" s="13"/>
      <c r="J1498" s="13"/>
      <c r="K1498" s="13"/>
      <c r="L1498" s="85"/>
      <c r="M1498" s="85"/>
      <c r="N1498" s="85"/>
      <c r="O1498" s="85"/>
      <c r="P1498" s="13"/>
      <c r="Q1498" s="13"/>
      <c r="R1498" s="13"/>
      <c r="S1498" s="85"/>
      <c r="T1498" s="85"/>
      <c r="U1498" s="85"/>
      <c r="V1498" s="86"/>
      <c r="W1498" s="87"/>
      <c r="X1498" s="87"/>
      <c r="Y1498" s="85"/>
      <c r="Z1498" s="85"/>
      <c r="AA1498" s="87"/>
      <c r="AB1498" s="85"/>
      <c r="AC1498" s="85"/>
      <c r="AD1498" s="85"/>
      <c r="AE1498" s="85"/>
      <c r="AF1498" s="85"/>
      <c r="AG1498" s="85"/>
      <c r="AH1498" s="85"/>
      <c r="AI1498" s="85"/>
      <c r="AJ1498" s="85"/>
      <c r="AK1498" s="85"/>
      <c r="AL1498" s="85"/>
      <c r="AM1498" s="88"/>
      <c r="AN1498" s="89"/>
      <c r="AO1498" s="90"/>
      <c r="AP1498" s="90"/>
      <c r="AQ1498" s="90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</row>
    <row r="1499">
      <c r="A1499" s="95"/>
      <c r="B1499" s="96"/>
      <c r="C1499" s="95"/>
      <c r="D1499" s="97"/>
      <c r="E1499" s="98"/>
      <c r="F1499" s="85"/>
      <c r="G1499" s="13"/>
      <c r="H1499" s="13"/>
      <c r="I1499" s="13"/>
      <c r="J1499" s="13"/>
      <c r="K1499" s="13"/>
      <c r="L1499" s="85"/>
      <c r="M1499" s="85"/>
      <c r="N1499" s="85"/>
      <c r="O1499" s="85"/>
      <c r="P1499" s="13"/>
      <c r="Q1499" s="13"/>
      <c r="R1499" s="13"/>
      <c r="S1499" s="85"/>
      <c r="T1499" s="85"/>
      <c r="U1499" s="85"/>
      <c r="V1499" s="86"/>
      <c r="W1499" s="87"/>
      <c r="X1499" s="87"/>
      <c r="Y1499" s="85"/>
      <c r="Z1499" s="85"/>
      <c r="AA1499" s="87"/>
      <c r="AB1499" s="85"/>
      <c r="AC1499" s="85"/>
      <c r="AD1499" s="85"/>
      <c r="AE1499" s="85"/>
      <c r="AF1499" s="85"/>
      <c r="AG1499" s="85"/>
      <c r="AH1499" s="85"/>
      <c r="AI1499" s="85"/>
      <c r="AJ1499" s="85"/>
      <c r="AK1499" s="85"/>
      <c r="AL1499" s="85"/>
      <c r="AM1499" s="88"/>
      <c r="AN1499" s="89"/>
      <c r="AO1499" s="90"/>
      <c r="AP1499" s="90"/>
      <c r="AQ1499" s="90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/>
      <c r="BP1499" s="13"/>
      <c r="BQ1499" s="13"/>
    </row>
    <row r="1500">
      <c r="A1500" s="95"/>
      <c r="B1500" s="96"/>
      <c r="C1500" s="95"/>
      <c r="D1500" s="97"/>
      <c r="E1500" s="98"/>
      <c r="F1500" s="85"/>
      <c r="G1500" s="13"/>
      <c r="H1500" s="13"/>
      <c r="I1500" s="13"/>
      <c r="J1500" s="13"/>
      <c r="K1500" s="13"/>
      <c r="L1500" s="85"/>
      <c r="M1500" s="85"/>
      <c r="N1500" s="85"/>
      <c r="O1500" s="85"/>
      <c r="P1500" s="13"/>
      <c r="Q1500" s="13"/>
      <c r="R1500" s="13"/>
      <c r="S1500" s="85"/>
      <c r="T1500" s="85"/>
      <c r="U1500" s="85"/>
      <c r="V1500" s="86"/>
      <c r="W1500" s="87"/>
      <c r="X1500" s="87"/>
      <c r="Y1500" s="85"/>
      <c r="Z1500" s="85"/>
      <c r="AA1500" s="87"/>
      <c r="AB1500" s="85"/>
      <c r="AC1500" s="85"/>
      <c r="AD1500" s="85"/>
      <c r="AE1500" s="85"/>
      <c r="AF1500" s="85"/>
      <c r="AG1500" s="85"/>
      <c r="AH1500" s="85"/>
      <c r="AI1500" s="85"/>
      <c r="AJ1500" s="85"/>
      <c r="AK1500" s="85"/>
      <c r="AL1500" s="85"/>
      <c r="AM1500" s="88"/>
      <c r="AN1500" s="89"/>
      <c r="AO1500" s="90"/>
      <c r="AP1500" s="90"/>
      <c r="AQ1500" s="90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/>
    </row>
    <row r="1501">
      <c r="A1501" s="95"/>
      <c r="B1501" s="96"/>
      <c r="C1501" s="95"/>
      <c r="D1501" s="97"/>
      <c r="E1501" s="98"/>
      <c r="F1501" s="85"/>
      <c r="G1501" s="13"/>
      <c r="H1501" s="13"/>
      <c r="I1501" s="13"/>
      <c r="J1501" s="13"/>
      <c r="K1501" s="13"/>
      <c r="L1501" s="85"/>
      <c r="M1501" s="85"/>
      <c r="N1501" s="85"/>
      <c r="O1501" s="85"/>
      <c r="P1501" s="13"/>
      <c r="Q1501" s="13"/>
      <c r="R1501" s="13"/>
      <c r="S1501" s="85"/>
      <c r="T1501" s="85"/>
      <c r="U1501" s="85"/>
      <c r="V1501" s="86"/>
      <c r="W1501" s="87"/>
      <c r="X1501" s="87"/>
      <c r="Y1501" s="85"/>
      <c r="Z1501" s="85"/>
      <c r="AA1501" s="87"/>
      <c r="AB1501" s="85"/>
      <c r="AC1501" s="85"/>
      <c r="AD1501" s="85"/>
      <c r="AE1501" s="85"/>
      <c r="AF1501" s="85"/>
      <c r="AG1501" s="85"/>
      <c r="AH1501" s="85"/>
      <c r="AI1501" s="85"/>
      <c r="AJ1501" s="85"/>
      <c r="AK1501" s="85"/>
      <c r="AL1501" s="85"/>
      <c r="AM1501" s="88"/>
      <c r="AN1501" s="89"/>
      <c r="AO1501" s="90"/>
      <c r="AP1501" s="90"/>
      <c r="AQ1501" s="90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/>
    </row>
    <row r="1502">
      <c r="A1502" s="95"/>
      <c r="B1502" s="96"/>
      <c r="C1502" s="95"/>
      <c r="D1502" s="97"/>
      <c r="E1502" s="98"/>
      <c r="F1502" s="85"/>
      <c r="G1502" s="13"/>
      <c r="H1502" s="13"/>
      <c r="I1502" s="13"/>
      <c r="J1502" s="13"/>
      <c r="K1502" s="13"/>
      <c r="L1502" s="85"/>
      <c r="M1502" s="85"/>
      <c r="N1502" s="85"/>
      <c r="O1502" s="85"/>
      <c r="P1502" s="13"/>
      <c r="Q1502" s="13"/>
      <c r="R1502" s="13"/>
      <c r="S1502" s="85"/>
      <c r="T1502" s="85"/>
      <c r="U1502" s="85"/>
      <c r="V1502" s="86"/>
      <c r="W1502" s="87"/>
      <c r="X1502" s="87"/>
      <c r="Y1502" s="85"/>
      <c r="Z1502" s="85"/>
      <c r="AA1502" s="87"/>
      <c r="AB1502" s="85"/>
      <c r="AC1502" s="85"/>
      <c r="AD1502" s="85"/>
      <c r="AE1502" s="85"/>
      <c r="AF1502" s="85"/>
      <c r="AG1502" s="85"/>
      <c r="AH1502" s="85"/>
      <c r="AI1502" s="85"/>
      <c r="AJ1502" s="85"/>
      <c r="AK1502" s="85"/>
      <c r="AL1502" s="85"/>
      <c r="AM1502" s="88"/>
      <c r="AN1502" s="89"/>
      <c r="AO1502" s="90"/>
      <c r="AP1502" s="90"/>
      <c r="AQ1502" s="90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3"/>
      <c r="BP1502" s="13"/>
      <c r="BQ1502" s="13"/>
    </row>
    <row r="1503">
      <c r="A1503" s="95"/>
      <c r="B1503" s="96"/>
      <c r="C1503" s="95"/>
      <c r="D1503" s="97"/>
      <c r="E1503" s="98"/>
      <c r="F1503" s="85"/>
      <c r="G1503" s="13"/>
      <c r="H1503" s="13"/>
      <c r="I1503" s="13"/>
      <c r="J1503" s="13"/>
      <c r="K1503" s="13"/>
      <c r="L1503" s="85"/>
      <c r="M1503" s="85"/>
      <c r="N1503" s="85"/>
      <c r="O1503" s="85"/>
      <c r="P1503" s="13"/>
      <c r="Q1503" s="13"/>
      <c r="R1503" s="13"/>
      <c r="S1503" s="85"/>
      <c r="T1503" s="85"/>
      <c r="U1503" s="85"/>
      <c r="V1503" s="86"/>
      <c r="W1503" s="87"/>
      <c r="X1503" s="87"/>
      <c r="Y1503" s="85"/>
      <c r="Z1503" s="85"/>
      <c r="AA1503" s="87"/>
      <c r="AB1503" s="85"/>
      <c r="AC1503" s="85"/>
      <c r="AD1503" s="85"/>
      <c r="AE1503" s="85"/>
      <c r="AF1503" s="85"/>
      <c r="AG1503" s="85"/>
      <c r="AH1503" s="85"/>
      <c r="AI1503" s="85"/>
      <c r="AJ1503" s="85"/>
      <c r="AK1503" s="85"/>
      <c r="AL1503" s="85"/>
      <c r="AM1503" s="88"/>
      <c r="AN1503" s="89"/>
      <c r="AO1503" s="90"/>
      <c r="AP1503" s="90"/>
      <c r="AQ1503" s="90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</row>
    <row r="1504">
      <c r="A1504" s="95"/>
      <c r="B1504" s="96"/>
      <c r="C1504" s="95"/>
      <c r="D1504" s="97"/>
      <c r="E1504" s="98"/>
      <c r="F1504" s="85"/>
      <c r="G1504" s="13"/>
      <c r="H1504" s="13"/>
      <c r="I1504" s="13"/>
      <c r="J1504" s="13"/>
      <c r="K1504" s="13"/>
      <c r="L1504" s="85"/>
      <c r="M1504" s="85"/>
      <c r="N1504" s="85"/>
      <c r="O1504" s="85"/>
      <c r="P1504" s="13"/>
      <c r="Q1504" s="13"/>
      <c r="R1504" s="13"/>
      <c r="S1504" s="85"/>
      <c r="T1504" s="85"/>
      <c r="U1504" s="85"/>
      <c r="V1504" s="86"/>
      <c r="W1504" s="87"/>
      <c r="X1504" s="87"/>
      <c r="Y1504" s="85"/>
      <c r="Z1504" s="85"/>
      <c r="AA1504" s="87"/>
      <c r="AB1504" s="85"/>
      <c r="AC1504" s="85"/>
      <c r="AD1504" s="85"/>
      <c r="AE1504" s="85"/>
      <c r="AF1504" s="85"/>
      <c r="AG1504" s="85"/>
      <c r="AH1504" s="85"/>
      <c r="AI1504" s="85"/>
      <c r="AJ1504" s="85"/>
      <c r="AK1504" s="85"/>
      <c r="AL1504" s="85"/>
      <c r="AM1504" s="88"/>
      <c r="AN1504" s="89"/>
      <c r="AO1504" s="90"/>
      <c r="AP1504" s="90"/>
      <c r="AQ1504" s="90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/>
    </row>
    <row r="1505">
      <c r="A1505" s="95"/>
      <c r="B1505" s="96"/>
      <c r="C1505" s="95"/>
      <c r="D1505" s="97"/>
      <c r="E1505" s="98"/>
      <c r="F1505" s="85"/>
      <c r="G1505" s="13"/>
      <c r="H1505" s="13"/>
      <c r="I1505" s="13"/>
      <c r="J1505" s="13"/>
      <c r="K1505" s="13"/>
      <c r="L1505" s="85"/>
      <c r="M1505" s="85"/>
      <c r="N1505" s="85"/>
      <c r="O1505" s="85"/>
      <c r="P1505" s="13"/>
      <c r="Q1505" s="13"/>
      <c r="R1505" s="13"/>
      <c r="S1505" s="85"/>
      <c r="T1505" s="85"/>
      <c r="U1505" s="85"/>
      <c r="V1505" s="86"/>
      <c r="W1505" s="87"/>
      <c r="X1505" s="87"/>
      <c r="Y1505" s="85"/>
      <c r="Z1505" s="85"/>
      <c r="AA1505" s="87"/>
      <c r="AB1505" s="85"/>
      <c r="AC1505" s="85"/>
      <c r="AD1505" s="85"/>
      <c r="AE1505" s="85"/>
      <c r="AF1505" s="85"/>
      <c r="AG1505" s="85"/>
      <c r="AH1505" s="85"/>
      <c r="AI1505" s="85"/>
      <c r="AJ1505" s="85"/>
      <c r="AK1505" s="85"/>
      <c r="AL1505" s="85"/>
      <c r="AM1505" s="88"/>
      <c r="AN1505" s="89"/>
      <c r="AO1505" s="90"/>
      <c r="AP1505" s="90"/>
      <c r="AQ1505" s="90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</row>
    <row r="1506">
      <c r="A1506" s="95"/>
      <c r="B1506" s="96"/>
      <c r="C1506" s="95"/>
      <c r="D1506" s="97"/>
      <c r="E1506" s="98"/>
      <c r="F1506" s="85"/>
      <c r="G1506" s="13"/>
      <c r="H1506" s="13"/>
      <c r="I1506" s="13"/>
      <c r="J1506" s="13"/>
      <c r="K1506" s="13"/>
      <c r="L1506" s="85"/>
      <c r="M1506" s="85"/>
      <c r="N1506" s="85"/>
      <c r="O1506" s="85"/>
      <c r="P1506" s="13"/>
      <c r="Q1506" s="13"/>
      <c r="R1506" s="13"/>
      <c r="S1506" s="85"/>
      <c r="T1506" s="85"/>
      <c r="U1506" s="85"/>
      <c r="V1506" s="86"/>
      <c r="W1506" s="87"/>
      <c r="X1506" s="87"/>
      <c r="Y1506" s="85"/>
      <c r="Z1506" s="85"/>
      <c r="AA1506" s="87"/>
      <c r="AB1506" s="85"/>
      <c r="AC1506" s="85"/>
      <c r="AD1506" s="85"/>
      <c r="AE1506" s="85"/>
      <c r="AF1506" s="85"/>
      <c r="AG1506" s="85"/>
      <c r="AH1506" s="85"/>
      <c r="AI1506" s="85"/>
      <c r="AJ1506" s="85"/>
      <c r="AK1506" s="85"/>
      <c r="AL1506" s="85"/>
      <c r="AM1506" s="88"/>
      <c r="AN1506" s="89"/>
      <c r="AO1506" s="90"/>
      <c r="AP1506" s="90"/>
      <c r="AQ1506" s="90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</row>
    <row r="1507">
      <c r="A1507" s="95"/>
      <c r="B1507" s="96"/>
      <c r="C1507" s="95"/>
      <c r="D1507" s="97"/>
      <c r="E1507" s="98"/>
      <c r="F1507" s="85"/>
      <c r="G1507" s="13"/>
      <c r="H1507" s="13"/>
      <c r="I1507" s="13"/>
      <c r="J1507" s="13"/>
      <c r="K1507" s="13"/>
      <c r="L1507" s="85"/>
      <c r="M1507" s="85"/>
      <c r="N1507" s="85"/>
      <c r="O1507" s="85"/>
      <c r="P1507" s="13"/>
      <c r="Q1507" s="13"/>
      <c r="R1507" s="13"/>
      <c r="S1507" s="85"/>
      <c r="T1507" s="85"/>
      <c r="U1507" s="85"/>
      <c r="V1507" s="86"/>
      <c r="W1507" s="87"/>
      <c r="X1507" s="87"/>
      <c r="Y1507" s="85"/>
      <c r="Z1507" s="85"/>
      <c r="AA1507" s="87"/>
      <c r="AB1507" s="85"/>
      <c r="AC1507" s="85"/>
      <c r="AD1507" s="85"/>
      <c r="AE1507" s="85"/>
      <c r="AF1507" s="85"/>
      <c r="AG1507" s="85"/>
      <c r="AH1507" s="85"/>
      <c r="AI1507" s="85"/>
      <c r="AJ1507" s="85"/>
      <c r="AK1507" s="85"/>
      <c r="AL1507" s="85"/>
      <c r="AM1507" s="88"/>
      <c r="AN1507" s="89"/>
      <c r="AO1507" s="90"/>
      <c r="AP1507" s="90"/>
      <c r="AQ1507" s="90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13"/>
      <c r="BP1507" s="13"/>
      <c r="BQ1507" s="13"/>
    </row>
    <row r="1508">
      <c r="A1508" s="95"/>
      <c r="B1508" s="96"/>
      <c r="C1508" s="95"/>
      <c r="D1508" s="97"/>
      <c r="E1508" s="98"/>
      <c r="F1508" s="85"/>
      <c r="G1508" s="13"/>
      <c r="H1508" s="13"/>
      <c r="I1508" s="13"/>
      <c r="J1508" s="13"/>
      <c r="K1508" s="13"/>
      <c r="L1508" s="85"/>
      <c r="M1508" s="85"/>
      <c r="N1508" s="85"/>
      <c r="O1508" s="85"/>
      <c r="P1508" s="13"/>
      <c r="Q1508" s="13"/>
      <c r="R1508" s="13"/>
      <c r="S1508" s="85"/>
      <c r="T1508" s="85"/>
      <c r="U1508" s="85"/>
      <c r="V1508" s="86"/>
      <c r="W1508" s="87"/>
      <c r="X1508" s="87"/>
      <c r="Y1508" s="85"/>
      <c r="Z1508" s="85"/>
      <c r="AA1508" s="87"/>
      <c r="AB1508" s="85"/>
      <c r="AC1508" s="85"/>
      <c r="AD1508" s="85"/>
      <c r="AE1508" s="85"/>
      <c r="AF1508" s="85"/>
      <c r="AG1508" s="85"/>
      <c r="AH1508" s="85"/>
      <c r="AI1508" s="85"/>
      <c r="AJ1508" s="85"/>
      <c r="AK1508" s="85"/>
      <c r="AL1508" s="85"/>
      <c r="AM1508" s="88"/>
      <c r="AN1508" s="89"/>
      <c r="AO1508" s="90"/>
      <c r="AP1508" s="90"/>
      <c r="AQ1508" s="90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</row>
    <row r="1509">
      <c r="A1509" s="95"/>
      <c r="B1509" s="96"/>
      <c r="C1509" s="95"/>
      <c r="D1509" s="97"/>
      <c r="E1509" s="98"/>
      <c r="F1509" s="85"/>
      <c r="G1509" s="13"/>
      <c r="H1509" s="13"/>
      <c r="I1509" s="13"/>
      <c r="J1509" s="13"/>
      <c r="K1509" s="13"/>
      <c r="L1509" s="85"/>
      <c r="M1509" s="85"/>
      <c r="N1509" s="85"/>
      <c r="O1509" s="85"/>
      <c r="P1509" s="13"/>
      <c r="Q1509" s="13"/>
      <c r="R1509" s="13"/>
      <c r="S1509" s="85"/>
      <c r="T1509" s="85"/>
      <c r="U1509" s="85"/>
      <c r="V1509" s="86"/>
      <c r="W1509" s="87"/>
      <c r="X1509" s="87"/>
      <c r="Y1509" s="85"/>
      <c r="Z1509" s="85"/>
      <c r="AA1509" s="87"/>
      <c r="AB1509" s="85"/>
      <c r="AC1509" s="85"/>
      <c r="AD1509" s="85"/>
      <c r="AE1509" s="85"/>
      <c r="AF1509" s="85"/>
      <c r="AG1509" s="85"/>
      <c r="AH1509" s="85"/>
      <c r="AI1509" s="85"/>
      <c r="AJ1509" s="85"/>
      <c r="AK1509" s="85"/>
      <c r="AL1509" s="85"/>
      <c r="AM1509" s="88"/>
      <c r="AN1509" s="89"/>
      <c r="AO1509" s="90"/>
      <c r="AP1509" s="90"/>
      <c r="AQ1509" s="90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/>
      <c r="BQ1509" s="13"/>
    </row>
    <row r="1510">
      <c r="A1510" s="95"/>
      <c r="B1510" s="96"/>
      <c r="C1510" s="95"/>
      <c r="D1510" s="97"/>
      <c r="E1510" s="98"/>
      <c r="F1510" s="85"/>
      <c r="G1510" s="13"/>
      <c r="H1510" s="13"/>
      <c r="I1510" s="13"/>
      <c r="J1510" s="13"/>
      <c r="K1510" s="13"/>
      <c r="L1510" s="85"/>
      <c r="M1510" s="85"/>
      <c r="N1510" s="85"/>
      <c r="O1510" s="85"/>
      <c r="P1510" s="13"/>
      <c r="Q1510" s="13"/>
      <c r="R1510" s="13"/>
      <c r="S1510" s="85"/>
      <c r="T1510" s="85"/>
      <c r="U1510" s="85"/>
      <c r="V1510" s="86"/>
      <c r="W1510" s="87"/>
      <c r="X1510" s="87"/>
      <c r="Y1510" s="85"/>
      <c r="Z1510" s="85"/>
      <c r="AA1510" s="87"/>
      <c r="AB1510" s="85"/>
      <c r="AC1510" s="85"/>
      <c r="AD1510" s="85"/>
      <c r="AE1510" s="85"/>
      <c r="AF1510" s="85"/>
      <c r="AG1510" s="85"/>
      <c r="AH1510" s="85"/>
      <c r="AI1510" s="85"/>
      <c r="AJ1510" s="85"/>
      <c r="AK1510" s="85"/>
      <c r="AL1510" s="85"/>
      <c r="AM1510" s="88"/>
      <c r="AN1510" s="89"/>
      <c r="AO1510" s="90"/>
      <c r="AP1510" s="90"/>
      <c r="AQ1510" s="90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3"/>
      <c r="BP1510" s="13"/>
      <c r="BQ1510" s="13"/>
    </row>
    <row r="1511">
      <c r="A1511" s="95"/>
      <c r="B1511" s="96"/>
      <c r="C1511" s="95"/>
      <c r="D1511" s="97"/>
      <c r="E1511" s="98"/>
      <c r="F1511" s="85"/>
      <c r="G1511" s="13"/>
      <c r="H1511" s="13"/>
      <c r="I1511" s="13"/>
      <c r="J1511" s="13"/>
      <c r="K1511" s="13"/>
      <c r="L1511" s="85"/>
      <c r="M1511" s="85"/>
      <c r="N1511" s="85"/>
      <c r="O1511" s="85"/>
      <c r="P1511" s="13"/>
      <c r="Q1511" s="13"/>
      <c r="R1511" s="13"/>
      <c r="S1511" s="85"/>
      <c r="T1511" s="85"/>
      <c r="U1511" s="85"/>
      <c r="V1511" s="86"/>
      <c r="W1511" s="87"/>
      <c r="X1511" s="87"/>
      <c r="Y1511" s="85"/>
      <c r="Z1511" s="85"/>
      <c r="AA1511" s="87"/>
      <c r="AB1511" s="85"/>
      <c r="AC1511" s="85"/>
      <c r="AD1511" s="85"/>
      <c r="AE1511" s="85"/>
      <c r="AF1511" s="85"/>
      <c r="AG1511" s="85"/>
      <c r="AH1511" s="85"/>
      <c r="AI1511" s="85"/>
      <c r="AJ1511" s="85"/>
      <c r="AK1511" s="85"/>
      <c r="AL1511" s="85"/>
      <c r="AM1511" s="88"/>
      <c r="AN1511" s="89"/>
      <c r="AO1511" s="90"/>
      <c r="AP1511" s="90"/>
      <c r="AQ1511" s="90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</row>
    <row r="1512">
      <c r="A1512" s="95"/>
      <c r="B1512" s="96"/>
      <c r="C1512" s="95"/>
      <c r="D1512" s="97"/>
      <c r="E1512" s="98"/>
      <c r="F1512" s="85"/>
      <c r="G1512" s="13"/>
      <c r="H1512" s="13"/>
      <c r="I1512" s="13"/>
      <c r="J1512" s="13"/>
      <c r="K1512" s="13"/>
      <c r="L1512" s="85"/>
      <c r="M1512" s="85"/>
      <c r="N1512" s="85"/>
      <c r="O1512" s="85"/>
      <c r="P1512" s="13"/>
      <c r="Q1512" s="13"/>
      <c r="R1512" s="13"/>
      <c r="S1512" s="85"/>
      <c r="T1512" s="85"/>
      <c r="U1512" s="85"/>
      <c r="V1512" s="86"/>
      <c r="W1512" s="87"/>
      <c r="X1512" s="87"/>
      <c r="Y1512" s="85"/>
      <c r="Z1512" s="85"/>
      <c r="AA1512" s="87"/>
      <c r="AB1512" s="85"/>
      <c r="AC1512" s="85"/>
      <c r="AD1512" s="85"/>
      <c r="AE1512" s="85"/>
      <c r="AF1512" s="85"/>
      <c r="AG1512" s="85"/>
      <c r="AH1512" s="85"/>
      <c r="AI1512" s="85"/>
      <c r="AJ1512" s="85"/>
      <c r="AK1512" s="85"/>
      <c r="AL1512" s="85"/>
      <c r="AM1512" s="88"/>
      <c r="AN1512" s="89"/>
      <c r="AO1512" s="90"/>
      <c r="AP1512" s="90"/>
      <c r="AQ1512" s="90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3"/>
      <c r="BP1512" s="13"/>
      <c r="BQ1512" s="13"/>
    </row>
    <row r="1513">
      <c r="A1513" s="95"/>
      <c r="B1513" s="96"/>
      <c r="C1513" s="95"/>
      <c r="D1513" s="97"/>
      <c r="E1513" s="98"/>
      <c r="F1513" s="85"/>
      <c r="G1513" s="13"/>
      <c r="H1513" s="13"/>
      <c r="I1513" s="13"/>
      <c r="J1513" s="13"/>
      <c r="K1513" s="13"/>
      <c r="L1513" s="85"/>
      <c r="M1513" s="85"/>
      <c r="N1513" s="85"/>
      <c r="O1513" s="85"/>
      <c r="P1513" s="13"/>
      <c r="Q1513" s="13"/>
      <c r="R1513" s="13"/>
      <c r="S1513" s="85"/>
      <c r="T1513" s="85"/>
      <c r="U1513" s="85"/>
      <c r="V1513" s="86"/>
      <c r="W1513" s="87"/>
      <c r="X1513" s="87"/>
      <c r="Y1513" s="85"/>
      <c r="Z1513" s="85"/>
      <c r="AA1513" s="87"/>
      <c r="AB1513" s="85"/>
      <c r="AC1513" s="85"/>
      <c r="AD1513" s="85"/>
      <c r="AE1513" s="85"/>
      <c r="AF1513" s="85"/>
      <c r="AG1513" s="85"/>
      <c r="AH1513" s="85"/>
      <c r="AI1513" s="85"/>
      <c r="AJ1513" s="85"/>
      <c r="AK1513" s="85"/>
      <c r="AL1513" s="85"/>
      <c r="AM1513" s="88"/>
      <c r="AN1513" s="89"/>
      <c r="AO1513" s="90"/>
      <c r="AP1513" s="90"/>
      <c r="AQ1513" s="90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/>
    </row>
    <row r="1514">
      <c r="A1514" s="95"/>
      <c r="B1514" s="96"/>
      <c r="C1514" s="95"/>
      <c r="D1514" s="97"/>
      <c r="E1514" s="98"/>
      <c r="F1514" s="85"/>
      <c r="G1514" s="13"/>
      <c r="H1514" s="13"/>
      <c r="I1514" s="13"/>
      <c r="J1514" s="13"/>
      <c r="K1514" s="13"/>
      <c r="L1514" s="85"/>
      <c r="M1514" s="85"/>
      <c r="N1514" s="85"/>
      <c r="O1514" s="85"/>
      <c r="P1514" s="13"/>
      <c r="Q1514" s="13"/>
      <c r="R1514" s="13"/>
      <c r="S1514" s="85"/>
      <c r="T1514" s="85"/>
      <c r="U1514" s="85"/>
      <c r="V1514" s="86"/>
      <c r="W1514" s="87"/>
      <c r="X1514" s="87"/>
      <c r="Y1514" s="85"/>
      <c r="Z1514" s="85"/>
      <c r="AA1514" s="87"/>
      <c r="AB1514" s="85"/>
      <c r="AC1514" s="85"/>
      <c r="AD1514" s="85"/>
      <c r="AE1514" s="85"/>
      <c r="AF1514" s="85"/>
      <c r="AG1514" s="85"/>
      <c r="AH1514" s="85"/>
      <c r="AI1514" s="85"/>
      <c r="AJ1514" s="85"/>
      <c r="AK1514" s="85"/>
      <c r="AL1514" s="85"/>
      <c r="AM1514" s="88"/>
      <c r="AN1514" s="89"/>
      <c r="AO1514" s="90"/>
      <c r="AP1514" s="90"/>
      <c r="AQ1514" s="90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</row>
    <row r="1515">
      <c r="A1515" s="95"/>
      <c r="B1515" s="96"/>
      <c r="C1515" s="95"/>
      <c r="D1515" s="97"/>
      <c r="E1515" s="98"/>
      <c r="F1515" s="85"/>
      <c r="G1515" s="13"/>
      <c r="H1515" s="13"/>
      <c r="I1515" s="13"/>
      <c r="J1515" s="13"/>
      <c r="K1515" s="13"/>
      <c r="L1515" s="85"/>
      <c r="M1515" s="85"/>
      <c r="N1515" s="85"/>
      <c r="O1515" s="85"/>
      <c r="P1515" s="13"/>
      <c r="Q1515" s="13"/>
      <c r="R1515" s="13"/>
      <c r="S1515" s="85"/>
      <c r="T1515" s="85"/>
      <c r="U1515" s="85"/>
      <c r="V1515" s="86"/>
      <c r="W1515" s="87"/>
      <c r="X1515" s="87"/>
      <c r="Y1515" s="85"/>
      <c r="Z1515" s="85"/>
      <c r="AA1515" s="87"/>
      <c r="AB1515" s="85"/>
      <c r="AC1515" s="85"/>
      <c r="AD1515" s="85"/>
      <c r="AE1515" s="85"/>
      <c r="AF1515" s="85"/>
      <c r="AG1515" s="85"/>
      <c r="AH1515" s="85"/>
      <c r="AI1515" s="85"/>
      <c r="AJ1515" s="85"/>
      <c r="AK1515" s="85"/>
      <c r="AL1515" s="85"/>
      <c r="AM1515" s="88"/>
      <c r="AN1515" s="89"/>
      <c r="AO1515" s="90"/>
      <c r="AP1515" s="90"/>
      <c r="AQ1515" s="90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</row>
    <row r="1516">
      <c r="A1516" s="95"/>
      <c r="B1516" s="96"/>
      <c r="C1516" s="95"/>
      <c r="D1516" s="97"/>
      <c r="E1516" s="98"/>
      <c r="F1516" s="85"/>
      <c r="G1516" s="13"/>
      <c r="H1516" s="13"/>
      <c r="I1516" s="13"/>
      <c r="J1516" s="13"/>
      <c r="K1516" s="13"/>
      <c r="L1516" s="85"/>
      <c r="M1516" s="85"/>
      <c r="N1516" s="85"/>
      <c r="O1516" s="85"/>
      <c r="P1516" s="13"/>
      <c r="Q1516" s="13"/>
      <c r="R1516" s="13"/>
      <c r="S1516" s="85"/>
      <c r="T1516" s="85"/>
      <c r="U1516" s="85"/>
      <c r="V1516" s="86"/>
      <c r="W1516" s="87"/>
      <c r="X1516" s="87"/>
      <c r="Y1516" s="85"/>
      <c r="Z1516" s="85"/>
      <c r="AA1516" s="87"/>
      <c r="AB1516" s="85"/>
      <c r="AC1516" s="85"/>
      <c r="AD1516" s="85"/>
      <c r="AE1516" s="85"/>
      <c r="AF1516" s="85"/>
      <c r="AG1516" s="85"/>
      <c r="AH1516" s="85"/>
      <c r="AI1516" s="85"/>
      <c r="AJ1516" s="85"/>
      <c r="AK1516" s="85"/>
      <c r="AL1516" s="85"/>
      <c r="AM1516" s="88"/>
      <c r="AN1516" s="89"/>
      <c r="AO1516" s="90"/>
      <c r="AP1516" s="90"/>
      <c r="AQ1516" s="90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</row>
    <row r="1517">
      <c r="A1517" s="95"/>
      <c r="B1517" s="96"/>
      <c r="C1517" s="95"/>
      <c r="D1517" s="97"/>
      <c r="E1517" s="98"/>
      <c r="F1517" s="85"/>
      <c r="G1517" s="13"/>
      <c r="H1517" s="13"/>
      <c r="I1517" s="13"/>
      <c r="J1517" s="13"/>
      <c r="K1517" s="13"/>
      <c r="L1517" s="85"/>
      <c r="M1517" s="85"/>
      <c r="N1517" s="85"/>
      <c r="O1517" s="85"/>
      <c r="P1517" s="13"/>
      <c r="Q1517" s="13"/>
      <c r="R1517" s="13"/>
      <c r="S1517" s="85"/>
      <c r="T1517" s="85"/>
      <c r="U1517" s="85"/>
      <c r="V1517" s="86"/>
      <c r="W1517" s="87"/>
      <c r="X1517" s="87"/>
      <c r="Y1517" s="85"/>
      <c r="Z1517" s="85"/>
      <c r="AA1517" s="87"/>
      <c r="AB1517" s="85"/>
      <c r="AC1517" s="85"/>
      <c r="AD1517" s="85"/>
      <c r="AE1517" s="85"/>
      <c r="AF1517" s="85"/>
      <c r="AG1517" s="85"/>
      <c r="AH1517" s="85"/>
      <c r="AI1517" s="85"/>
      <c r="AJ1517" s="85"/>
      <c r="AK1517" s="85"/>
      <c r="AL1517" s="85"/>
      <c r="AM1517" s="88"/>
      <c r="AN1517" s="89"/>
      <c r="AO1517" s="90"/>
      <c r="AP1517" s="90"/>
      <c r="AQ1517" s="90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</row>
    <row r="1518">
      <c r="A1518" s="95"/>
      <c r="B1518" s="96"/>
      <c r="C1518" s="95"/>
      <c r="D1518" s="97"/>
      <c r="E1518" s="98"/>
      <c r="F1518" s="85"/>
      <c r="G1518" s="13"/>
      <c r="H1518" s="13"/>
      <c r="I1518" s="13"/>
      <c r="J1518" s="13"/>
      <c r="K1518" s="13"/>
      <c r="L1518" s="85"/>
      <c r="M1518" s="85"/>
      <c r="N1518" s="85"/>
      <c r="O1518" s="85"/>
      <c r="P1518" s="13"/>
      <c r="Q1518" s="13"/>
      <c r="R1518" s="13"/>
      <c r="S1518" s="85"/>
      <c r="T1518" s="85"/>
      <c r="U1518" s="85"/>
      <c r="V1518" s="86"/>
      <c r="W1518" s="87"/>
      <c r="X1518" s="87"/>
      <c r="Y1518" s="85"/>
      <c r="Z1518" s="85"/>
      <c r="AA1518" s="87"/>
      <c r="AB1518" s="85"/>
      <c r="AC1518" s="85"/>
      <c r="AD1518" s="85"/>
      <c r="AE1518" s="85"/>
      <c r="AF1518" s="85"/>
      <c r="AG1518" s="85"/>
      <c r="AH1518" s="85"/>
      <c r="AI1518" s="85"/>
      <c r="AJ1518" s="85"/>
      <c r="AK1518" s="85"/>
      <c r="AL1518" s="85"/>
      <c r="AM1518" s="88"/>
      <c r="AN1518" s="89"/>
      <c r="AO1518" s="90"/>
      <c r="AP1518" s="90"/>
      <c r="AQ1518" s="90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/>
    </row>
    <row r="1519">
      <c r="A1519" s="95"/>
      <c r="B1519" s="96"/>
      <c r="C1519" s="95"/>
      <c r="D1519" s="97"/>
      <c r="E1519" s="98"/>
      <c r="F1519" s="85"/>
      <c r="G1519" s="13"/>
      <c r="H1519" s="13"/>
      <c r="I1519" s="13"/>
      <c r="J1519" s="13"/>
      <c r="K1519" s="13"/>
      <c r="L1519" s="85"/>
      <c r="M1519" s="85"/>
      <c r="N1519" s="85"/>
      <c r="O1519" s="85"/>
      <c r="P1519" s="13"/>
      <c r="Q1519" s="13"/>
      <c r="R1519" s="13"/>
      <c r="S1519" s="85"/>
      <c r="T1519" s="85"/>
      <c r="U1519" s="85"/>
      <c r="V1519" s="86"/>
      <c r="W1519" s="87"/>
      <c r="X1519" s="87"/>
      <c r="Y1519" s="85"/>
      <c r="Z1519" s="85"/>
      <c r="AA1519" s="87"/>
      <c r="AB1519" s="85"/>
      <c r="AC1519" s="85"/>
      <c r="AD1519" s="85"/>
      <c r="AE1519" s="85"/>
      <c r="AF1519" s="85"/>
      <c r="AG1519" s="85"/>
      <c r="AH1519" s="85"/>
      <c r="AI1519" s="85"/>
      <c r="AJ1519" s="85"/>
      <c r="AK1519" s="85"/>
      <c r="AL1519" s="85"/>
      <c r="AM1519" s="88"/>
      <c r="AN1519" s="89"/>
      <c r="AO1519" s="90"/>
      <c r="AP1519" s="90"/>
      <c r="AQ1519" s="90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</row>
    <row r="1520">
      <c r="A1520" s="95"/>
      <c r="B1520" s="96"/>
      <c r="C1520" s="95"/>
      <c r="D1520" s="97"/>
      <c r="E1520" s="98"/>
      <c r="F1520" s="85"/>
      <c r="G1520" s="13"/>
      <c r="H1520" s="13"/>
      <c r="I1520" s="13"/>
      <c r="J1520" s="13"/>
      <c r="K1520" s="13"/>
      <c r="L1520" s="85"/>
      <c r="M1520" s="85"/>
      <c r="N1520" s="85"/>
      <c r="O1520" s="85"/>
      <c r="P1520" s="13"/>
      <c r="Q1520" s="13"/>
      <c r="R1520" s="13"/>
      <c r="S1520" s="85"/>
      <c r="T1520" s="85"/>
      <c r="U1520" s="85"/>
      <c r="V1520" s="86"/>
      <c r="W1520" s="87"/>
      <c r="X1520" s="87"/>
      <c r="Y1520" s="85"/>
      <c r="Z1520" s="85"/>
      <c r="AA1520" s="87"/>
      <c r="AB1520" s="85"/>
      <c r="AC1520" s="85"/>
      <c r="AD1520" s="85"/>
      <c r="AE1520" s="85"/>
      <c r="AF1520" s="85"/>
      <c r="AG1520" s="85"/>
      <c r="AH1520" s="85"/>
      <c r="AI1520" s="85"/>
      <c r="AJ1520" s="85"/>
      <c r="AK1520" s="85"/>
      <c r="AL1520" s="85"/>
      <c r="AM1520" s="88"/>
      <c r="AN1520" s="89"/>
      <c r="AO1520" s="90"/>
      <c r="AP1520" s="90"/>
      <c r="AQ1520" s="90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/>
    </row>
    <row r="1521">
      <c r="A1521" s="95"/>
      <c r="B1521" s="96"/>
      <c r="C1521" s="95"/>
      <c r="D1521" s="97"/>
      <c r="E1521" s="98"/>
      <c r="F1521" s="85"/>
      <c r="G1521" s="13"/>
      <c r="H1521" s="13"/>
      <c r="I1521" s="13"/>
      <c r="J1521" s="13"/>
      <c r="K1521" s="13"/>
      <c r="L1521" s="85"/>
      <c r="M1521" s="85"/>
      <c r="N1521" s="85"/>
      <c r="O1521" s="85"/>
      <c r="P1521" s="13"/>
      <c r="Q1521" s="13"/>
      <c r="R1521" s="13"/>
      <c r="S1521" s="85"/>
      <c r="T1521" s="85"/>
      <c r="U1521" s="85"/>
      <c r="V1521" s="86"/>
      <c r="W1521" s="87"/>
      <c r="X1521" s="87"/>
      <c r="Y1521" s="85"/>
      <c r="Z1521" s="85"/>
      <c r="AA1521" s="87"/>
      <c r="AB1521" s="85"/>
      <c r="AC1521" s="85"/>
      <c r="AD1521" s="85"/>
      <c r="AE1521" s="85"/>
      <c r="AF1521" s="85"/>
      <c r="AG1521" s="85"/>
      <c r="AH1521" s="85"/>
      <c r="AI1521" s="85"/>
      <c r="AJ1521" s="85"/>
      <c r="AK1521" s="85"/>
      <c r="AL1521" s="85"/>
      <c r="AM1521" s="88"/>
      <c r="AN1521" s="89"/>
      <c r="AO1521" s="90"/>
      <c r="AP1521" s="90"/>
      <c r="AQ1521" s="90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</row>
    <row r="1522">
      <c r="A1522" s="95"/>
      <c r="B1522" s="96"/>
      <c r="C1522" s="95"/>
      <c r="D1522" s="97"/>
      <c r="E1522" s="98"/>
      <c r="F1522" s="85"/>
      <c r="G1522" s="13"/>
      <c r="H1522" s="13"/>
      <c r="I1522" s="13"/>
      <c r="J1522" s="13"/>
      <c r="K1522" s="13"/>
      <c r="L1522" s="85"/>
      <c r="M1522" s="85"/>
      <c r="N1522" s="85"/>
      <c r="O1522" s="85"/>
      <c r="P1522" s="13"/>
      <c r="Q1522" s="13"/>
      <c r="R1522" s="13"/>
      <c r="S1522" s="85"/>
      <c r="T1522" s="85"/>
      <c r="U1522" s="85"/>
      <c r="V1522" s="86"/>
      <c r="W1522" s="87"/>
      <c r="X1522" s="87"/>
      <c r="Y1522" s="85"/>
      <c r="Z1522" s="85"/>
      <c r="AA1522" s="87"/>
      <c r="AB1522" s="85"/>
      <c r="AC1522" s="85"/>
      <c r="AD1522" s="85"/>
      <c r="AE1522" s="85"/>
      <c r="AF1522" s="85"/>
      <c r="AG1522" s="85"/>
      <c r="AH1522" s="85"/>
      <c r="AI1522" s="85"/>
      <c r="AJ1522" s="85"/>
      <c r="AK1522" s="85"/>
      <c r="AL1522" s="85"/>
      <c r="AM1522" s="88"/>
      <c r="AN1522" s="89"/>
      <c r="AO1522" s="90"/>
      <c r="AP1522" s="90"/>
      <c r="AQ1522" s="90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</row>
    <row r="1523">
      <c r="A1523" s="95"/>
      <c r="B1523" s="96"/>
      <c r="C1523" s="95"/>
      <c r="D1523" s="97"/>
      <c r="E1523" s="98"/>
      <c r="F1523" s="85"/>
      <c r="G1523" s="13"/>
      <c r="H1523" s="13"/>
      <c r="I1523" s="13"/>
      <c r="J1523" s="13"/>
      <c r="K1523" s="13"/>
      <c r="L1523" s="85"/>
      <c r="M1523" s="85"/>
      <c r="N1523" s="85"/>
      <c r="O1523" s="85"/>
      <c r="P1523" s="13"/>
      <c r="Q1523" s="13"/>
      <c r="R1523" s="13"/>
      <c r="S1523" s="85"/>
      <c r="T1523" s="85"/>
      <c r="U1523" s="85"/>
      <c r="V1523" s="86"/>
      <c r="W1523" s="87"/>
      <c r="X1523" s="87"/>
      <c r="Y1523" s="85"/>
      <c r="Z1523" s="85"/>
      <c r="AA1523" s="87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8"/>
      <c r="AN1523" s="89"/>
      <c r="AO1523" s="90"/>
      <c r="AP1523" s="90"/>
      <c r="AQ1523" s="90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</row>
    <row r="1524">
      <c r="A1524" s="95"/>
      <c r="B1524" s="96"/>
      <c r="C1524" s="95"/>
      <c r="D1524" s="97"/>
      <c r="E1524" s="98"/>
      <c r="F1524" s="85"/>
      <c r="G1524" s="13"/>
      <c r="H1524" s="13"/>
      <c r="I1524" s="13"/>
      <c r="J1524" s="13"/>
      <c r="K1524" s="13"/>
      <c r="L1524" s="85"/>
      <c r="M1524" s="85"/>
      <c r="N1524" s="85"/>
      <c r="O1524" s="85"/>
      <c r="P1524" s="13"/>
      <c r="Q1524" s="13"/>
      <c r="R1524" s="13"/>
      <c r="S1524" s="85"/>
      <c r="T1524" s="85"/>
      <c r="U1524" s="85"/>
      <c r="V1524" s="86"/>
      <c r="W1524" s="87"/>
      <c r="X1524" s="87"/>
      <c r="Y1524" s="85"/>
      <c r="Z1524" s="85"/>
      <c r="AA1524" s="87"/>
      <c r="AB1524" s="85"/>
      <c r="AC1524" s="85"/>
      <c r="AD1524" s="85"/>
      <c r="AE1524" s="85"/>
      <c r="AF1524" s="85"/>
      <c r="AG1524" s="85"/>
      <c r="AH1524" s="85"/>
      <c r="AI1524" s="85"/>
      <c r="AJ1524" s="85"/>
      <c r="AK1524" s="85"/>
      <c r="AL1524" s="85"/>
      <c r="AM1524" s="88"/>
      <c r="AN1524" s="89"/>
      <c r="AO1524" s="90"/>
      <c r="AP1524" s="90"/>
      <c r="AQ1524" s="90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</row>
    <row r="1525">
      <c r="A1525" s="95"/>
      <c r="B1525" s="96"/>
      <c r="C1525" s="95"/>
      <c r="D1525" s="97"/>
      <c r="E1525" s="98"/>
      <c r="F1525" s="85"/>
      <c r="G1525" s="13"/>
      <c r="H1525" s="13"/>
      <c r="I1525" s="13"/>
      <c r="J1525" s="13"/>
      <c r="K1525" s="13"/>
      <c r="L1525" s="85"/>
      <c r="M1525" s="85"/>
      <c r="N1525" s="85"/>
      <c r="O1525" s="85"/>
      <c r="P1525" s="13"/>
      <c r="Q1525" s="13"/>
      <c r="R1525" s="13"/>
      <c r="S1525" s="85"/>
      <c r="T1525" s="85"/>
      <c r="U1525" s="85"/>
      <c r="V1525" s="86"/>
      <c r="W1525" s="87"/>
      <c r="X1525" s="87"/>
      <c r="Y1525" s="85"/>
      <c r="Z1525" s="85"/>
      <c r="AA1525" s="87"/>
      <c r="AB1525" s="85"/>
      <c r="AC1525" s="85"/>
      <c r="AD1525" s="85"/>
      <c r="AE1525" s="85"/>
      <c r="AF1525" s="85"/>
      <c r="AG1525" s="85"/>
      <c r="AH1525" s="85"/>
      <c r="AI1525" s="85"/>
      <c r="AJ1525" s="85"/>
      <c r="AK1525" s="85"/>
      <c r="AL1525" s="85"/>
      <c r="AM1525" s="88"/>
      <c r="AN1525" s="89"/>
      <c r="AO1525" s="90"/>
      <c r="AP1525" s="90"/>
      <c r="AQ1525" s="90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</row>
    <row r="1526">
      <c r="A1526" s="95"/>
      <c r="B1526" s="96"/>
      <c r="C1526" s="95"/>
      <c r="D1526" s="97"/>
      <c r="E1526" s="98"/>
      <c r="F1526" s="85"/>
      <c r="G1526" s="13"/>
      <c r="H1526" s="13"/>
      <c r="I1526" s="13"/>
      <c r="J1526" s="13"/>
      <c r="K1526" s="13"/>
      <c r="L1526" s="85"/>
      <c r="M1526" s="85"/>
      <c r="N1526" s="85"/>
      <c r="O1526" s="85"/>
      <c r="P1526" s="13"/>
      <c r="Q1526" s="13"/>
      <c r="R1526" s="13"/>
      <c r="S1526" s="85"/>
      <c r="T1526" s="85"/>
      <c r="U1526" s="85"/>
      <c r="V1526" s="86"/>
      <c r="W1526" s="87"/>
      <c r="X1526" s="87"/>
      <c r="Y1526" s="85"/>
      <c r="Z1526" s="85"/>
      <c r="AA1526" s="87"/>
      <c r="AB1526" s="85"/>
      <c r="AC1526" s="85"/>
      <c r="AD1526" s="85"/>
      <c r="AE1526" s="85"/>
      <c r="AF1526" s="85"/>
      <c r="AG1526" s="85"/>
      <c r="AH1526" s="85"/>
      <c r="AI1526" s="85"/>
      <c r="AJ1526" s="85"/>
      <c r="AK1526" s="85"/>
      <c r="AL1526" s="85"/>
      <c r="AM1526" s="88"/>
      <c r="AN1526" s="89"/>
      <c r="AO1526" s="90"/>
      <c r="AP1526" s="90"/>
      <c r="AQ1526" s="90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</row>
    <row r="1527">
      <c r="A1527" s="95"/>
      <c r="B1527" s="96"/>
      <c r="C1527" s="95"/>
      <c r="D1527" s="97"/>
      <c r="E1527" s="98"/>
      <c r="F1527" s="85"/>
      <c r="G1527" s="13"/>
      <c r="H1527" s="13"/>
      <c r="I1527" s="13"/>
      <c r="J1527" s="13"/>
      <c r="K1527" s="13"/>
      <c r="L1527" s="85"/>
      <c r="M1527" s="85"/>
      <c r="N1527" s="85"/>
      <c r="O1527" s="85"/>
      <c r="P1527" s="13"/>
      <c r="Q1527" s="13"/>
      <c r="R1527" s="13"/>
      <c r="S1527" s="85"/>
      <c r="T1527" s="85"/>
      <c r="U1527" s="85"/>
      <c r="V1527" s="86"/>
      <c r="W1527" s="87"/>
      <c r="X1527" s="87"/>
      <c r="Y1527" s="85"/>
      <c r="Z1527" s="85"/>
      <c r="AA1527" s="87"/>
      <c r="AB1527" s="85"/>
      <c r="AC1527" s="85"/>
      <c r="AD1527" s="85"/>
      <c r="AE1527" s="85"/>
      <c r="AF1527" s="85"/>
      <c r="AG1527" s="85"/>
      <c r="AH1527" s="85"/>
      <c r="AI1527" s="85"/>
      <c r="AJ1527" s="85"/>
      <c r="AK1527" s="85"/>
      <c r="AL1527" s="85"/>
      <c r="AM1527" s="88"/>
      <c r="AN1527" s="89"/>
      <c r="AO1527" s="90"/>
      <c r="AP1527" s="90"/>
      <c r="AQ1527" s="90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</row>
    <row r="1528">
      <c r="A1528" s="95"/>
      <c r="B1528" s="96"/>
      <c r="C1528" s="95"/>
      <c r="D1528" s="97"/>
      <c r="E1528" s="98"/>
      <c r="F1528" s="85"/>
      <c r="G1528" s="13"/>
      <c r="H1528" s="13"/>
      <c r="I1528" s="13"/>
      <c r="J1528" s="13"/>
      <c r="K1528" s="13"/>
      <c r="L1528" s="85"/>
      <c r="M1528" s="85"/>
      <c r="N1528" s="85"/>
      <c r="O1528" s="85"/>
      <c r="P1528" s="13"/>
      <c r="Q1528" s="13"/>
      <c r="R1528" s="13"/>
      <c r="S1528" s="85"/>
      <c r="T1528" s="85"/>
      <c r="U1528" s="85"/>
      <c r="V1528" s="86"/>
      <c r="W1528" s="87"/>
      <c r="X1528" s="87"/>
      <c r="Y1528" s="85"/>
      <c r="Z1528" s="85"/>
      <c r="AA1528" s="87"/>
      <c r="AB1528" s="85"/>
      <c r="AC1528" s="85"/>
      <c r="AD1528" s="85"/>
      <c r="AE1528" s="85"/>
      <c r="AF1528" s="85"/>
      <c r="AG1528" s="85"/>
      <c r="AH1528" s="85"/>
      <c r="AI1528" s="85"/>
      <c r="AJ1528" s="85"/>
      <c r="AK1528" s="85"/>
      <c r="AL1528" s="85"/>
      <c r="AM1528" s="88"/>
      <c r="AN1528" s="89"/>
      <c r="AO1528" s="90"/>
      <c r="AP1528" s="90"/>
      <c r="AQ1528" s="90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</row>
    <row r="1529">
      <c r="A1529" s="95"/>
      <c r="B1529" s="96"/>
      <c r="C1529" s="95"/>
      <c r="D1529" s="97"/>
      <c r="E1529" s="98"/>
      <c r="F1529" s="85"/>
      <c r="G1529" s="13"/>
      <c r="H1529" s="13"/>
      <c r="I1529" s="13"/>
      <c r="J1529" s="13"/>
      <c r="K1529" s="13"/>
      <c r="L1529" s="85"/>
      <c r="M1529" s="85"/>
      <c r="N1529" s="85"/>
      <c r="O1529" s="85"/>
      <c r="P1529" s="13"/>
      <c r="Q1529" s="13"/>
      <c r="R1529" s="13"/>
      <c r="S1529" s="85"/>
      <c r="T1529" s="85"/>
      <c r="U1529" s="85"/>
      <c r="V1529" s="86"/>
      <c r="W1529" s="87"/>
      <c r="X1529" s="87"/>
      <c r="Y1529" s="85"/>
      <c r="Z1529" s="85"/>
      <c r="AA1529" s="87"/>
      <c r="AB1529" s="85"/>
      <c r="AC1529" s="85"/>
      <c r="AD1529" s="85"/>
      <c r="AE1529" s="85"/>
      <c r="AF1529" s="85"/>
      <c r="AG1529" s="85"/>
      <c r="AH1529" s="85"/>
      <c r="AI1529" s="85"/>
      <c r="AJ1529" s="85"/>
      <c r="AK1529" s="85"/>
      <c r="AL1529" s="85"/>
      <c r="AM1529" s="88"/>
      <c r="AN1529" s="89"/>
      <c r="AO1529" s="90"/>
      <c r="AP1529" s="90"/>
      <c r="AQ1529" s="90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</row>
    <row r="1530">
      <c r="A1530" s="95"/>
      <c r="B1530" s="96"/>
      <c r="C1530" s="95"/>
      <c r="D1530" s="97"/>
      <c r="E1530" s="98"/>
      <c r="F1530" s="85"/>
      <c r="G1530" s="13"/>
      <c r="H1530" s="13"/>
      <c r="I1530" s="13"/>
      <c r="J1530" s="13"/>
      <c r="K1530" s="13"/>
      <c r="L1530" s="85"/>
      <c r="M1530" s="85"/>
      <c r="N1530" s="85"/>
      <c r="O1530" s="85"/>
      <c r="P1530" s="13"/>
      <c r="Q1530" s="13"/>
      <c r="R1530" s="13"/>
      <c r="S1530" s="85"/>
      <c r="T1530" s="85"/>
      <c r="U1530" s="85"/>
      <c r="V1530" s="86"/>
      <c r="W1530" s="87"/>
      <c r="X1530" s="87"/>
      <c r="Y1530" s="85"/>
      <c r="Z1530" s="85"/>
      <c r="AA1530" s="87"/>
      <c r="AB1530" s="85"/>
      <c r="AC1530" s="85"/>
      <c r="AD1530" s="85"/>
      <c r="AE1530" s="85"/>
      <c r="AF1530" s="85"/>
      <c r="AG1530" s="85"/>
      <c r="AH1530" s="85"/>
      <c r="AI1530" s="85"/>
      <c r="AJ1530" s="85"/>
      <c r="AK1530" s="85"/>
      <c r="AL1530" s="85"/>
      <c r="AM1530" s="88"/>
      <c r="AN1530" s="89"/>
      <c r="AO1530" s="90"/>
      <c r="AP1530" s="90"/>
      <c r="AQ1530" s="90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</row>
    <row r="1531">
      <c r="A1531" s="95"/>
      <c r="B1531" s="96"/>
      <c r="C1531" s="95"/>
      <c r="D1531" s="97"/>
      <c r="E1531" s="98"/>
      <c r="F1531" s="85"/>
      <c r="G1531" s="13"/>
      <c r="H1531" s="13"/>
      <c r="I1531" s="13"/>
      <c r="J1531" s="13"/>
      <c r="K1531" s="13"/>
      <c r="L1531" s="85"/>
      <c r="M1531" s="85"/>
      <c r="N1531" s="85"/>
      <c r="O1531" s="85"/>
      <c r="P1531" s="13"/>
      <c r="Q1531" s="13"/>
      <c r="R1531" s="13"/>
      <c r="S1531" s="85"/>
      <c r="T1531" s="85"/>
      <c r="U1531" s="85"/>
      <c r="V1531" s="86"/>
      <c r="W1531" s="87"/>
      <c r="X1531" s="87"/>
      <c r="Y1531" s="85"/>
      <c r="Z1531" s="85"/>
      <c r="AA1531" s="87"/>
      <c r="AB1531" s="85"/>
      <c r="AC1531" s="85"/>
      <c r="AD1531" s="85"/>
      <c r="AE1531" s="85"/>
      <c r="AF1531" s="85"/>
      <c r="AG1531" s="85"/>
      <c r="AH1531" s="85"/>
      <c r="AI1531" s="85"/>
      <c r="AJ1531" s="85"/>
      <c r="AK1531" s="85"/>
      <c r="AL1531" s="85"/>
      <c r="AM1531" s="88"/>
      <c r="AN1531" s="89"/>
      <c r="AO1531" s="90"/>
      <c r="AP1531" s="90"/>
      <c r="AQ1531" s="90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</row>
    <row r="1532">
      <c r="A1532" s="95"/>
      <c r="B1532" s="96"/>
      <c r="C1532" s="95"/>
      <c r="D1532" s="97"/>
      <c r="E1532" s="98"/>
      <c r="F1532" s="85"/>
      <c r="G1532" s="13"/>
      <c r="H1532" s="13"/>
      <c r="I1532" s="13"/>
      <c r="J1532" s="13"/>
      <c r="K1532" s="13"/>
      <c r="L1532" s="85"/>
      <c r="M1532" s="85"/>
      <c r="N1532" s="85"/>
      <c r="O1532" s="85"/>
      <c r="P1532" s="13"/>
      <c r="Q1532" s="13"/>
      <c r="R1532" s="13"/>
      <c r="S1532" s="85"/>
      <c r="T1532" s="85"/>
      <c r="U1532" s="85"/>
      <c r="V1532" s="86"/>
      <c r="W1532" s="87"/>
      <c r="X1532" s="87"/>
      <c r="Y1532" s="85"/>
      <c r="Z1532" s="85"/>
      <c r="AA1532" s="87"/>
      <c r="AB1532" s="85"/>
      <c r="AC1532" s="85"/>
      <c r="AD1532" s="85"/>
      <c r="AE1532" s="85"/>
      <c r="AF1532" s="85"/>
      <c r="AG1532" s="85"/>
      <c r="AH1532" s="85"/>
      <c r="AI1532" s="85"/>
      <c r="AJ1532" s="85"/>
      <c r="AK1532" s="85"/>
      <c r="AL1532" s="85"/>
      <c r="AM1532" s="88"/>
      <c r="AN1532" s="89"/>
      <c r="AO1532" s="90"/>
      <c r="AP1532" s="90"/>
      <c r="AQ1532" s="90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</row>
    <row r="1533">
      <c r="A1533" s="95"/>
      <c r="B1533" s="96"/>
      <c r="C1533" s="95"/>
      <c r="D1533" s="97"/>
      <c r="E1533" s="98"/>
      <c r="F1533" s="85"/>
      <c r="G1533" s="13"/>
      <c r="H1533" s="13"/>
      <c r="I1533" s="13"/>
      <c r="J1533" s="13"/>
      <c r="K1533" s="13"/>
      <c r="L1533" s="85"/>
      <c r="M1533" s="85"/>
      <c r="N1533" s="85"/>
      <c r="O1533" s="85"/>
      <c r="P1533" s="13"/>
      <c r="Q1533" s="13"/>
      <c r="R1533" s="13"/>
      <c r="S1533" s="85"/>
      <c r="T1533" s="85"/>
      <c r="U1533" s="85"/>
      <c r="V1533" s="86"/>
      <c r="W1533" s="87"/>
      <c r="X1533" s="87"/>
      <c r="Y1533" s="85"/>
      <c r="Z1533" s="85"/>
      <c r="AA1533" s="87"/>
      <c r="AB1533" s="85"/>
      <c r="AC1533" s="85"/>
      <c r="AD1533" s="85"/>
      <c r="AE1533" s="85"/>
      <c r="AF1533" s="85"/>
      <c r="AG1533" s="85"/>
      <c r="AH1533" s="85"/>
      <c r="AI1533" s="85"/>
      <c r="AJ1533" s="85"/>
      <c r="AK1533" s="85"/>
      <c r="AL1533" s="85"/>
      <c r="AM1533" s="88"/>
      <c r="AN1533" s="89"/>
      <c r="AO1533" s="90"/>
      <c r="AP1533" s="90"/>
      <c r="AQ1533" s="90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</row>
    <row r="1534">
      <c r="A1534" s="95"/>
      <c r="B1534" s="96"/>
      <c r="C1534" s="95"/>
      <c r="D1534" s="97"/>
      <c r="E1534" s="98"/>
      <c r="F1534" s="85"/>
      <c r="G1534" s="13"/>
      <c r="H1534" s="13"/>
      <c r="I1534" s="13"/>
      <c r="J1534" s="13"/>
      <c r="K1534" s="13"/>
      <c r="L1534" s="85"/>
      <c r="M1534" s="85"/>
      <c r="N1534" s="85"/>
      <c r="O1534" s="85"/>
      <c r="P1534" s="13"/>
      <c r="Q1534" s="13"/>
      <c r="R1534" s="13"/>
      <c r="S1534" s="85"/>
      <c r="T1534" s="85"/>
      <c r="U1534" s="85"/>
      <c r="V1534" s="86"/>
      <c r="W1534" s="87"/>
      <c r="X1534" s="87"/>
      <c r="Y1534" s="85"/>
      <c r="Z1534" s="85"/>
      <c r="AA1534" s="87"/>
      <c r="AB1534" s="85"/>
      <c r="AC1534" s="85"/>
      <c r="AD1534" s="85"/>
      <c r="AE1534" s="85"/>
      <c r="AF1534" s="85"/>
      <c r="AG1534" s="85"/>
      <c r="AH1534" s="85"/>
      <c r="AI1534" s="85"/>
      <c r="AJ1534" s="85"/>
      <c r="AK1534" s="85"/>
      <c r="AL1534" s="85"/>
      <c r="AM1534" s="88"/>
      <c r="AN1534" s="89"/>
      <c r="AO1534" s="90"/>
      <c r="AP1534" s="90"/>
      <c r="AQ1534" s="90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</row>
    <row r="1535">
      <c r="A1535" s="95"/>
      <c r="B1535" s="96"/>
      <c r="C1535" s="95"/>
      <c r="D1535" s="97"/>
      <c r="E1535" s="98"/>
      <c r="F1535" s="85"/>
      <c r="G1535" s="13"/>
      <c r="H1535" s="13"/>
      <c r="I1535" s="13"/>
      <c r="J1535" s="13"/>
      <c r="K1535" s="13"/>
      <c r="L1535" s="85"/>
      <c r="M1535" s="85"/>
      <c r="N1535" s="85"/>
      <c r="O1535" s="85"/>
      <c r="P1535" s="13"/>
      <c r="Q1535" s="13"/>
      <c r="R1535" s="13"/>
      <c r="S1535" s="85"/>
      <c r="T1535" s="85"/>
      <c r="U1535" s="85"/>
      <c r="V1535" s="86"/>
      <c r="W1535" s="87"/>
      <c r="X1535" s="87"/>
      <c r="Y1535" s="85"/>
      <c r="Z1535" s="85"/>
      <c r="AA1535" s="87"/>
      <c r="AB1535" s="85"/>
      <c r="AC1535" s="85"/>
      <c r="AD1535" s="85"/>
      <c r="AE1535" s="85"/>
      <c r="AF1535" s="85"/>
      <c r="AG1535" s="85"/>
      <c r="AH1535" s="85"/>
      <c r="AI1535" s="85"/>
      <c r="AJ1535" s="85"/>
      <c r="AK1535" s="85"/>
      <c r="AL1535" s="85"/>
      <c r="AM1535" s="88"/>
      <c r="AN1535" s="89"/>
      <c r="AO1535" s="90"/>
      <c r="AP1535" s="90"/>
      <c r="AQ1535" s="90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</row>
    <row r="1536">
      <c r="A1536" s="95"/>
      <c r="B1536" s="96"/>
      <c r="C1536" s="95"/>
      <c r="D1536" s="97"/>
      <c r="E1536" s="98"/>
      <c r="F1536" s="85"/>
      <c r="G1536" s="13"/>
      <c r="H1536" s="13"/>
      <c r="I1536" s="13"/>
      <c r="J1536" s="13"/>
      <c r="K1536" s="13"/>
      <c r="L1536" s="85"/>
      <c r="M1536" s="85"/>
      <c r="N1536" s="85"/>
      <c r="O1536" s="85"/>
      <c r="P1536" s="13"/>
      <c r="Q1536" s="13"/>
      <c r="R1536" s="13"/>
      <c r="S1536" s="85"/>
      <c r="T1536" s="85"/>
      <c r="U1536" s="85"/>
      <c r="V1536" s="86"/>
      <c r="W1536" s="87"/>
      <c r="X1536" s="87"/>
      <c r="Y1536" s="85"/>
      <c r="Z1536" s="85"/>
      <c r="AA1536" s="87"/>
      <c r="AB1536" s="85"/>
      <c r="AC1536" s="85"/>
      <c r="AD1536" s="85"/>
      <c r="AE1536" s="85"/>
      <c r="AF1536" s="85"/>
      <c r="AG1536" s="85"/>
      <c r="AH1536" s="85"/>
      <c r="AI1536" s="85"/>
      <c r="AJ1536" s="85"/>
      <c r="AK1536" s="85"/>
      <c r="AL1536" s="85"/>
      <c r="AM1536" s="88"/>
      <c r="AN1536" s="89"/>
      <c r="AO1536" s="90"/>
      <c r="AP1536" s="90"/>
      <c r="AQ1536" s="90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</row>
    <row r="1537">
      <c r="A1537" s="95"/>
      <c r="B1537" s="96"/>
      <c r="C1537" s="95"/>
      <c r="D1537" s="97"/>
      <c r="E1537" s="98"/>
      <c r="F1537" s="85"/>
      <c r="G1537" s="13"/>
      <c r="H1537" s="13"/>
      <c r="I1537" s="13"/>
      <c r="J1537" s="13"/>
      <c r="K1537" s="13"/>
      <c r="L1537" s="85"/>
      <c r="M1537" s="85"/>
      <c r="N1537" s="85"/>
      <c r="O1537" s="85"/>
      <c r="P1537" s="13"/>
      <c r="Q1537" s="13"/>
      <c r="R1537" s="13"/>
      <c r="S1537" s="85"/>
      <c r="T1537" s="85"/>
      <c r="U1537" s="85"/>
      <c r="V1537" s="86"/>
      <c r="W1537" s="87"/>
      <c r="X1537" s="87"/>
      <c r="Y1537" s="85"/>
      <c r="Z1537" s="85"/>
      <c r="AA1537" s="87"/>
      <c r="AB1537" s="85"/>
      <c r="AC1537" s="85"/>
      <c r="AD1537" s="85"/>
      <c r="AE1537" s="85"/>
      <c r="AF1537" s="85"/>
      <c r="AG1537" s="85"/>
      <c r="AH1537" s="85"/>
      <c r="AI1537" s="85"/>
      <c r="AJ1537" s="85"/>
      <c r="AK1537" s="85"/>
      <c r="AL1537" s="85"/>
      <c r="AM1537" s="88"/>
      <c r="AN1537" s="89"/>
      <c r="AO1537" s="90"/>
      <c r="AP1537" s="90"/>
      <c r="AQ1537" s="90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</row>
    <row r="1538">
      <c r="A1538" s="95"/>
      <c r="B1538" s="96"/>
      <c r="C1538" s="95"/>
      <c r="D1538" s="97"/>
      <c r="E1538" s="98"/>
      <c r="F1538" s="85"/>
      <c r="G1538" s="13"/>
      <c r="H1538" s="13"/>
      <c r="I1538" s="13"/>
      <c r="J1538" s="13"/>
      <c r="K1538" s="13"/>
      <c r="L1538" s="85"/>
      <c r="M1538" s="85"/>
      <c r="N1538" s="85"/>
      <c r="O1538" s="85"/>
      <c r="P1538" s="13"/>
      <c r="Q1538" s="13"/>
      <c r="R1538" s="13"/>
      <c r="S1538" s="85"/>
      <c r="T1538" s="85"/>
      <c r="U1538" s="85"/>
      <c r="V1538" s="86"/>
      <c r="W1538" s="87"/>
      <c r="X1538" s="87"/>
      <c r="Y1538" s="85"/>
      <c r="Z1538" s="85"/>
      <c r="AA1538" s="87"/>
      <c r="AB1538" s="85"/>
      <c r="AC1538" s="85"/>
      <c r="AD1538" s="85"/>
      <c r="AE1538" s="85"/>
      <c r="AF1538" s="85"/>
      <c r="AG1538" s="85"/>
      <c r="AH1538" s="85"/>
      <c r="AI1538" s="85"/>
      <c r="AJ1538" s="85"/>
      <c r="AK1538" s="85"/>
      <c r="AL1538" s="85"/>
      <c r="AM1538" s="88"/>
      <c r="AN1538" s="89"/>
      <c r="AO1538" s="90"/>
      <c r="AP1538" s="90"/>
      <c r="AQ1538" s="90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</row>
    <row r="1539">
      <c r="A1539" s="95"/>
      <c r="B1539" s="96"/>
      <c r="C1539" s="95"/>
      <c r="D1539" s="97"/>
      <c r="E1539" s="98"/>
      <c r="F1539" s="85"/>
      <c r="G1539" s="13"/>
      <c r="H1539" s="13"/>
      <c r="I1539" s="13"/>
      <c r="J1539" s="13"/>
      <c r="K1539" s="13"/>
      <c r="L1539" s="85"/>
      <c r="M1539" s="85"/>
      <c r="N1539" s="85"/>
      <c r="O1539" s="85"/>
      <c r="P1539" s="13"/>
      <c r="Q1539" s="13"/>
      <c r="R1539" s="13"/>
      <c r="S1539" s="85"/>
      <c r="T1539" s="85"/>
      <c r="U1539" s="85"/>
      <c r="V1539" s="86"/>
      <c r="W1539" s="87"/>
      <c r="X1539" s="87"/>
      <c r="Y1539" s="85"/>
      <c r="Z1539" s="85"/>
      <c r="AA1539" s="87"/>
      <c r="AB1539" s="85"/>
      <c r="AC1539" s="85"/>
      <c r="AD1539" s="85"/>
      <c r="AE1539" s="85"/>
      <c r="AF1539" s="85"/>
      <c r="AG1539" s="85"/>
      <c r="AH1539" s="85"/>
      <c r="AI1539" s="85"/>
      <c r="AJ1539" s="85"/>
      <c r="AK1539" s="85"/>
      <c r="AL1539" s="85"/>
      <c r="AM1539" s="88"/>
      <c r="AN1539" s="89"/>
      <c r="AO1539" s="90"/>
      <c r="AP1539" s="90"/>
      <c r="AQ1539" s="90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</row>
    <row r="1540">
      <c r="A1540" s="95"/>
      <c r="B1540" s="96"/>
      <c r="C1540" s="95"/>
      <c r="D1540" s="97"/>
      <c r="E1540" s="98"/>
      <c r="F1540" s="85"/>
      <c r="G1540" s="13"/>
      <c r="H1540" s="13"/>
      <c r="I1540" s="13"/>
      <c r="J1540" s="13"/>
      <c r="K1540" s="13"/>
      <c r="L1540" s="85"/>
      <c r="M1540" s="85"/>
      <c r="N1540" s="85"/>
      <c r="O1540" s="85"/>
      <c r="P1540" s="13"/>
      <c r="Q1540" s="13"/>
      <c r="R1540" s="13"/>
      <c r="S1540" s="85"/>
      <c r="T1540" s="85"/>
      <c r="U1540" s="85"/>
      <c r="V1540" s="86"/>
      <c r="W1540" s="87"/>
      <c r="X1540" s="87"/>
      <c r="Y1540" s="85"/>
      <c r="Z1540" s="85"/>
      <c r="AA1540" s="87"/>
      <c r="AB1540" s="85"/>
      <c r="AC1540" s="85"/>
      <c r="AD1540" s="85"/>
      <c r="AE1540" s="85"/>
      <c r="AF1540" s="85"/>
      <c r="AG1540" s="85"/>
      <c r="AH1540" s="85"/>
      <c r="AI1540" s="85"/>
      <c r="AJ1540" s="85"/>
      <c r="AK1540" s="85"/>
      <c r="AL1540" s="85"/>
      <c r="AM1540" s="88"/>
      <c r="AN1540" s="89"/>
      <c r="AO1540" s="90"/>
      <c r="AP1540" s="90"/>
      <c r="AQ1540" s="90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3"/>
      <c r="BQ1540" s="13"/>
    </row>
    <row r="1541">
      <c r="A1541" s="95"/>
      <c r="B1541" s="96"/>
      <c r="C1541" s="95"/>
      <c r="D1541" s="97"/>
      <c r="E1541" s="98"/>
      <c r="F1541" s="85"/>
      <c r="G1541" s="13"/>
      <c r="H1541" s="13"/>
      <c r="I1541" s="13"/>
      <c r="J1541" s="13"/>
      <c r="K1541" s="13"/>
      <c r="L1541" s="85"/>
      <c r="M1541" s="85"/>
      <c r="N1541" s="85"/>
      <c r="O1541" s="85"/>
      <c r="P1541" s="13"/>
      <c r="Q1541" s="13"/>
      <c r="R1541" s="13"/>
      <c r="S1541" s="85"/>
      <c r="T1541" s="85"/>
      <c r="U1541" s="85"/>
      <c r="V1541" s="86"/>
      <c r="W1541" s="87"/>
      <c r="X1541" s="87"/>
      <c r="Y1541" s="85"/>
      <c r="Z1541" s="85"/>
      <c r="AA1541" s="87"/>
      <c r="AB1541" s="85"/>
      <c r="AC1541" s="85"/>
      <c r="AD1541" s="85"/>
      <c r="AE1541" s="85"/>
      <c r="AF1541" s="85"/>
      <c r="AG1541" s="85"/>
      <c r="AH1541" s="85"/>
      <c r="AI1541" s="85"/>
      <c r="AJ1541" s="85"/>
      <c r="AK1541" s="85"/>
      <c r="AL1541" s="85"/>
      <c r="AM1541" s="88"/>
      <c r="AN1541" s="89"/>
      <c r="AO1541" s="90"/>
      <c r="AP1541" s="90"/>
      <c r="AQ1541" s="90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</row>
    <row r="1542">
      <c r="A1542" s="95"/>
      <c r="B1542" s="96"/>
      <c r="C1542" s="95"/>
      <c r="D1542" s="97"/>
      <c r="E1542" s="98"/>
      <c r="F1542" s="85"/>
      <c r="G1542" s="13"/>
      <c r="H1542" s="13"/>
      <c r="I1542" s="13"/>
      <c r="J1542" s="13"/>
      <c r="K1542" s="13"/>
      <c r="L1542" s="85"/>
      <c r="M1542" s="85"/>
      <c r="N1542" s="85"/>
      <c r="O1542" s="85"/>
      <c r="P1542" s="13"/>
      <c r="Q1542" s="13"/>
      <c r="R1542" s="13"/>
      <c r="S1542" s="85"/>
      <c r="T1542" s="85"/>
      <c r="U1542" s="85"/>
      <c r="V1542" s="86"/>
      <c r="W1542" s="87"/>
      <c r="X1542" s="87"/>
      <c r="Y1542" s="85"/>
      <c r="Z1542" s="85"/>
      <c r="AA1542" s="87"/>
      <c r="AB1542" s="85"/>
      <c r="AC1542" s="85"/>
      <c r="AD1542" s="85"/>
      <c r="AE1542" s="85"/>
      <c r="AF1542" s="85"/>
      <c r="AG1542" s="85"/>
      <c r="AH1542" s="85"/>
      <c r="AI1542" s="85"/>
      <c r="AJ1542" s="85"/>
      <c r="AK1542" s="85"/>
      <c r="AL1542" s="85"/>
      <c r="AM1542" s="88"/>
      <c r="AN1542" s="89"/>
      <c r="AO1542" s="90"/>
      <c r="AP1542" s="90"/>
      <c r="AQ1542" s="90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</row>
    <row r="1543">
      <c r="A1543" s="95"/>
      <c r="B1543" s="96"/>
      <c r="C1543" s="95"/>
      <c r="D1543" s="97"/>
      <c r="E1543" s="98"/>
      <c r="F1543" s="85"/>
      <c r="G1543" s="13"/>
      <c r="H1543" s="13"/>
      <c r="I1543" s="13"/>
      <c r="J1543" s="13"/>
      <c r="K1543" s="13"/>
      <c r="L1543" s="85"/>
      <c r="M1543" s="85"/>
      <c r="N1543" s="85"/>
      <c r="O1543" s="85"/>
      <c r="P1543" s="13"/>
      <c r="Q1543" s="13"/>
      <c r="R1543" s="13"/>
      <c r="S1543" s="85"/>
      <c r="T1543" s="85"/>
      <c r="U1543" s="85"/>
      <c r="V1543" s="86"/>
      <c r="W1543" s="87"/>
      <c r="X1543" s="87"/>
      <c r="Y1543" s="85"/>
      <c r="Z1543" s="85"/>
      <c r="AA1543" s="87"/>
      <c r="AB1543" s="85"/>
      <c r="AC1543" s="85"/>
      <c r="AD1543" s="85"/>
      <c r="AE1543" s="85"/>
      <c r="AF1543" s="85"/>
      <c r="AG1543" s="85"/>
      <c r="AH1543" s="85"/>
      <c r="AI1543" s="85"/>
      <c r="AJ1543" s="85"/>
      <c r="AK1543" s="85"/>
      <c r="AL1543" s="85"/>
      <c r="AM1543" s="88"/>
      <c r="AN1543" s="89"/>
      <c r="AO1543" s="90"/>
      <c r="AP1543" s="90"/>
      <c r="AQ1543" s="90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3"/>
      <c r="BQ1543" s="13"/>
    </row>
    <row r="1544">
      <c r="A1544" s="95"/>
      <c r="B1544" s="96"/>
      <c r="C1544" s="95"/>
      <c r="D1544" s="97"/>
      <c r="E1544" s="98"/>
      <c r="F1544" s="85"/>
      <c r="G1544" s="13"/>
      <c r="H1544" s="13"/>
      <c r="I1544" s="13"/>
      <c r="J1544" s="13"/>
      <c r="K1544" s="13"/>
      <c r="L1544" s="85"/>
      <c r="M1544" s="85"/>
      <c r="N1544" s="85"/>
      <c r="O1544" s="85"/>
      <c r="P1544" s="13"/>
      <c r="Q1544" s="13"/>
      <c r="R1544" s="13"/>
      <c r="S1544" s="85"/>
      <c r="T1544" s="85"/>
      <c r="U1544" s="85"/>
      <c r="V1544" s="86"/>
      <c r="W1544" s="87"/>
      <c r="X1544" s="87"/>
      <c r="Y1544" s="85"/>
      <c r="Z1544" s="85"/>
      <c r="AA1544" s="87"/>
      <c r="AB1544" s="85"/>
      <c r="AC1544" s="85"/>
      <c r="AD1544" s="85"/>
      <c r="AE1544" s="85"/>
      <c r="AF1544" s="85"/>
      <c r="AG1544" s="85"/>
      <c r="AH1544" s="85"/>
      <c r="AI1544" s="85"/>
      <c r="AJ1544" s="85"/>
      <c r="AK1544" s="85"/>
      <c r="AL1544" s="85"/>
      <c r="AM1544" s="88"/>
      <c r="AN1544" s="89"/>
      <c r="AO1544" s="90"/>
      <c r="AP1544" s="90"/>
      <c r="AQ1544" s="90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</row>
    <row r="1545">
      <c r="A1545" s="95"/>
      <c r="B1545" s="96"/>
      <c r="C1545" s="95"/>
      <c r="D1545" s="97"/>
      <c r="E1545" s="98"/>
      <c r="F1545" s="85"/>
      <c r="G1545" s="13"/>
      <c r="H1545" s="13"/>
      <c r="I1545" s="13"/>
      <c r="J1545" s="13"/>
      <c r="K1545" s="13"/>
      <c r="L1545" s="85"/>
      <c r="M1545" s="85"/>
      <c r="N1545" s="85"/>
      <c r="O1545" s="85"/>
      <c r="P1545" s="13"/>
      <c r="Q1545" s="13"/>
      <c r="R1545" s="13"/>
      <c r="S1545" s="85"/>
      <c r="T1545" s="85"/>
      <c r="U1545" s="85"/>
      <c r="V1545" s="86"/>
      <c r="W1545" s="87"/>
      <c r="X1545" s="87"/>
      <c r="Y1545" s="85"/>
      <c r="Z1545" s="85"/>
      <c r="AA1545" s="87"/>
      <c r="AB1545" s="85"/>
      <c r="AC1545" s="85"/>
      <c r="AD1545" s="85"/>
      <c r="AE1545" s="85"/>
      <c r="AF1545" s="85"/>
      <c r="AG1545" s="85"/>
      <c r="AH1545" s="85"/>
      <c r="AI1545" s="85"/>
      <c r="AJ1545" s="85"/>
      <c r="AK1545" s="85"/>
      <c r="AL1545" s="85"/>
      <c r="AM1545" s="88"/>
      <c r="AN1545" s="89"/>
      <c r="AO1545" s="90"/>
      <c r="AP1545" s="90"/>
      <c r="AQ1545" s="90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</row>
    <row r="1546">
      <c r="A1546" s="95"/>
      <c r="B1546" s="96"/>
      <c r="C1546" s="95"/>
      <c r="D1546" s="97"/>
      <c r="E1546" s="98"/>
      <c r="F1546" s="85"/>
      <c r="G1546" s="13"/>
      <c r="H1546" s="13"/>
      <c r="I1546" s="13"/>
      <c r="J1546" s="13"/>
      <c r="K1546" s="13"/>
      <c r="L1546" s="85"/>
      <c r="M1546" s="85"/>
      <c r="N1546" s="85"/>
      <c r="O1546" s="85"/>
      <c r="P1546" s="13"/>
      <c r="Q1546" s="13"/>
      <c r="R1546" s="13"/>
      <c r="S1546" s="85"/>
      <c r="T1546" s="85"/>
      <c r="U1546" s="85"/>
      <c r="V1546" s="86"/>
      <c r="W1546" s="87"/>
      <c r="X1546" s="87"/>
      <c r="Y1546" s="85"/>
      <c r="Z1546" s="85"/>
      <c r="AA1546" s="87"/>
      <c r="AB1546" s="85"/>
      <c r="AC1546" s="85"/>
      <c r="AD1546" s="85"/>
      <c r="AE1546" s="85"/>
      <c r="AF1546" s="85"/>
      <c r="AG1546" s="85"/>
      <c r="AH1546" s="85"/>
      <c r="AI1546" s="85"/>
      <c r="AJ1546" s="85"/>
      <c r="AK1546" s="85"/>
      <c r="AL1546" s="85"/>
      <c r="AM1546" s="88"/>
      <c r="AN1546" s="89"/>
      <c r="AO1546" s="90"/>
      <c r="AP1546" s="90"/>
      <c r="AQ1546" s="90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/>
    </row>
    <row r="1547">
      <c r="A1547" s="95"/>
      <c r="B1547" s="96"/>
      <c r="C1547" s="95"/>
      <c r="D1547" s="97"/>
      <c r="E1547" s="98"/>
      <c r="F1547" s="85"/>
      <c r="G1547" s="13"/>
      <c r="H1547" s="13"/>
      <c r="I1547" s="13"/>
      <c r="J1547" s="13"/>
      <c r="K1547" s="13"/>
      <c r="L1547" s="85"/>
      <c r="M1547" s="85"/>
      <c r="N1547" s="85"/>
      <c r="O1547" s="85"/>
      <c r="P1547" s="13"/>
      <c r="Q1547" s="13"/>
      <c r="R1547" s="13"/>
      <c r="S1547" s="85"/>
      <c r="T1547" s="85"/>
      <c r="U1547" s="85"/>
      <c r="V1547" s="86"/>
      <c r="W1547" s="87"/>
      <c r="X1547" s="87"/>
      <c r="Y1547" s="85"/>
      <c r="Z1547" s="85"/>
      <c r="AA1547" s="87"/>
      <c r="AB1547" s="85"/>
      <c r="AC1547" s="85"/>
      <c r="AD1547" s="85"/>
      <c r="AE1547" s="85"/>
      <c r="AF1547" s="85"/>
      <c r="AG1547" s="85"/>
      <c r="AH1547" s="85"/>
      <c r="AI1547" s="85"/>
      <c r="AJ1547" s="85"/>
      <c r="AK1547" s="85"/>
      <c r="AL1547" s="85"/>
      <c r="AM1547" s="88"/>
      <c r="AN1547" s="89"/>
      <c r="AO1547" s="90"/>
      <c r="AP1547" s="90"/>
      <c r="AQ1547" s="90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</row>
    <row r="1548">
      <c r="A1548" s="95"/>
      <c r="B1548" s="96"/>
      <c r="C1548" s="95"/>
      <c r="D1548" s="97"/>
      <c r="E1548" s="98"/>
      <c r="F1548" s="85"/>
      <c r="G1548" s="13"/>
      <c r="H1548" s="13"/>
      <c r="I1548" s="13"/>
      <c r="J1548" s="13"/>
      <c r="K1548" s="13"/>
      <c r="L1548" s="85"/>
      <c r="M1548" s="85"/>
      <c r="N1548" s="85"/>
      <c r="O1548" s="85"/>
      <c r="P1548" s="13"/>
      <c r="Q1548" s="13"/>
      <c r="R1548" s="13"/>
      <c r="S1548" s="85"/>
      <c r="T1548" s="85"/>
      <c r="U1548" s="85"/>
      <c r="V1548" s="86"/>
      <c r="W1548" s="87"/>
      <c r="X1548" s="87"/>
      <c r="Y1548" s="85"/>
      <c r="Z1548" s="85"/>
      <c r="AA1548" s="87"/>
      <c r="AB1548" s="85"/>
      <c r="AC1548" s="85"/>
      <c r="AD1548" s="85"/>
      <c r="AE1548" s="85"/>
      <c r="AF1548" s="85"/>
      <c r="AG1548" s="85"/>
      <c r="AH1548" s="85"/>
      <c r="AI1548" s="85"/>
      <c r="AJ1548" s="85"/>
      <c r="AK1548" s="85"/>
      <c r="AL1548" s="85"/>
      <c r="AM1548" s="88"/>
      <c r="AN1548" s="89"/>
      <c r="AO1548" s="90"/>
      <c r="AP1548" s="90"/>
      <c r="AQ1548" s="90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/>
    </row>
    <row r="1549">
      <c r="A1549" s="95"/>
      <c r="B1549" s="96"/>
      <c r="C1549" s="95"/>
      <c r="D1549" s="97"/>
      <c r="E1549" s="98"/>
      <c r="F1549" s="85"/>
      <c r="G1549" s="13"/>
      <c r="H1549" s="13"/>
      <c r="I1549" s="13"/>
      <c r="J1549" s="13"/>
      <c r="K1549" s="13"/>
      <c r="L1549" s="85"/>
      <c r="M1549" s="85"/>
      <c r="N1549" s="85"/>
      <c r="O1549" s="85"/>
      <c r="P1549" s="13"/>
      <c r="Q1549" s="13"/>
      <c r="R1549" s="13"/>
      <c r="S1549" s="85"/>
      <c r="T1549" s="85"/>
      <c r="U1549" s="85"/>
      <c r="V1549" s="86"/>
      <c r="W1549" s="87"/>
      <c r="X1549" s="87"/>
      <c r="Y1549" s="85"/>
      <c r="Z1549" s="85"/>
      <c r="AA1549" s="87"/>
      <c r="AB1549" s="85"/>
      <c r="AC1549" s="85"/>
      <c r="AD1549" s="85"/>
      <c r="AE1549" s="85"/>
      <c r="AF1549" s="85"/>
      <c r="AG1549" s="85"/>
      <c r="AH1549" s="85"/>
      <c r="AI1549" s="85"/>
      <c r="AJ1549" s="85"/>
      <c r="AK1549" s="85"/>
      <c r="AL1549" s="85"/>
      <c r="AM1549" s="88"/>
      <c r="AN1549" s="89"/>
      <c r="AO1549" s="90"/>
      <c r="AP1549" s="90"/>
      <c r="AQ1549" s="90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</row>
    <row r="1550">
      <c r="A1550" s="95"/>
      <c r="B1550" s="96"/>
      <c r="C1550" s="95"/>
      <c r="D1550" s="97"/>
      <c r="E1550" s="98"/>
      <c r="F1550" s="85"/>
      <c r="G1550" s="13"/>
      <c r="H1550" s="13"/>
      <c r="I1550" s="13"/>
      <c r="J1550" s="13"/>
      <c r="K1550" s="13"/>
      <c r="L1550" s="85"/>
      <c r="M1550" s="85"/>
      <c r="N1550" s="85"/>
      <c r="O1550" s="85"/>
      <c r="P1550" s="13"/>
      <c r="Q1550" s="13"/>
      <c r="R1550" s="13"/>
      <c r="S1550" s="85"/>
      <c r="T1550" s="85"/>
      <c r="U1550" s="85"/>
      <c r="V1550" s="86"/>
      <c r="W1550" s="87"/>
      <c r="X1550" s="87"/>
      <c r="Y1550" s="85"/>
      <c r="Z1550" s="85"/>
      <c r="AA1550" s="87"/>
      <c r="AB1550" s="85"/>
      <c r="AC1550" s="85"/>
      <c r="AD1550" s="85"/>
      <c r="AE1550" s="85"/>
      <c r="AF1550" s="85"/>
      <c r="AG1550" s="85"/>
      <c r="AH1550" s="85"/>
      <c r="AI1550" s="85"/>
      <c r="AJ1550" s="85"/>
      <c r="AK1550" s="85"/>
      <c r="AL1550" s="85"/>
      <c r="AM1550" s="88"/>
      <c r="AN1550" s="89"/>
      <c r="AO1550" s="90"/>
      <c r="AP1550" s="90"/>
      <c r="AQ1550" s="90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/>
    </row>
    <row r="1551">
      <c r="A1551" s="95"/>
      <c r="B1551" s="96"/>
      <c r="C1551" s="95"/>
      <c r="D1551" s="97"/>
      <c r="E1551" s="98"/>
      <c r="F1551" s="85"/>
      <c r="G1551" s="13"/>
      <c r="H1551" s="13"/>
      <c r="I1551" s="13"/>
      <c r="J1551" s="13"/>
      <c r="K1551" s="13"/>
      <c r="L1551" s="85"/>
      <c r="M1551" s="85"/>
      <c r="N1551" s="85"/>
      <c r="O1551" s="85"/>
      <c r="P1551" s="13"/>
      <c r="Q1551" s="13"/>
      <c r="R1551" s="13"/>
      <c r="S1551" s="85"/>
      <c r="T1551" s="85"/>
      <c r="U1551" s="85"/>
      <c r="V1551" s="86"/>
      <c r="W1551" s="87"/>
      <c r="X1551" s="87"/>
      <c r="Y1551" s="85"/>
      <c r="Z1551" s="85"/>
      <c r="AA1551" s="87"/>
      <c r="AB1551" s="85"/>
      <c r="AC1551" s="85"/>
      <c r="AD1551" s="85"/>
      <c r="AE1551" s="85"/>
      <c r="AF1551" s="85"/>
      <c r="AG1551" s="85"/>
      <c r="AH1551" s="85"/>
      <c r="AI1551" s="85"/>
      <c r="AJ1551" s="85"/>
      <c r="AK1551" s="85"/>
      <c r="AL1551" s="85"/>
      <c r="AM1551" s="88"/>
      <c r="AN1551" s="89"/>
      <c r="AO1551" s="90"/>
      <c r="AP1551" s="90"/>
      <c r="AQ1551" s="90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</row>
    <row r="1552">
      <c r="A1552" s="95"/>
      <c r="B1552" s="96"/>
      <c r="C1552" s="95"/>
      <c r="D1552" s="97"/>
      <c r="E1552" s="98"/>
      <c r="F1552" s="85"/>
      <c r="G1552" s="13"/>
      <c r="H1552" s="13"/>
      <c r="I1552" s="13"/>
      <c r="J1552" s="13"/>
      <c r="K1552" s="13"/>
      <c r="L1552" s="85"/>
      <c r="M1552" s="85"/>
      <c r="N1552" s="85"/>
      <c r="O1552" s="85"/>
      <c r="P1552" s="13"/>
      <c r="Q1552" s="13"/>
      <c r="R1552" s="13"/>
      <c r="S1552" s="85"/>
      <c r="T1552" s="85"/>
      <c r="U1552" s="85"/>
      <c r="V1552" s="86"/>
      <c r="W1552" s="87"/>
      <c r="X1552" s="87"/>
      <c r="Y1552" s="85"/>
      <c r="Z1552" s="85"/>
      <c r="AA1552" s="87"/>
      <c r="AB1552" s="85"/>
      <c r="AC1552" s="85"/>
      <c r="AD1552" s="85"/>
      <c r="AE1552" s="85"/>
      <c r="AF1552" s="85"/>
      <c r="AG1552" s="85"/>
      <c r="AH1552" s="85"/>
      <c r="AI1552" s="85"/>
      <c r="AJ1552" s="85"/>
      <c r="AK1552" s="85"/>
      <c r="AL1552" s="85"/>
      <c r="AM1552" s="88"/>
      <c r="AN1552" s="89"/>
      <c r="AO1552" s="90"/>
      <c r="AP1552" s="90"/>
      <c r="AQ1552" s="90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</row>
    <row r="1553">
      <c r="A1553" s="95"/>
      <c r="B1553" s="96"/>
      <c r="C1553" s="95"/>
      <c r="D1553" s="97"/>
      <c r="E1553" s="98"/>
      <c r="F1553" s="85"/>
      <c r="G1553" s="13"/>
      <c r="H1553" s="13"/>
      <c r="I1553" s="13"/>
      <c r="J1553" s="13"/>
      <c r="K1553" s="13"/>
      <c r="L1553" s="85"/>
      <c r="M1553" s="85"/>
      <c r="N1553" s="85"/>
      <c r="O1553" s="85"/>
      <c r="P1553" s="13"/>
      <c r="Q1553" s="13"/>
      <c r="R1553" s="13"/>
      <c r="S1553" s="85"/>
      <c r="T1553" s="85"/>
      <c r="U1553" s="85"/>
      <c r="V1553" s="86"/>
      <c r="W1553" s="87"/>
      <c r="X1553" s="87"/>
      <c r="Y1553" s="85"/>
      <c r="Z1553" s="85"/>
      <c r="AA1553" s="87"/>
      <c r="AB1553" s="85"/>
      <c r="AC1553" s="85"/>
      <c r="AD1553" s="85"/>
      <c r="AE1553" s="85"/>
      <c r="AF1553" s="85"/>
      <c r="AG1553" s="85"/>
      <c r="AH1553" s="85"/>
      <c r="AI1553" s="85"/>
      <c r="AJ1553" s="85"/>
      <c r="AK1553" s="85"/>
      <c r="AL1553" s="85"/>
      <c r="AM1553" s="88"/>
      <c r="AN1553" s="89"/>
      <c r="AO1553" s="90"/>
      <c r="AP1553" s="90"/>
      <c r="AQ1553" s="90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</row>
    <row r="1554">
      <c r="A1554" s="95"/>
      <c r="B1554" s="96"/>
      <c r="C1554" s="95"/>
      <c r="D1554" s="97"/>
      <c r="E1554" s="98"/>
      <c r="F1554" s="85"/>
      <c r="G1554" s="13"/>
      <c r="H1554" s="13"/>
      <c r="I1554" s="13"/>
      <c r="J1554" s="13"/>
      <c r="K1554" s="13"/>
      <c r="L1554" s="85"/>
      <c r="M1554" s="85"/>
      <c r="N1554" s="85"/>
      <c r="O1554" s="85"/>
      <c r="P1554" s="13"/>
      <c r="Q1554" s="13"/>
      <c r="R1554" s="13"/>
      <c r="S1554" s="85"/>
      <c r="T1554" s="85"/>
      <c r="U1554" s="85"/>
      <c r="V1554" s="86"/>
      <c r="W1554" s="87"/>
      <c r="X1554" s="87"/>
      <c r="Y1554" s="85"/>
      <c r="Z1554" s="85"/>
      <c r="AA1554" s="87"/>
      <c r="AB1554" s="85"/>
      <c r="AC1554" s="85"/>
      <c r="AD1554" s="85"/>
      <c r="AE1554" s="85"/>
      <c r="AF1554" s="85"/>
      <c r="AG1554" s="85"/>
      <c r="AH1554" s="85"/>
      <c r="AI1554" s="85"/>
      <c r="AJ1554" s="85"/>
      <c r="AK1554" s="85"/>
      <c r="AL1554" s="85"/>
      <c r="AM1554" s="88"/>
      <c r="AN1554" s="89"/>
      <c r="AO1554" s="90"/>
      <c r="AP1554" s="90"/>
      <c r="AQ1554" s="90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</row>
    <row r="1555">
      <c r="A1555" s="95"/>
      <c r="B1555" s="96"/>
      <c r="C1555" s="95"/>
      <c r="D1555" s="97"/>
      <c r="E1555" s="98"/>
      <c r="F1555" s="85"/>
      <c r="G1555" s="13"/>
      <c r="H1555" s="13"/>
      <c r="I1555" s="13"/>
      <c r="J1555" s="13"/>
      <c r="K1555" s="13"/>
      <c r="L1555" s="85"/>
      <c r="M1555" s="85"/>
      <c r="N1555" s="85"/>
      <c r="O1555" s="85"/>
      <c r="P1555" s="13"/>
      <c r="Q1555" s="13"/>
      <c r="R1555" s="13"/>
      <c r="S1555" s="85"/>
      <c r="T1555" s="85"/>
      <c r="U1555" s="85"/>
      <c r="V1555" s="86"/>
      <c r="W1555" s="87"/>
      <c r="X1555" s="87"/>
      <c r="Y1555" s="85"/>
      <c r="Z1555" s="85"/>
      <c r="AA1555" s="87"/>
      <c r="AB1555" s="85"/>
      <c r="AC1555" s="85"/>
      <c r="AD1555" s="85"/>
      <c r="AE1555" s="85"/>
      <c r="AF1555" s="85"/>
      <c r="AG1555" s="85"/>
      <c r="AH1555" s="85"/>
      <c r="AI1555" s="85"/>
      <c r="AJ1555" s="85"/>
      <c r="AK1555" s="85"/>
      <c r="AL1555" s="85"/>
      <c r="AM1555" s="88"/>
      <c r="AN1555" s="89"/>
      <c r="AO1555" s="90"/>
      <c r="AP1555" s="90"/>
      <c r="AQ1555" s="90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/>
    </row>
    <row r="1556">
      <c r="A1556" s="95"/>
      <c r="B1556" s="96"/>
      <c r="C1556" s="95"/>
      <c r="D1556" s="97"/>
      <c r="E1556" s="98"/>
      <c r="F1556" s="85"/>
      <c r="G1556" s="13"/>
      <c r="H1556" s="13"/>
      <c r="I1556" s="13"/>
      <c r="J1556" s="13"/>
      <c r="K1556" s="13"/>
      <c r="L1556" s="85"/>
      <c r="M1556" s="85"/>
      <c r="N1556" s="85"/>
      <c r="O1556" s="85"/>
      <c r="P1556" s="13"/>
      <c r="Q1556" s="13"/>
      <c r="R1556" s="13"/>
      <c r="S1556" s="85"/>
      <c r="T1556" s="85"/>
      <c r="U1556" s="85"/>
      <c r="V1556" s="86"/>
      <c r="W1556" s="87"/>
      <c r="X1556" s="87"/>
      <c r="Y1556" s="85"/>
      <c r="Z1556" s="85"/>
      <c r="AA1556" s="87"/>
      <c r="AB1556" s="85"/>
      <c r="AC1556" s="85"/>
      <c r="AD1556" s="85"/>
      <c r="AE1556" s="85"/>
      <c r="AF1556" s="85"/>
      <c r="AG1556" s="85"/>
      <c r="AH1556" s="85"/>
      <c r="AI1556" s="85"/>
      <c r="AJ1556" s="85"/>
      <c r="AK1556" s="85"/>
      <c r="AL1556" s="85"/>
      <c r="AM1556" s="88"/>
      <c r="AN1556" s="89"/>
      <c r="AO1556" s="90"/>
      <c r="AP1556" s="90"/>
      <c r="AQ1556" s="90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/>
    </row>
    <row r="1557">
      <c r="A1557" s="95"/>
      <c r="B1557" s="96"/>
      <c r="C1557" s="95"/>
      <c r="D1557" s="97"/>
      <c r="E1557" s="98"/>
      <c r="F1557" s="85"/>
      <c r="G1557" s="13"/>
      <c r="H1557" s="13"/>
      <c r="I1557" s="13"/>
      <c r="J1557" s="13"/>
      <c r="K1557" s="13"/>
      <c r="L1557" s="85"/>
      <c r="M1557" s="85"/>
      <c r="N1557" s="85"/>
      <c r="O1557" s="85"/>
      <c r="P1557" s="13"/>
      <c r="Q1557" s="13"/>
      <c r="R1557" s="13"/>
      <c r="S1557" s="85"/>
      <c r="T1557" s="85"/>
      <c r="U1557" s="85"/>
      <c r="V1557" s="86"/>
      <c r="W1557" s="87"/>
      <c r="X1557" s="87"/>
      <c r="Y1557" s="85"/>
      <c r="Z1557" s="85"/>
      <c r="AA1557" s="87"/>
      <c r="AB1557" s="85"/>
      <c r="AC1557" s="85"/>
      <c r="AD1557" s="85"/>
      <c r="AE1557" s="85"/>
      <c r="AF1557" s="85"/>
      <c r="AG1557" s="85"/>
      <c r="AH1557" s="85"/>
      <c r="AI1557" s="85"/>
      <c r="AJ1557" s="85"/>
      <c r="AK1557" s="85"/>
      <c r="AL1557" s="85"/>
      <c r="AM1557" s="88"/>
      <c r="AN1557" s="89"/>
      <c r="AO1557" s="90"/>
      <c r="AP1557" s="90"/>
      <c r="AQ1557" s="90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/>
    </row>
    <row r="1558">
      <c r="A1558" s="95"/>
      <c r="B1558" s="96"/>
      <c r="C1558" s="95"/>
      <c r="D1558" s="97"/>
      <c r="E1558" s="98"/>
      <c r="F1558" s="85"/>
      <c r="G1558" s="13"/>
      <c r="H1558" s="13"/>
      <c r="I1558" s="13"/>
      <c r="J1558" s="13"/>
      <c r="K1558" s="13"/>
      <c r="L1558" s="85"/>
      <c r="M1558" s="85"/>
      <c r="N1558" s="85"/>
      <c r="O1558" s="85"/>
      <c r="P1558" s="13"/>
      <c r="Q1558" s="13"/>
      <c r="R1558" s="13"/>
      <c r="S1558" s="85"/>
      <c r="T1558" s="85"/>
      <c r="U1558" s="85"/>
      <c r="V1558" s="86"/>
      <c r="W1558" s="87"/>
      <c r="X1558" s="87"/>
      <c r="Y1558" s="85"/>
      <c r="Z1558" s="85"/>
      <c r="AA1558" s="87"/>
      <c r="AB1558" s="85"/>
      <c r="AC1558" s="85"/>
      <c r="AD1558" s="85"/>
      <c r="AE1558" s="85"/>
      <c r="AF1558" s="85"/>
      <c r="AG1558" s="85"/>
      <c r="AH1558" s="85"/>
      <c r="AI1558" s="85"/>
      <c r="AJ1558" s="85"/>
      <c r="AK1558" s="85"/>
      <c r="AL1558" s="85"/>
      <c r="AM1558" s="88"/>
      <c r="AN1558" s="89"/>
      <c r="AO1558" s="90"/>
      <c r="AP1558" s="90"/>
      <c r="AQ1558" s="90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</row>
    <row r="1559">
      <c r="A1559" s="95"/>
      <c r="B1559" s="96"/>
      <c r="C1559" s="95"/>
      <c r="D1559" s="97"/>
      <c r="E1559" s="98"/>
      <c r="F1559" s="85"/>
      <c r="G1559" s="13"/>
      <c r="H1559" s="13"/>
      <c r="I1559" s="13"/>
      <c r="J1559" s="13"/>
      <c r="K1559" s="13"/>
      <c r="L1559" s="85"/>
      <c r="M1559" s="85"/>
      <c r="N1559" s="85"/>
      <c r="O1559" s="85"/>
      <c r="P1559" s="13"/>
      <c r="Q1559" s="13"/>
      <c r="R1559" s="13"/>
      <c r="S1559" s="85"/>
      <c r="T1559" s="85"/>
      <c r="U1559" s="85"/>
      <c r="V1559" s="86"/>
      <c r="W1559" s="87"/>
      <c r="X1559" s="87"/>
      <c r="Y1559" s="85"/>
      <c r="Z1559" s="85"/>
      <c r="AA1559" s="87"/>
      <c r="AB1559" s="85"/>
      <c r="AC1559" s="85"/>
      <c r="AD1559" s="85"/>
      <c r="AE1559" s="85"/>
      <c r="AF1559" s="85"/>
      <c r="AG1559" s="85"/>
      <c r="AH1559" s="85"/>
      <c r="AI1559" s="85"/>
      <c r="AJ1559" s="85"/>
      <c r="AK1559" s="85"/>
      <c r="AL1559" s="85"/>
      <c r="AM1559" s="88"/>
      <c r="AN1559" s="89"/>
      <c r="AO1559" s="90"/>
      <c r="AP1559" s="90"/>
      <c r="AQ1559" s="90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</row>
    <row r="1560">
      <c r="A1560" s="95"/>
      <c r="B1560" s="96"/>
      <c r="C1560" s="95"/>
      <c r="D1560" s="97"/>
      <c r="E1560" s="98"/>
      <c r="F1560" s="85"/>
      <c r="G1560" s="13"/>
      <c r="H1560" s="13"/>
      <c r="I1560" s="13"/>
      <c r="J1560" s="13"/>
      <c r="K1560" s="13"/>
      <c r="L1560" s="85"/>
      <c r="M1560" s="85"/>
      <c r="N1560" s="85"/>
      <c r="O1560" s="85"/>
      <c r="P1560" s="13"/>
      <c r="Q1560" s="13"/>
      <c r="R1560" s="13"/>
      <c r="S1560" s="85"/>
      <c r="T1560" s="85"/>
      <c r="U1560" s="85"/>
      <c r="V1560" s="86"/>
      <c r="W1560" s="87"/>
      <c r="X1560" s="87"/>
      <c r="Y1560" s="85"/>
      <c r="Z1560" s="85"/>
      <c r="AA1560" s="87"/>
      <c r="AB1560" s="85"/>
      <c r="AC1560" s="85"/>
      <c r="AD1560" s="85"/>
      <c r="AE1560" s="85"/>
      <c r="AF1560" s="85"/>
      <c r="AG1560" s="85"/>
      <c r="AH1560" s="85"/>
      <c r="AI1560" s="85"/>
      <c r="AJ1560" s="85"/>
      <c r="AK1560" s="85"/>
      <c r="AL1560" s="85"/>
      <c r="AM1560" s="88"/>
      <c r="AN1560" s="89"/>
      <c r="AO1560" s="90"/>
      <c r="AP1560" s="90"/>
      <c r="AQ1560" s="90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</row>
    <row r="1561">
      <c r="A1561" s="95"/>
      <c r="B1561" s="96"/>
      <c r="C1561" s="95"/>
      <c r="D1561" s="97"/>
      <c r="E1561" s="98"/>
      <c r="F1561" s="85"/>
      <c r="G1561" s="13"/>
      <c r="H1561" s="13"/>
      <c r="I1561" s="13"/>
      <c r="J1561" s="13"/>
      <c r="K1561" s="13"/>
      <c r="L1561" s="85"/>
      <c r="M1561" s="85"/>
      <c r="N1561" s="85"/>
      <c r="O1561" s="85"/>
      <c r="P1561" s="13"/>
      <c r="Q1561" s="13"/>
      <c r="R1561" s="13"/>
      <c r="S1561" s="85"/>
      <c r="T1561" s="85"/>
      <c r="U1561" s="85"/>
      <c r="V1561" s="86"/>
      <c r="W1561" s="87"/>
      <c r="X1561" s="87"/>
      <c r="Y1561" s="85"/>
      <c r="Z1561" s="85"/>
      <c r="AA1561" s="87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8"/>
      <c r="AN1561" s="89"/>
      <c r="AO1561" s="90"/>
      <c r="AP1561" s="90"/>
      <c r="AQ1561" s="90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</row>
    <row r="1562">
      <c r="A1562" s="95"/>
      <c r="B1562" s="96"/>
      <c r="C1562" s="95"/>
      <c r="D1562" s="97"/>
      <c r="E1562" s="98"/>
      <c r="F1562" s="85"/>
      <c r="G1562" s="13"/>
      <c r="H1562" s="13"/>
      <c r="I1562" s="13"/>
      <c r="J1562" s="13"/>
      <c r="K1562" s="13"/>
      <c r="L1562" s="85"/>
      <c r="M1562" s="85"/>
      <c r="N1562" s="85"/>
      <c r="O1562" s="85"/>
      <c r="P1562" s="13"/>
      <c r="Q1562" s="13"/>
      <c r="R1562" s="13"/>
      <c r="S1562" s="85"/>
      <c r="T1562" s="85"/>
      <c r="U1562" s="85"/>
      <c r="V1562" s="86"/>
      <c r="W1562" s="87"/>
      <c r="X1562" s="87"/>
      <c r="Y1562" s="85"/>
      <c r="Z1562" s="85"/>
      <c r="AA1562" s="87"/>
      <c r="AB1562" s="85"/>
      <c r="AC1562" s="85"/>
      <c r="AD1562" s="85"/>
      <c r="AE1562" s="85"/>
      <c r="AF1562" s="85"/>
      <c r="AG1562" s="85"/>
      <c r="AH1562" s="85"/>
      <c r="AI1562" s="85"/>
      <c r="AJ1562" s="85"/>
      <c r="AK1562" s="85"/>
      <c r="AL1562" s="85"/>
      <c r="AM1562" s="88"/>
      <c r="AN1562" s="89"/>
      <c r="AO1562" s="90"/>
      <c r="AP1562" s="90"/>
      <c r="AQ1562" s="90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</row>
    <row r="1563">
      <c r="A1563" s="95"/>
      <c r="B1563" s="96"/>
      <c r="C1563" s="95"/>
      <c r="D1563" s="97"/>
      <c r="E1563" s="98"/>
      <c r="F1563" s="85"/>
      <c r="G1563" s="13"/>
      <c r="H1563" s="13"/>
      <c r="I1563" s="13"/>
      <c r="J1563" s="13"/>
      <c r="K1563" s="13"/>
      <c r="L1563" s="85"/>
      <c r="M1563" s="85"/>
      <c r="N1563" s="85"/>
      <c r="O1563" s="85"/>
      <c r="P1563" s="13"/>
      <c r="Q1563" s="13"/>
      <c r="R1563" s="13"/>
      <c r="S1563" s="85"/>
      <c r="T1563" s="85"/>
      <c r="U1563" s="85"/>
      <c r="V1563" s="86"/>
      <c r="W1563" s="87"/>
      <c r="X1563" s="87"/>
      <c r="Y1563" s="85"/>
      <c r="Z1563" s="85"/>
      <c r="AA1563" s="87"/>
      <c r="AB1563" s="85"/>
      <c r="AC1563" s="85"/>
      <c r="AD1563" s="85"/>
      <c r="AE1563" s="85"/>
      <c r="AF1563" s="85"/>
      <c r="AG1563" s="85"/>
      <c r="AH1563" s="85"/>
      <c r="AI1563" s="85"/>
      <c r="AJ1563" s="85"/>
      <c r="AK1563" s="85"/>
      <c r="AL1563" s="85"/>
      <c r="AM1563" s="88"/>
      <c r="AN1563" s="89"/>
      <c r="AO1563" s="90"/>
      <c r="AP1563" s="90"/>
      <c r="AQ1563" s="90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</row>
    <row r="1564">
      <c r="A1564" s="95"/>
      <c r="B1564" s="96"/>
      <c r="C1564" s="95"/>
      <c r="D1564" s="97"/>
      <c r="E1564" s="98"/>
      <c r="F1564" s="85"/>
      <c r="G1564" s="13"/>
      <c r="H1564" s="13"/>
      <c r="I1564" s="13"/>
      <c r="J1564" s="13"/>
      <c r="K1564" s="13"/>
      <c r="L1564" s="85"/>
      <c r="M1564" s="85"/>
      <c r="N1564" s="85"/>
      <c r="O1564" s="85"/>
      <c r="P1564" s="13"/>
      <c r="Q1564" s="13"/>
      <c r="R1564" s="13"/>
      <c r="S1564" s="85"/>
      <c r="T1564" s="85"/>
      <c r="U1564" s="85"/>
      <c r="V1564" s="86"/>
      <c r="W1564" s="87"/>
      <c r="X1564" s="87"/>
      <c r="Y1564" s="85"/>
      <c r="Z1564" s="85"/>
      <c r="AA1564" s="87"/>
      <c r="AB1564" s="85"/>
      <c r="AC1564" s="85"/>
      <c r="AD1564" s="85"/>
      <c r="AE1564" s="85"/>
      <c r="AF1564" s="85"/>
      <c r="AG1564" s="85"/>
      <c r="AH1564" s="85"/>
      <c r="AI1564" s="85"/>
      <c r="AJ1564" s="85"/>
      <c r="AK1564" s="85"/>
      <c r="AL1564" s="85"/>
      <c r="AM1564" s="88"/>
      <c r="AN1564" s="89"/>
      <c r="AO1564" s="90"/>
      <c r="AP1564" s="90"/>
      <c r="AQ1564" s="90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</row>
    <row r="1565">
      <c r="A1565" s="95"/>
      <c r="B1565" s="96"/>
      <c r="C1565" s="95"/>
      <c r="D1565" s="97"/>
      <c r="E1565" s="98"/>
      <c r="F1565" s="85"/>
      <c r="G1565" s="13"/>
      <c r="H1565" s="13"/>
      <c r="I1565" s="13"/>
      <c r="J1565" s="13"/>
      <c r="K1565" s="13"/>
      <c r="L1565" s="85"/>
      <c r="M1565" s="85"/>
      <c r="N1565" s="85"/>
      <c r="O1565" s="85"/>
      <c r="P1565" s="13"/>
      <c r="Q1565" s="13"/>
      <c r="R1565" s="13"/>
      <c r="S1565" s="85"/>
      <c r="T1565" s="85"/>
      <c r="U1565" s="85"/>
      <c r="V1565" s="86"/>
      <c r="W1565" s="87"/>
      <c r="X1565" s="87"/>
      <c r="Y1565" s="85"/>
      <c r="Z1565" s="85"/>
      <c r="AA1565" s="87"/>
      <c r="AB1565" s="85"/>
      <c r="AC1565" s="85"/>
      <c r="AD1565" s="85"/>
      <c r="AE1565" s="85"/>
      <c r="AF1565" s="85"/>
      <c r="AG1565" s="85"/>
      <c r="AH1565" s="85"/>
      <c r="AI1565" s="85"/>
      <c r="AJ1565" s="85"/>
      <c r="AK1565" s="85"/>
      <c r="AL1565" s="85"/>
      <c r="AM1565" s="88"/>
      <c r="AN1565" s="89"/>
      <c r="AO1565" s="90"/>
      <c r="AP1565" s="90"/>
      <c r="AQ1565" s="90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</row>
    <row r="1566">
      <c r="A1566" s="95"/>
      <c r="B1566" s="96"/>
      <c r="C1566" s="95"/>
      <c r="D1566" s="97"/>
      <c r="E1566" s="98"/>
      <c r="F1566" s="85"/>
      <c r="G1566" s="13"/>
      <c r="H1566" s="13"/>
      <c r="I1566" s="13"/>
      <c r="J1566" s="13"/>
      <c r="K1566" s="13"/>
      <c r="L1566" s="85"/>
      <c r="M1566" s="85"/>
      <c r="N1566" s="85"/>
      <c r="O1566" s="85"/>
      <c r="P1566" s="13"/>
      <c r="Q1566" s="13"/>
      <c r="R1566" s="13"/>
      <c r="S1566" s="85"/>
      <c r="T1566" s="85"/>
      <c r="U1566" s="85"/>
      <c r="V1566" s="86"/>
      <c r="W1566" s="87"/>
      <c r="X1566" s="87"/>
      <c r="Y1566" s="85"/>
      <c r="Z1566" s="85"/>
      <c r="AA1566" s="87"/>
      <c r="AB1566" s="85"/>
      <c r="AC1566" s="85"/>
      <c r="AD1566" s="85"/>
      <c r="AE1566" s="85"/>
      <c r="AF1566" s="85"/>
      <c r="AG1566" s="85"/>
      <c r="AH1566" s="85"/>
      <c r="AI1566" s="85"/>
      <c r="AJ1566" s="85"/>
      <c r="AK1566" s="85"/>
      <c r="AL1566" s="85"/>
      <c r="AM1566" s="88"/>
      <c r="AN1566" s="89"/>
      <c r="AO1566" s="90"/>
      <c r="AP1566" s="90"/>
      <c r="AQ1566" s="90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/>
    </row>
    <row r="1567">
      <c r="A1567" s="95"/>
      <c r="B1567" s="96"/>
      <c r="C1567" s="95"/>
      <c r="D1567" s="97"/>
      <c r="E1567" s="98"/>
      <c r="F1567" s="85"/>
      <c r="G1567" s="13"/>
      <c r="H1567" s="13"/>
      <c r="I1567" s="13"/>
      <c r="J1567" s="13"/>
      <c r="K1567" s="13"/>
      <c r="L1567" s="85"/>
      <c r="M1567" s="85"/>
      <c r="N1567" s="85"/>
      <c r="O1567" s="85"/>
      <c r="P1567" s="13"/>
      <c r="Q1567" s="13"/>
      <c r="R1567" s="13"/>
      <c r="S1567" s="85"/>
      <c r="T1567" s="85"/>
      <c r="U1567" s="85"/>
      <c r="V1567" s="86"/>
      <c r="W1567" s="87"/>
      <c r="X1567" s="87"/>
      <c r="Y1567" s="85"/>
      <c r="Z1567" s="85"/>
      <c r="AA1567" s="87"/>
      <c r="AB1567" s="85"/>
      <c r="AC1567" s="85"/>
      <c r="AD1567" s="85"/>
      <c r="AE1567" s="85"/>
      <c r="AF1567" s="85"/>
      <c r="AG1567" s="85"/>
      <c r="AH1567" s="85"/>
      <c r="AI1567" s="85"/>
      <c r="AJ1567" s="85"/>
      <c r="AK1567" s="85"/>
      <c r="AL1567" s="85"/>
      <c r="AM1567" s="88"/>
      <c r="AN1567" s="89"/>
      <c r="AO1567" s="90"/>
      <c r="AP1567" s="90"/>
      <c r="AQ1567" s="90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</row>
    <row r="1568">
      <c r="A1568" s="95"/>
      <c r="B1568" s="96"/>
      <c r="C1568" s="95"/>
      <c r="D1568" s="97"/>
      <c r="E1568" s="98"/>
      <c r="F1568" s="85"/>
      <c r="G1568" s="13"/>
      <c r="H1568" s="13"/>
      <c r="I1568" s="13"/>
      <c r="J1568" s="13"/>
      <c r="K1568" s="13"/>
      <c r="L1568" s="85"/>
      <c r="M1568" s="85"/>
      <c r="N1568" s="85"/>
      <c r="O1568" s="85"/>
      <c r="P1568" s="13"/>
      <c r="Q1568" s="13"/>
      <c r="R1568" s="13"/>
      <c r="S1568" s="85"/>
      <c r="T1568" s="85"/>
      <c r="U1568" s="85"/>
      <c r="V1568" s="86"/>
      <c r="W1568" s="87"/>
      <c r="X1568" s="87"/>
      <c r="Y1568" s="85"/>
      <c r="Z1568" s="85"/>
      <c r="AA1568" s="87"/>
      <c r="AB1568" s="85"/>
      <c r="AC1568" s="85"/>
      <c r="AD1568" s="85"/>
      <c r="AE1568" s="85"/>
      <c r="AF1568" s="85"/>
      <c r="AG1568" s="85"/>
      <c r="AH1568" s="85"/>
      <c r="AI1568" s="85"/>
      <c r="AJ1568" s="85"/>
      <c r="AK1568" s="85"/>
      <c r="AL1568" s="85"/>
      <c r="AM1568" s="88"/>
      <c r="AN1568" s="89"/>
      <c r="AO1568" s="90"/>
      <c r="AP1568" s="90"/>
      <c r="AQ1568" s="90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3"/>
      <c r="BP1568" s="13"/>
      <c r="BQ1568" s="13"/>
    </row>
    <row r="1569">
      <c r="A1569" s="95"/>
      <c r="B1569" s="96"/>
      <c r="C1569" s="95"/>
      <c r="D1569" s="97"/>
      <c r="E1569" s="98"/>
      <c r="F1569" s="85"/>
      <c r="G1569" s="13"/>
      <c r="H1569" s="13"/>
      <c r="I1569" s="13"/>
      <c r="J1569" s="13"/>
      <c r="K1569" s="13"/>
      <c r="L1569" s="85"/>
      <c r="M1569" s="85"/>
      <c r="N1569" s="85"/>
      <c r="O1569" s="85"/>
      <c r="P1569" s="13"/>
      <c r="Q1569" s="13"/>
      <c r="R1569" s="13"/>
      <c r="S1569" s="85"/>
      <c r="T1569" s="85"/>
      <c r="U1569" s="85"/>
      <c r="V1569" s="86"/>
      <c r="W1569" s="87"/>
      <c r="X1569" s="87"/>
      <c r="Y1569" s="85"/>
      <c r="Z1569" s="85"/>
      <c r="AA1569" s="87"/>
      <c r="AB1569" s="85"/>
      <c r="AC1569" s="85"/>
      <c r="AD1569" s="85"/>
      <c r="AE1569" s="85"/>
      <c r="AF1569" s="85"/>
      <c r="AG1569" s="85"/>
      <c r="AH1569" s="85"/>
      <c r="AI1569" s="85"/>
      <c r="AJ1569" s="85"/>
      <c r="AK1569" s="85"/>
      <c r="AL1569" s="85"/>
      <c r="AM1569" s="88"/>
      <c r="AN1569" s="89"/>
      <c r="AO1569" s="90"/>
      <c r="AP1569" s="90"/>
      <c r="AQ1569" s="90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</row>
    <row r="1570">
      <c r="A1570" s="95"/>
      <c r="B1570" s="96"/>
      <c r="C1570" s="95"/>
      <c r="D1570" s="97"/>
      <c r="E1570" s="98"/>
      <c r="F1570" s="85"/>
      <c r="G1570" s="13"/>
      <c r="H1570" s="13"/>
      <c r="I1570" s="13"/>
      <c r="J1570" s="13"/>
      <c r="K1570" s="13"/>
      <c r="L1570" s="85"/>
      <c r="M1570" s="85"/>
      <c r="N1570" s="85"/>
      <c r="O1570" s="85"/>
      <c r="P1570" s="13"/>
      <c r="Q1570" s="13"/>
      <c r="R1570" s="13"/>
      <c r="S1570" s="85"/>
      <c r="T1570" s="85"/>
      <c r="U1570" s="85"/>
      <c r="V1570" s="86"/>
      <c r="W1570" s="87"/>
      <c r="X1570" s="87"/>
      <c r="Y1570" s="85"/>
      <c r="Z1570" s="85"/>
      <c r="AA1570" s="87"/>
      <c r="AB1570" s="85"/>
      <c r="AC1570" s="85"/>
      <c r="AD1570" s="85"/>
      <c r="AE1570" s="85"/>
      <c r="AF1570" s="85"/>
      <c r="AG1570" s="85"/>
      <c r="AH1570" s="85"/>
      <c r="AI1570" s="85"/>
      <c r="AJ1570" s="85"/>
      <c r="AK1570" s="85"/>
      <c r="AL1570" s="85"/>
      <c r="AM1570" s="88"/>
      <c r="AN1570" s="89"/>
      <c r="AO1570" s="90"/>
      <c r="AP1570" s="90"/>
      <c r="AQ1570" s="90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/>
    </row>
    <row r="1571">
      <c r="A1571" s="95"/>
      <c r="B1571" s="96"/>
      <c r="C1571" s="95"/>
      <c r="D1571" s="97"/>
      <c r="E1571" s="98"/>
      <c r="F1571" s="85"/>
      <c r="G1571" s="13"/>
      <c r="H1571" s="13"/>
      <c r="I1571" s="13"/>
      <c r="J1571" s="13"/>
      <c r="K1571" s="13"/>
      <c r="L1571" s="85"/>
      <c r="M1571" s="85"/>
      <c r="N1571" s="85"/>
      <c r="O1571" s="85"/>
      <c r="P1571" s="13"/>
      <c r="Q1571" s="13"/>
      <c r="R1571" s="13"/>
      <c r="S1571" s="85"/>
      <c r="T1571" s="85"/>
      <c r="U1571" s="85"/>
      <c r="V1571" s="86"/>
      <c r="W1571" s="87"/>
      <c r="X1571" s="87"/>
      <c r="Y1571" s="85"/>
      <c r="Z1571" s="85"/>
      <c r="AA1571" s="87"/>
      <c r="AB1571" s="85"/>
      <c r="AC1571" s="85"/>
      <c r="AD1571" s="85"/>
      <c r="AE1571" s="85"/>
      <c r="AF1571" s="85"/>
      <c r="AG1571" s="85"/>
      <c r="AH1571" s="85"/>
      <c r="AI1571" s="85"/>
      <c r="AJ1571" s="85"/>
      <c r="AK1571" s="85"/>
      <c r="AL1571" s="85"/>
      <c r="AM1571" s="88"/>
      <c r="AN1571" s="89"/>
      <c r="AO1571" s="90"/>
      <c r="AP1571" s="90"/>
      <c r="AQ1571" s="90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3"/>
      <c r="BP1571" s="13"/>
      <c r="BQ1571" s="13"/>
    </row>
    <row r="1572">
      <c r="A1572" s="95"/>
      <c r="B1572" s="96"/>
      <c r="C1572" s="95"/>
      <c r="D1572" s="97"/>
      <c r="E1572" s="98"/>
      <c r="F1572" s="85"/>
      <c r="G1572" s="13"/>
      <c r="H1572" s="13"/>
      <c r="I1572" s="13"/>
      <c r="J1572" s="13"/>
      <c r="K1572" s="13"/>
      <c r="L1572" s="85"/>
      <c r="M1572" s="85"/>
      <c r="N1572" s="85"/>
      <c r="O1572" s="85"/>
      <c r="P1572" s="13"/>
      <c r="Q1572" s="13"/>
      <c r="R1572" s="13"/>
      <c r="S1572" s="85"/>
      <c r="T1572" s="85"/>
      <c r="U1572" s="85"/>
      <c r="V1572" s="86"/>
      <c r="W1572" s="87"/>
      <c r="X1572" s="87"/>
      <c r="Y1572" s="85"/>
      <c r="Z1572" s="85"/>
      <c r="AA1572" s="87"/>
      <c r="AB1572" s="85"/>
      <c r="AC1572" s="85"/>
      <c r="AD1572" s="85"/>
      <c r="AE1572" s="85"/>
      <c r="AF1572" s="85"/>
      <c r="AG1572" s="85"/>
      <c r="AH1572" s="85"/>
      <c r="AI1572" s="85"/>
      <c r="AJ1572" s="85"/>
      <c r="AK1572" s="85"/>
      <c r="AL1572" s="85"/>
      <c r="AM1572" s="88"/>
      <c r="AN1572" s="89"/>
      <c r="AO1572" s="90"/>
      <c r="AP1572" s="90"/>
      <c r="AQ1572" s="90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/>
    </row>
    <row r="1573">
      <c r="A1573" s="95"/>
      <c r="B1573" s="96"/>
      <c r="C1573" s="95"/>
      <c r="D1573" s="97"/>
      <c r="E1573" s="98"/>
      <c r="F1573" s="85"/>
      <c r="G1573" s="13"/>
      <c r="H1573" s="13"/>
      <c r="I1573" s="13"/>
      <c r="J1573" s="13"/>
      <c r="K1573" s="13"/>
      <c r="L1573" s="85"/>
      <c r="M1573" s="85"/>
      <c r="N1573" s="85"/>
      <c r="O1573" s="85"/>
      <c r="P1573" s="13"/>
      <c r="Q1573" s="13"/>
      <c r="R1573" s="13"/>
      <c r="S1573" s="85"/>
      <c r="T1573" s="85"/>
      <c r="U1573" s="85"/>
      <c r="V1573" s="86"/>
      <c r="W1573" s="87"/>
      <c r="X1573" s="87"/>
      <c r="Y1573" s="85"/>
      <c r="Z1573" s="85"/>
      <c r="AA1573" s="87"/>
      <c r="AB1573" s="85"/>
      <c r="AC1573" s="85"/>
      <c r="AD1573" s="85"/>
      <c r="AE1573" s="85"/>
      <c r="AF1573" s="85"/>
      <c r="AG1573" s="85"/>
      <c r="AH1573" s="85"/>
      <c r="AI1573" s="85"/>
      <c r="AJ1573" s="85"/>
      <c r="AK1573" s="85"/>
      <c r="AL1573" s="85"/>
      <c r="AM1573" s="88"/>
      <c r="AN1573" s="89"/>
      <c r="AO1573" s="90"/>
      <c r="AP1573" s="90"/>
      <c r="AQ1573" s="90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</row>
    <row r="1574">
      <c r="A1574" s="95"/>
      <c r="B1574" s="96"/>
      <c r="C1574" s="95"/>
      <c r="D1574" s="97"/>
      <c r="E1574" s="98"/>
      <c r="F1574" s="85"/>
      <c r="G1574" s="13"/>
      <c r="H1574" s="13"/>
      <c r="I1574" s="13"/>
      <c r="J1574" s="13"/>
      <c r="K1574" s="13"/>
      <c r="L1574" s="85"/>
      <c r="M1574" s="85"/>
      <c r="N1574" s="85"/>
      <c r="O1574" s="85"/>
      <c r="P1574" s="13"/>
      <c r="Q1574" s="13"/>
      <c r="R1574" s="13"/>
      <c r="S1574" s="85"/>
      <c r="T1574" s="85"/>
      <c r="U1574" s="85"/>
      <c r="V1574" s="86"/>
      <c r="W1574" s="87"/>
      <c r="X1574" s="87"/>
      <c r="Y1574" s="85"/>
      <c r="Z1574" s="85"/>
      <c r="AA1574" s="87"/>
      <c r="AB1574" s="85"/>
      <c r="AC1574" s="85"/>
      <c r="AD1574" s="85"/>
      <c r="AE1574" s="85"/>
      <c r="AF1574" s="85"/>
      <c r="AG1574" s="85"/>
      <c r="AH1574" s="85"/>
      <c r="AI1574" s="85"/>
      <c r="AJ1574" s="85"/>
      <c r="AK1574" s="85"/>
      <c r="AL1574" s="85"/>
      <c r="AM1574" s="88"/>
      <c r="AN1574" s="89"/>
      <c r="AO1574" s="90"/>
      <c r="AP1574" s="90"/>
      <c r="AQ1574" s="90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</row>
    <row r="1575">
      <c r="A1575" s="95"/>
      <c r="B1575" s="96"/>
      <c r="C1575" s="95"/>
      <c r="D1575" s="97"/>
      <c r="E1575" s="98"/>
      <c r="F1575" s="85"/>
      <c r="G1575" s="13"/>
      <c r="H1575" s="13"/>
      <c r="I1575" s="13"/>
      <c r="J1575" s="13"/>
      <c r="K1575" s="13"/>
      <c r="L1575" s="85"/>
      <c r="M1575" s="85"/>
      <c r="N1575" s="85"/>
      <c r="O1575" s="85"/>
      <c r="P1575" s="13"/>
      <c r="Q1575" s="13"/>
      <c r="R1575" s="13"/>
      <c r="S1575" s="85"/>
      <c r="T1575" s="85"/>
      <c r="U1575" s="85"/>
      <c r="V1575" s="86"/>
      <c r="W1575" s="87"/>
      <c r="X1575" s="87"/>
      <c r="Y1575" s="85"/>
      <c r="Z1575" s="85"/>
      <c r="AA1575" s="87"/>
      <c r="AB1575" s="85"/>
      <c r="AC1575" s="85"/>
      <c r="AD1575" s="85"/>
      <c r="AE1575" s="85"/>
      <c r="AF1575" s="85"/>
      <c r="AG1575" s="85"/>
      <c r="AH1575" s="85"/>
      <c r="AI1575" s="85"/>
      <c r="AJ1575" s="85"/>
      <c r="AK1575" s="85"/>
      <c r="AL1575" s="85"/>
      <c r="AM1575" s="88"/>
      <c r="AN1575" s="89"/>
      <c r="AO1575" s="90"/>
      <c r="AP1575" s="90"/>
      <c r="AQ1575" s="90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/>
    </row>
    <row r="1576">
      <c r="A1576" s="95"/>
      <c r="B1576" s="96"/>
      <c r="C1576" s="95"/>
      <c r="D1576" s="97"/>
      <c r="E1576" s="98"/>
      <c r="F1576" s="85"/>
      <c r="G1576" s="13"/>
      <c r="H1576" s="13"/>
      <c r="I1576" s="13"/>
      <c r="J1576" s="13"/>
      <c r="K1576" s="13"/>
      <c r="L1576" s="85"/>
      <c r="M1576" s="85"/>
      <c r="N1576" s="85"/>
      <c r="O1576" s="85"/>
      <c r="P1576" s="13"/>
      <c r="Q1576" s="13"/>
      <c r="R1576" s="13"/>
      <c r="S1576" s="85"/>
      <c r="T1576" s="85"/>
      <c r="U1576" s="85"/>
      <c r="V1576" s="86"/>
      <c r="W1576" s="87"/>
      <c r="X1576" s="87"/>
      <c r="Y1576" s="85"/>
      <c r="Z1576" s="85"/>
      <c r="AA1576" s="87"/>
      <c r="AB1576" s="85"/>
      <c r="AC1576" s="85"/>
      <c r="AD1576" s="85"/>
      <c r="AE1576" s="85"/>
      <c r="AF1576" s="85"/>
      <c r="AG1576" s="85"/>
      <c r="AH1576" s="85"/>
      <c r="AI1576" s="85"/>
      <c r="AJ1576" s="85"/>
      <c r="AK1576" s="85"/>
      <c r="AL1576" s="85"/>
      <c r="AM1576" s="88"/>
      <c r="AN1576" s="89"/>
      <c r="AO1576" s="90"/>
      <c r="AP1576" s="90"/>
      <c r="AQ1576" s="90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</row>
    <row r="1577">
      <c r="A1577" s="95"/>
      <c r="B1577" s="96"/>
      <c r="C1577" s="95"/>
      <c r="D1577" s="97"/>
      <c r="E1577" s="98"/>
      <c r="F1577" s="85"/>
      <c r="G1577" s="13"/>
      <c r="H1577" s="13"/>
      <c r="I1577" s="13"/>
      <c r="J1577" s="13"/>
      <c r="K1577" s="13"/>
      <c r="L1577" s="85"/>
      <c r="M1577" s="85"/>
      <c r="N1577" s="85"/>
      <c r="O1577" s="85"/>
      <c r="P1577" s="13"/>
      <c r="Q1577" s="13"/>
      <c r="R1577" s="13"/>
      <c r="S1577" s="85"/>
      <c r="T1577" s="85"/>
      <c r="U1577" s="85"/>
      <c r="V1577" s="86"/>
      <c r="W1577" s="87"/>
      <c r="X1577" s="87"/>
      <c r="Y1577" s="85"/>
      <c r="Z1577" s="85"/>
      <c r="AA1577" s="87"/>
      <c r="AB1577" s="85"/>
      <c r="AC1577" s="85"/>
      <c r="AD1577" s="85"/>
      <c r="AE1577" s="85"/>
      <c r="AF1577" s="85"/>
      <c r="AG1577" s="85"/>
      <c r="AH1577" s="85"/>
      <c r="AI1577" s="85"/>
      <c r="AJ1577" s="85"/>
      <c r="AK1577" s="85"/>
      <c r="AL1577" s="85"/>
      <c r="AM1577" s="88"/>
      <c r="AN1577" s="89"/>
      <c r="AO1577" s="90"/>
      <c r="AP1577" s="90"/>
      <c r="AQ1577" s="90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</row>
    <row r="1578">
      <c r="A1578" s="95"/>
      <c r="B1578" s="96"/>
      <c r="C1578" s="95"/>
      <c r="D1578" s="97"/>
      <c r="E1578" s="98"/>
      <c r="F1578" s="85"/>
      <c r="G1578" s="13"/>
      <c r="H1578" s="13"/>
      <c r="I1578" s="13"/>
      <c r="J1578" s="13"/>
      <c r="K1578" s="13"/>
      <c r="L1578" s="85"/>
      <c r="M1578" s="85"/>
      <c r="N1578" s="85"/>
      <c r="O1578" s="85"/>
      <c r="P1578" s="13"/>
      <c r="Q1578" s="13"/>
      <c r="R1578" s="13"/>
      <c r="S1578" s="85"/>
      <c r="T1578" s="85"/>
      <c r="U1578" s="85"/>
      <c r="V1578" s="86"/>
      <c r="W1578" s="87"/>
      <c r="X1578" s="87"/>
      <c r="Y1578" s="85"/>
      <c r="Z1578" s="85"/>
      <c r="AA1578" s="87"/>
      <c r="AB1578" s="85"/>
      <c r="AC1578" s="85"/>
      <c r="AD1578" s="85"/>
      <c r="AE1578" s="85"/>
      <c r="AF1578" s="85"/>
      <c r="AG1578" s="85"/>
      <c r="AH1578" s="85"/>
      <c r="AI1578" s="85"/>
      <c r="AJ1578" s="85"/>
      <c r="AK1578" s="85"/>
      <c r="AL1578" s="85"/>
      <c r="AM1578" s="88"/>
      <c r="AN1578" s="89"/>
      <c r="AO1578" s="90"/>
      <c r="AP1578" s="90"/>
      <c r="AQ1578" s="90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/>
    </row>
    <row r="1579">
      <c r="A1579" s="95"/>
      <c r="B1579" s="96"/>
      <c r="C1579" s="95"/>
      <c r="D1579" s="97"/>
      <c r="E1579" s="98"/>
      <c r="F1579" s="85"/>
      <c r="G1579" s="13"/>
      <c r="H1579" s="13"/>
      <c r="I1579" s="13"/>
      <c r="J1579" s="13"/>
      <c r="K1579" s="13"/>
      <c r="L1579" s="85"/>
      <c r="M1579" s="85"/>
      <c r="N1579" s="85"/>
      <c r="O1579" s="85"/>
      <c r="P1579" s="13"/>
      <c r="Q1579" s="13"/>
      <c r="R1579" s="13"/>
      <c r="S1579" s="85"/>
      <c r="T1579" s="85"/>
      <c r="U1579" s="85"/>
      <c r="V1579" s="86"/>
      <c r="W1579" s="87"/>
      <c r="X1579" s="87"/>
      <c r="Y1579" s="85"/>
      <c r="Z1579" s="85"/>
      <c r="AA1579" s="87"/>
      <c r="AB1579" s="85"/>
      <c r="AC1579" s="85"/>
      <c r="AD1579" s="85"/>
      <c r="AE1579" s="85"/>
      <c r="AF1579" s="85"/>
      <c r="AG1579" s="85"/>
      <c r="AH1579" s="85"/>
      <c r="AI1579" s="85"/>
      <c r="AJ1579" s="85"/>
      <c r="AK1579" s="85"/>
      <c r="AL1579" s="85"/>
      <c r="AM1579" s="88"/>
      <c r="AN1579" s="89"/>
      <c r="AO1579" s="90"/>
      <c r="AP1579" s="90"/>
      <c r="AQ1579" s="90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/>
    </row>
    <row r="1580">
      <c r="A1580" s="95"/>
      <c r="B1580" s="96"/>
      <c r="C1580" s="95"/>
      <c r="D1580" s="97"/>
      <c r="E1580" s="98"/>
      <c r="F1580" s="85"/>
      <c r="G1580" s="13"/>
      <c r="H1580" s="13"/>
      <c r="I1580" s="13"/>
      <c r="J1580" s="13"/>
      <c r="K1580" s="13"/>
      <c r="L1580" s="85"/>
      <c r="M1580" s="85"/>
      <c r="N1580" s="85"/>
      <c r="O1580" s="85"/>
      <c r="P1580" s="13"/>
      <c r="Q1580" s="13"/>
      <c r="R1580" s="13"/>
      <c r="S1580" s="85"/>
      <c r="T1580" s="85"/>
      <c r="U1580" s="85"/>
      <c r="V1580" s="86"/>
      <c r="W1580" s="87"/>
      <c r="X1580" s="87"/>
      <c r="Y1580" s="85"/>
      <c r="Z1580" s="85"/>
      <c r="AA1580" s="87"/>
      <c r="AB1580" s="85"/>
      <c r="AC1580" s="85"/>
      <c r="AD1580" s="85"/>
      <c r="AE1580" s="85"/>
      <c r="AF1580" s="85"/>
      <c r="AG1580" s="85"/>
      <c r="AH1580" s="85"/>
      <c r="AI1580" s="85"/>
      <c r="AJ1580" s="85"/>
      <c r="AK1580" s="85"/>
      <c r="AL1580" s="85"/>
      <c r="AM1580" s="88"/>
      <c r="AN1580" s="89"/>
      <c r="AO1580" s="90"/>
      <c r="AP1580" s="90"/>
      <c r="AQ1580" s="90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</row>
    <row r="1581">
      <c r="A1581" s="95"/>
      <c r="B1581" s="96"/>
      <c r="C1581" s="95"/>
      <c r="D1581" s="97"/>
      <c r="E1581" s="98"/>
      <c r="F1581" s="85"/>
      <c r="G1581" s="13"/>
      <c r="H1581" s="13"/>
      <c r="I1581" s="13"/>
      <c r="J1581" s="13"/>
      <c r="K1581" s="13"/>
      <c r="L1581" s="85"/>
      <c r="M1581" s="85"/>
      <c r="N1581" s="85"/>
      <c r="O1581" s="85"/>
      <c r="P1581" s="13"/>
      <c r="Q1581" s="13"/>
      <c r="R1581" s="13"/>
      <c r="S1581" s="85"/>
      <c r="T1581" s="85"/>
      <c r="U1581" s="85"/>
      <c r="V1581" s="86"/>
      <c r="W1581" s="87"/>
      <c r="X1581" s="87"/>
      <c r="Y1581" s="85"/>
      <c r="Z1581" s="85"/>
      <c r="AA1581" s="87"/>
      <c r="AB1581" s="85"/>
      <c r="AC1581" s="85"/>
      <c r="AD1581" s="85"/>
      <c r="AE1581" s="85"/>
      <c r="AF1581" s="85"/>
      <c r="AG1581" s="85"/>
      <c r="AH1581" s="85"/>
      <c r="AI1581" s="85"/>
      <c r="AJ1581" s="85"/>
      <c r="AK1581" s="85"/>
      <c r="AL1581" s="85"/>
      <c r="AM1581" s="88"/>
      <c r="AN1581" s="89"/>
      <c r="AO1581" s="90"/>
      <c r="AP1581" s="90"/>
      <c r="AQ1581" s="90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</row>
    <row r="1582">
      <c r="A1582" s="95"/>
      <c r="B1582" s="96"/>
      <c r="C1582" s="95"/>
      <c r="D1582" s="97"/>
      <c r="E1582" s="98"/>
      <c r="F1582" s="85"/>
      <c r="G1582" s="13"/>
      <c r="H1582" s="13"/>
      <c r="I1582" s="13"/>
      <c r="J1582" s="13"/>
      <c r="K1582" s="13"/>
      <c r="L1582" s="85"/>
      <c r="M1582" s="85"/>
      <c r="N1582" s="85"/>
      <c r="O1582" s="85"/>
      <c r="P1582" s="13"/>
      <c r="Q1582" s="13"/>
      <c r="R1582" s="13"/>
      <c r="S1582" s="85"/>
      <c r="T1582" s="85"/>
      <c r="U1582" s="85"/>
      <c r="V1582" s="86"/>
      <c r="W1582" s="87"/>
      <c r="X1582" s="87"/>
      <c r="Y1582" s="85"/>
      <c r="Z1582" s="85"/>
      <c r="AA1582" s="87"/>
      <c r="AB1582" s="85"/>
      <c r="AC1582" s="85"/>
      <c r="AD1582" s="85"/>
      <c r="AE1582" s="85"/>
      <c r="AF1582" s="85"/>
      <c r="AG1582" s="85"/>
      <c r="AH1582" s="85"/>
      <c r="AI1582" s="85"/>
      <c r="AJ1582" s="85"/>
      <c r="AK1582" s="85"/>
      <c r="AL1582" s="85"/>
      <c r="AM1582" s="88"/>
      <c r="AN1582" s="89"/>
      <c r="AO1582" s="90"/>
      <c r="AP1582" s="90"/>
      <c r="AQ1582" s="90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</row>
    <row r="1583">
      <c r="A1583" s="95"/>
      <c r="B1583" s="96"/>
      <c r="C1583" s="95"/>
      <c r="D1583" s="97"/>
      <c r="E1583" s="98"/>
      <c r="F1583" s="85"/>
      <c r="G1583" s="13"/>
      <c r="H1583" s="13"/>
      <c r="I1583" s="13"/>
      <c r="J1583" s="13"/>
      <c r="K1583" s="13"/>
      <c r="L1583" s="85"/>
      <c r="M1583" s="85"/>
      <c r="N1583" s="85"/>
      <c r="O1583" s="85"/>
      <c r="P1583" s="13"/>
      <c r="Q1583" s="13"/>
      <c r="R1583" s="13"/>
      <c r="S1583" s="85"/>
      <c r="T1583" s="85"/>
      <c r="U1583" s="85"/>
      <c r="V1583" s="86"/>
      <c r="W1583" s="87"/>
      <c r="X1583" s="87"/>
      <c r="Y1583" s="85"/>
      <c r="Z1583" s="85"/>
      <c r="AA1583" s="87"/>
      <c r="AB1583" s="85"/>
      <c r="AC1583" s="85"/>
      <c r="AD1583" s="85"/>
      <c r="AE1583" s="85"/>
      <c r="AF1583" s="85"/>
      <c r="AG1583" s="85"/>
      <c r="AH1583" s="85"/>
      <c r="AI1583" s="85"/>
      <c r="AJ1583" s="85"/>
      <c r="AK1583" s="85"/>
      <c r="AL1583" s="85"/>
      <c r="AM1583" s="88"/>
      <c r="AN1583" s="89"/>
      <c r="AO1583" s="90"/>
      <c r="AP1583" s="90"/>
      <c r="AQ1583" s="90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3"/>
      <c r="BP1583" s="13"/>
      <c r="BQ1583" s="13"/>
    </row>
    <row r="1584">
      <c r="A1584" s="95"/>
      <c r="B1584" s="96"/>
      <c r="C1584" s="95"/>
      <c r="D1584" s="97"/>
      <c r="E1584" s="98"/>
      <c r="F1584" s="85"/>
      <c r="G1584" s="13"/>
      <c r="H1584" s="13"/>
      <c r="I1584" s="13"/>
      <c r="J1584" s="13"/>
      <c r="K1584" s="13"/>
      <c r="L1584" s="85"/>
      <c r="M1584" s="85"/>
      <c r="N1584" s="85"/>
      <c r="O1584" s="85"/>
      <c r="P1584" s="13"/>
      <c r="Q1584" s="13"/>
      <c r="R1584" s="13"/>
      <c r="S1584" s="85"/>
      <c r="T1584" s="85"/>
      <c r="U1584" s="85"/>
      <c r="V1584" s="86"/>
      <c r="W1584" s="87"/>
      <c r="X1584" s="87"/>
      <c r="Y1584" s="85"/>
      <c r="Z1584" s="85"/>
      <c r="AA1584" s="87"/>
      <c r="AB1584" s="85"/>
      <c r="AC1584" s="85"/>
      <c r="AD1584" s="85"/>
      <c r="AE1584" s="85"/>
      <c r="AF1584" s="85"/>
      <c r="AG1584" s="85"/>
      <c r="AH1584" s="85"/>
      <c r="AI1584" s="85"/>
      <c r="AJ1584" s="85"/>
      <c r="AK1584" s="85"/>
      <c r="AL1584" s="85"/>
      <c r="AM1584" s="88"/>
      <c r="AN1584" s="89"/>
      <c r="AO1584" s="90"/>
      <c r="AP1584" s="90"/>
      <c r="AQ1584" s="90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3"/>
      <c r="BP1584" s="13"/>
      <c r="BQ1584" s="13"/>
    </row>
    <row r="1585">
      <c r="A1585" s="95"/>
      <c r="B1585" s="96"/>
      <c r="C1585" s="95"/>
      <c r="D1585" s="97"/>
      <c r="E1585" s="98"/>
      <c r="F1585" s="85"/>
      <c r="G1585" s="13"/>
      <c r="H1585" s="13"/>
      <c r="I1585" s="13"/>
      <c r="J1585" s="13"/>
      <c r="K1585" s="13"/>
      <c r="L1585" s="85"/>
      <c r="M1585" s="85"/>
      <c r="N1585" s="85"/>
      <c r="O1585" s="85"/>
      <c r="P1585" s="13"/>
      <c r="Q1585" s="13"/>
      <c r="R1585" s="13"/>
      <c r="S1585" s="85"/>
      <c r="T1585" s="85"/>
      <c r="U1585" s="85"/>
      <c r="V1585" s="86"/>
      <c r="W1585" s="87"/>
      <c r="X1585" s="87"/>
      <c r="Y1585" s="85"/>
      <c r="Z1585" s="85"/>
      <c r="AA1585" s="87"/>
      <c r="AB1585" s="85"/>
      <c r="AC1585" s="85"/>
      <c r="AD1585" s="85"/>
      <c r="AE1585" s="85"/>
      <c r="AF1585" s="85"/>
      <c r="AG1585" s="85"/>
      <c r="AH1585" s="85"/>
      <c r="AI1585" s="85"/>
      <c r="AJ1585" s="85"/>
      <c r="AK1585" s="85"/>
      <c r="AL1585" s="85"/>
      <c r="AM1585" s="88"/>
      <c r="AN1585" s="89"/>
      <c r="AO1585" s="90"/>
      <c r="AP1585" s="90"/>
      <c r="AQ1585" s="90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</row>
    <row r="1586">
      <c r="A1586" s="95"/>
      <c r="B1586" s="96"/>
      <c r="C1586" s="95"/>
      <c r="D1586" s="97"/>
      <c r="E1586" s="98"/>
      <c r="F1586" s="85"/>
      <c r="G1586" s="13"/>
      <c r="H1586" s="13"/>
      <c r="I1586" s="13"/>
      <c r="J1586" s="13"/>
      <c r="K1586" s="13"/>
      <c r="L1586" s="85"/>
      <c r="M1586" s="85"/>
      <c r="N1586" s="85"/>
      <c r="O1586" s="85"/>
      <c r="P1586" s="13"/>
      <c r="Q1586" s="13"/>
      <c r="R1586" s="13"/>
      <c r="S1586" s="85"/>
      <c r="T1586" s="85"/>
      <c r="U1586" s="85"/>
      <c r="V1586" s="86"/>
      <c r="W1586" s="87"/>
      <c r="X1586" s="87"/>
      <c r="Y1586" s="85"/>
      <c r="Z1586" s="85"/>
      <c r="AA1586" s="87"/>
      <c r="AB1586" s="85"/>
      <c r="AC1586" s="85"/>
      <c r="AD1586" s="85"/>
      <c r="AE1586" s="85"/>
      <c r="AF1586" s="85"/>
      <c r="AG1586" s="85"/>
      <c r="AH1586" s="85"/>
      <c r="AI1586" s="85"/>
      <c r="AJ1586" s="85"/>
      <c r="AK1586" s="85"/>
      <c r="AL1586" s="85"/>
      <c r="AM1586" s="88"/>
      <c r="AN1586" s="89"/>
      <c r="AO1586" s="90"/>
      <c r="AP1586" s="90"/>
      <c r="AQ1586" s="90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/>
    </row>
    <row r="1587">
      <c r="A1587" s="95"/>
      <c r="B1587" s="96"/>
      <c r="C1587" s="95"/>
      <c r="D1587" s="97"/>
      <c r="E1587" s="98"/>
      <c r="F1587" s="85"/>
      <c r="G1587" s="13"/>
      <c r="H1587" s="13"/>
      <c r="I1587" s="13"/>
      <c r="J1587" s="13"/>
      <c r="K1587" s="13"/>
      <c r="L1587" s="85"/>
      <c r="M1587" s="85"/>
      <c r="N1587" s="85"/>
      <c r="O1587" s="85"/>
      <c r="P1587" s="13"/>
      <c r="Q1587" s="13"/>
      <c r="R1587" s="13"/>
      <c r="S1587" s="85"/>
      <c r="T1587" s="85"/>
      <c r="U1587" s="85"/>
      <c r="V1587" s="86"/>
      <c r="W1587" s="87"/>
      <c r="X1587" s="87"/>
      <c r="Y1587" s="85"/>
      <c r="Z1587" s="85"/>
      <c r="AA1587" s="87"/>
      <c r="AB1587" s="85"/>
      <c r="AC1587" s="85"/>
      <c r="AD1587" s="85"/>
      <c r="AE1587" s="85"/>
      <c r="AF1587" s="85"/>
      <c r="AG1587" s="85"/>
      <c r="AH1587" s="85"/>
      <c r="AI1587" s="85"/>
      <c r="AJ1587" s="85"/>
      <c r="AK1587" s="85"/>
      <c r="AL1587" s="85"/>
      <c r="AM1587" s="88"/>
      <c r="AN1587" s="89"/>
      <c r="AO1587" s="90"/>
      <c r="AP1587" s="90"/>
      <c r="AQ1587" s="90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</row>
    <row r="1588">
      <c r="A1588" s="95"/>
      <c r="B1588" s="96"/>
      <c r="C1588" s="95"/>
      <c r="D1588" s="97"/>
      <c r="E1588" s="98"/>
      <c r="F1588" s="85"/>
      <c r="G1588" s="13"/>
      <c r="H1588" s="13"/>
      <c r="I1588" s="13"/>
      <c r="J1588" s="13"/>
      <c r="K1588" s="13"/>
      <c r="L1588" s="85"/>
      <c r="M1588" s="85"/>
      <c r="N1588" s="85"/>
      <c r="O1588" s="85"/>
      <c r="P1588" s="13"/>
      <c r="Q1588" s="13"/>
      <c r="R1588" s="13"/>
      <c r="S1588" s="85"/>
      <c r="T1588" s="85"/>
      <c r="U1588" s="85"/>
      <c r="V1588" s="86"/>
      <c r="W1588" s="87"/>
      <c r="X1588" s="87"/>
      <c r="Y1588" s="85"/>
      <c r="Z1588" s="85"/>
      <c r="AA1588" s="87"/>
      <c r="AB1588" s="85"/>
      <c r="AC1588" s="85"/>
      <c r="AD1588" s="85"/>
      <c r="AE1588" s="85"/>
      <c r="AF1588" s="85"/>
      <c r="AG1588" s="85"/>
      <c r="AH1588" s="85"/>
      <c r="AI1588" s="85"/>
      <c r="AJ1588" s="85"/>
      <c r="AK1588" s="85"/>
      <c r="AL1588" s="85"/>
      <c r="AM1588" s="88"/>
      <c r="AN1588" s="89"/>
      <c r="AO1588" s="90"/>
      <c r="AP1588" s="90"/>
      <c r="AQ1588" s="90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</row>
    <row r="1589">
      <c r="A1589" s="95"/>
      <c r="B1589" s="96"/>
      <c r="C1589" s="95"/>
      <c r="D1589" s="97"/>
      <c r="E1589" s="98"/>
      <c r="F1589" s="85"/>
      <c r="G1589" s="13"/>
      <c r="H1589" s="13"/>
      <c r="I1589" s="13"/>
      <c r="J1589" s="13"/>
      <c r="K1589" s="13"/>
      <c r="L1589" s="85"/>
      <c r="M1589" s="85"/>
      <c r="N1589" s="85"/>
      <c r="O1589" s="85"/>
      <c r="P1589" s="13"/>
      <c r="Q1589" s="13"/>
      <c r="R1589" s="13"/>
      <c r="S1589" s="85"/>
      <c r="T1589" s="85"/>
      <c r="U1589" s="85"/>
      <c r="V1589" s="86"/>
      <c r="W1589" s="87"/>
      <c r="X1589" s="87"/>
      <c r="Y1589" s="85"/>
      <c r="Z1589" s="85"/>
      <c r="AA1589" s="87"/>
      <c r="AB1589" s="85"/>
      <c r="AC1589" s="85"/>
      <c r="AD1589" s="85"/>
      <c r="AE1589" s="85"/>
      <c r="AF1589" s="85"/>
      <c r="AG1589" s="85"/>
      <c r="AH1589" s="85"/>
      <c r="AI1589" s="85"/>
      <c r="AJ1589" s="85"/>
      <c r="AK1589" s="85"/>
      <c r="AL1589" s="85"/>
      <c r="AM1589" s="88"/>
      <c r="AN1589" s="89"/>
      <c r="AO1589" s="90"/>
      <c r="AP1589" s="90"/>
      <c r="AQ1589" s="90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</row>
    <row r="1590">
      <c r="A1590" s="95"/>
      <c r="B1590" s="96"/>
      <c r="C1590" s="95"/>
      <c r="D1590" s="97"/>
      <c r="E1590" s="98"/>
      <c r="F1590" s="85"/>
      <c r="G1590" s="13"/>
      <c r="H1590" s="13"/>
      <c r="I1590" s="13"/>
      <c r="J1590" s="13"/>
      <c r="K1590" s="13"/>
      <c r="L1590" s="85"/>
      <c r="M1590" s="85"/>
      <c r="N1590" s="85"/>
      <c r="O1590" s="85"/>
      <c r="P1590" s="13"/>
      <c r="Q1590" s="13"/>
      <c r="R1590" s="13"/>
      <c r="S1590" s="85"/>
      <c r="T1590" s="85"/>
      <c r="U1590" s="85"/>
      <c r="V1590" s="86"/>
      <c r="W1590" s="87"/>
      <c r="X1590" s="87"/>
      <c r="Y1590" s="85"/>
      <c r="Z1590" s="85"/>
      <c r="AA1590" s="87"/>
      <c r="AB1590" s="85"/>
      <c r="AC1590" s="85"/>
      <c r="AD1590" s="85"/>
      <c r="AE1590" s="85"/>
      <c r="AF1590" s="85"/>
      <c r="AG1590" s="85"/>
      <c r="AH1590" s="85"/>
      <c r="AI1590" s="85"/>
      <c r="AJ1590" s="85"/>
      <c r="AK1590" s="85"/>
      <c r="AL1590" s="85"/>
      <c r="AM1590" s="88"/>
      <c r="AN1590" s="89"/>
      <c r="AO1590" s="90"/>
      <c r="AP1590" s="90"/>
      <c r="AQ1590" s="90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</row>
    <row r="1591">
      <c r="A1591" s="95"/>
      <c r="B1591" s="96"/>
      <c r="C1591" s="95"/>
      <c r="D1591" s="97"/>
      <c r="E1591" s="98"/>
      <c r="F1591" s="85"/>
      <c r="G1591" s="13"/>
      <c r="H1591" s="13"/>
      <c r="I1591" s="13"/>
      <c r="J1591" s="13"/>
      <c r="K1591" s="13"/>
      <c r="L1591" s="85"/>
      <c r="M1591" s="85"/>
      <c r="N1591" s="85"/>
      <c r="O1591" s="85"/>
      <c r="P1591" s="13"/>
      <c r="Q1591" s="13"/>
      <c r="R1591" s="13"/>
      <c r="S1591" s="85"/>
      <c r="T1591" s="85"/>
      <c r="U1591" s="85"/>
      <c r="V1591" s="86"/>
      <c r="W1591" s="87"/>
      <c r="X1591" s="87"/>
      <c r="Y1591" s="85"/>
      <c r="Z1591" s="85"/>
      <c r="AA1591" s="87"/>
      <c r="AB1591" s="85"/>
      <c r="AC1591" s="85"/>
      <c r="AD1591" s="85"/>
      <c r="AE1591" s="85"/>
      <c r="AF1591" s="85"/>
      <c r="AG1591" s="85"/>
      <c r="AH1591" s="85"/>
      <c r="AI1591" s="85"/>
      <c r="AJ1591" s="85"/>
      <c r="AK1591" s="85"/>
      <c r="AL1591" s="85"/>
      <c r="AM1591" s="88"/>
      <c r="AN1591" s="89"/>
      <c r="AO1591" s="90"/>
      <c r="AP1591" s="90"/>
      <c r="AQ1591" s="90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</row>
    <row r="1592">
      <c r="A1592" s="95"/>
      <c r="B1592" s="96"/>
      <c r="C1592" s="95"/>
      <c r="D1592" s="97"/>
      <c r="E1592" s="98"/>
      <c r="F1592" s="85"/>
      <c r="G1592" s="13"/>
      <c r="H1592" s="13"/>
      <c r="I1592" s="13"/>
      <c r="J1592" s="13"/>
      <c r="K1592" s="13"/>
      <c r="L1592" s="85"/>
      <c r="M1592" s="85"/>
      <c r="N1592" s="85"/>
      <c r="O1592" s="85"/>
      <c r="P1592" s="13"/>
      <c r="Q1592" s="13"/>
      <c r="R1592" s="13"/>
      <c r="S1592" s="85"/>
      <c r="T1592" s="85"/>
      <c r="U1592" s="85"/>
      <c r="V1592" s="86"/>
      <c r="W1592" s="87"/>
      <c r="X1592" s="87"/>
      <c r="Y1592" s="85"/>
      <c r="Z1592" s="85"/>
      <c r="AA1592" s="87"/>
      <c r="AB1592" s="85"/>
      <c r="AC1592" s="85"/>
      <c r="AD1592" s="85"/>
      <c r="AE1592" s="85"/>
      <c r="AF1592" s="85"/>
      <c r="AG1592" s="85"/>
      <c r="AH1592" s="85"/>
      <c r="AI1592" s="85"/>
      <c r="AJ1592" s="85"/>
      <c r="AK1592" s="85"/>
      <c r="AL1592" s="85"/>
      <c r="AM1592" s="88"/>
      <c r="AN1592" s="89"/>
      <c r="AO1592" s="90"/>
      <c r="AP1592" s="90"/>
      <c r="AQ1592" s="90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</row>
    <row r="1593">
      <c r="A1593" s="95"/>
      <c r="B1593" s="96"/>
      <c r="C1593" s="95"/>
      <c r="D1593" s="97"/>
      <c r="E1593" s="98"/>
      <c r="F1593" s="85"/>
      <c r="G1593" s="13"/>
      <c r="H1593" s="13"/>
      <c r="I1593" s="13"/>
      <c r="J1593" s="13"/>
      <c r="K1593" s="13"/>
      <c r="L1593" s="85"/>
      <c r="M1593" s="85"/>
      <c r="N1593" s="85"/>
      <c r="O1593" s="85"/>
      <c r="P1593" s="13"/>
      <c r="Q1593" s="13"/>
      <c r="R1593" s="13"/>
      <c r="S1593" s="85"/>
      <c r="T1593" s="85"/>
      <c r="U1593" s="85"/>
      <c r="V1593" s="86"/>
      <c r="W1593" s="87"/>
      <c r="X1593" s="87"/>
      <c r="Y1593" s="85"/>
      <c r="Z1593" s="85"/>
      <c r="AA1593" s="87"/>
      <c r="AB1593" s="85"/>
      <c r="AC1593" s="85"/>
      <c r="AD1593" s="85"/>
      <c r="AE1593" s="85"/>
      <c r="AF1593" s="85"/>
      <c r="AG1593" s="85"/>
      <c r="AH1593" s="85"/>
      <c r="AI1593" s="85"/>
      <c r="AJ1593" s="85"/>
      <c r="AK1593" s="85"/>
      <c r="AL1593" s="85"/>
      <c r="AM1593" s="88"/>
      <c r="AN1593" s="89"/>
      <c r="AO1593" s="90"/>
      <c r="AP1593" s="90"/>
      <c r="AQ1593" s="90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</row>
    <row r="1594">
      <c r="A1594" s="95"/>
      <c r="B1594" s="96"/>
      <c r="C1594" s="95"/>
      <c r="D1594" s="97"/>
      <c r="E1594" s="98"/>
      <c r="F1594" s="85"/>
      <c r="G1594" s="13"/>
      <c r="H1594" s="13"/>
      <c r="I1594" s="13"/>
      <c r="J1594" s="13"/>
      <c r="K1594" s="13"/>
      <c r="L1594" s="85"/>
      <c r="M1594" s="85"/>
      <c r="N1594" s="85"/>
      <c r="O1594" s="85"/>
      <c r="P1594" s="13"/>
      <c r="Q1594" s="13"/>
      <c r="R1594" s="13"/>
      <c r="S1594" s="85"/>
      <c r="T1594" s="85"/>
      <c r="U1594" s="85"/>
      <c r="V1594" s="86"/>
      <c r="W1594" s="87"/>
      <c r="X1594" s="87"/>
      <c r="Y1594" s="85"/>
      <c r="Z1594" s="85"/>
      <c r="AA1594" s="87"/>
      <c r="AB1594" s="85"/>
      <c r="AC1594" s="85"/>
      <c r="AD1594" s="85"/>
      <c r="AE1594" s="85"/>
      <c r="AF1594" s="85"/>
      <c r="AG1594" s="85"/>
      <c r="AH1594" s="85"/>
      <c r="AI1594" s="85"/>
      <c r="AJ1594" s="85"/>
      <c r="AK1594" s="85"/>
      <c r="AL1594" s="85"/>
      <c r="AM1594" s="88"/>
      <c r="AN1594" s="89"/>
      <c r="AO1594" s="90"/>
      <c r="AP1594" s="90"/>
      <c r="AQ1594" s="90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</row>
    <row r="1595">
      <c r="A1595" s="95"/>
      <c r="B1595" s="96"/>
      <c r="C1595" s="95"/>
      <c r="D1595" s="97"/>
      <c r="E1595" s="98"/>
      <c r="F1595" s="85"/>
      <c r="G1595" s="13"/>
      <c r="H1595" s="13"/>
      <c r="I1595" s="13"/>
      <c r="J1595" s="13"/>
      <c r="K1595" s="13"/>
      <c r="L1595" s="85"/>
      <c r="M1595" s="85"/>
      <c r="N1595" s="85"/>
      <c r="O1595" s="85"/>
      <c r="P1595" s="13"/>
      <c r="Q1595" s="13"/>
      <c r="R1595" s="13"/>
      <c r="S1595" s="85"/>
      <c r="T1595" s="85"/>
      <c r="U1595" s="85"/>
      <c r="V1595" s="86"/>
      <c r="W1595" s="87"/>
      <c r="X1595" s="87"/>
      <c r="Y1595" s="85"/>
      <c r="Z1595" s="85"/>
      <c r="AA1595" s="87"/>
      <c r="AB1595" s="85"/>
      <c r="AC1595" s="85"/>
      <c r="AD1595" s="85"/>
      <c r="AE1595" s="85"/>
      <c r="AF1595" s="85"/>
      <c r="AG1595" s="85"/>
      <c r="AH1595" s="85"/>
      <c r="AI1595" s="85"/>
      <c r="AJ1595" s="85"/>
      <c r="AK1595" s="85"/>
      <c r="AL1595" s="85"/>
      <c r="AM1595" s="88"/>
      <c r="AN1595" s="89"/>
      <c r="AO1595" s="90"/>
      <c r="AP1595" s="90"/>
      <c r="AQ1595" s="90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</row>
    <row r="1596">
      <c r="A1596" s="95"/>
      <c r="B1596" s="96"/>
      <c r="C1596" s="95"/>
      <c r="D1596" s="97"/>
      <c r="E1596" s="98"/>
      <c r="F1596" s="85"/>
      <c r="G1596" s="13"/>
      <c r="H1596" s="13"/>
      <c r="I1596" s="13"/>
      <c r="J1596" s="13"/>
      <c r="K1596" s="13"/>
      <c r="L1596" s="85"/>
      <c r="M1596" s="85"/>
      <c r="N1596" s="85"/>
      <c r="O1596" s="85"/>
      <c r="P1596" s="13"/>
      <c r="Q1596" s="13"/>
      <c r="R1596" s="13"/>
      <c r="S1596" s="85"/>
      <c r="T1596" s="85"/>
      <c r="U1596" s="85"/>
      <c r="V1596" s="86"/>
      <c r="W1596" s="87"/>
      <c r="X1596" s="87"/>
      <c r="Y1596" s="85"/>
      <c r="Z1596" s="85"/>
      <c r="AA1596" s="87"/>
      <c r="AB1596" s="85"/>
      <c r="AC1596" s="85"/>
      <c r="AD1596" s="85"/>
      <c r="AE1596" s="85"/>
      <c r="AF1596" s="85"/>
      <c r="AG1596" s="85"/>
      <c r="AH1596" s="85"/>
      <c r="AI1596" s="85"/>
      <c r="AJ1596" s="85"/>
      <c r="AK1596" s="85"/>
      <c r="AL1596" s="85"/>
      <c r="AM1596" s="88"/>
      <c r="AN1596" s="89"/>
      <c r="AO1596" s="90"/>
      <c r="AP1596" s="90"/>
      <c r="AQ1596" s="90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/>
    </row>
    <row r="1597">
      <c r="A1597" s="95"/>
      <c r="B1597" s="96"/>
      <c r="C1597" s="95"/>
      <c r="D1597" s="97"/>
      <c r="E1597" s="98"/>
      <c r="F1597" s="85"/>
      <c r="G1597" s="13"/>
      <c r="H1597" s="13"/>
      <c r="I1597" s="13"/>
      <c r="J1597" s="13"/>
      <c r="K1597" s="13"/>
      <c r="L1597" s="85"/>
      <c r="M1597" s="85"/>
      <c r="N1597" s="85"/>
      <c r="O1597" s="85"/>
      <c r="P1597" s="13"/>
      <c r="Q1597" s="13"/>
      <c r="R1597" s="13"/>
      <c r="S1597" s="85"/>
      <c r="T1597" s="85"/>
      <c r="U1597" s="85"/>
      <c r="V1597" s="86"/>
      <c r="W1597" s="87"/>
      <c r="X1597" s="87"/>
      <c r="Y1597" s="85"/>
      <c r="Z1597" s="85"/>
      <c r="AA1597" s="87"/>
      <c r="AB1597" s="85"/>
      <c r="AC1597" s="85"/>
      <c r="AD1597" s="85"/>
      <c r="AE1597" s="85"/>
      <c r="AF1597" s="85"/>
      <c r="AG1597" s="85"/>
      <c r="AH1597" s="85"/>
      <c r="AI1597" s="85"/>
      <c r="AJ1597" s="85"/>
      <c r="AK1597" s="85"/>
      <c r="AL1597" s="85"/>
      <c r="AM1597" s="88"/>
      <c r="AN1597" s="89"/>
      <c r="AO1597" s="90"/>
      <c r="AP1597" s="90"/>
      <c r="AQ1597" s="90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</row>
    <row r="1598">
      <c r="A1598" s="95"/>
      <c r="B1598" s="96"/>
      <c r="C1598" s="95"/>
      <c r="D1598" s="97"/>
      <c r="E1598" s="98"/>
      <c r="F1598" s="85"/>
      <c r="G1598" s="13"/>
      <c r="H1598" s="13"/>
      <c r="I1598" s="13"/>
      <c r="J1598" s="13"/>
      <c r="K1598" s="13"/>
      <c r="L1598" s="85"/>
      <c r="M1598" s="85"/>
      <c r="N1598" s="85"/>
      <c r="O1598" s="85"/>
      <c r="P1598" s="13"/>
      <c r="Q1598" s="13"/>
      <c r="R1598" s="13"/>
      <c r="S1598" s="85"/>
      <c r="T1598" s="85"/>
      <c r="U1598" s="85"/>
      <c r="V1598" s="86"/>
      <c r="W1598" s="87"/>
      <c r="X1598" s="87"/>
      <c r="Y1598" s="85"/>
      <c r="Z1598" s="85"/>
      <c r="AA1598" s="87"/>
      <c r="AB1598" s="85"/>
      <c r="AC1598" s="85"/>
      <c r="AD1598" s="85"/>
      <c r="AE1598" s="85"/>
      <c r="AF1598" s="85"/>
      <c r="AG1598" s="85"/>
      <c r="AH1598" s="85"/>
      <c r="AI1598" s="85"/>
      <c r="AJ1598" s="85"/>
      <c r="AK1598" s="85"/>
      <c r="AL1598" s="85"/>
      <c r="AM1598" s="88"/>
      <c r="AN1598" s="89"/>
      <c r="AO1598" s="90"/>
      <c r="AP1598" s="90"/>
      <c r="AQ1598" s="90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</row>
    <row r="1599">
      <c r="A1599" s="95"/>
      <c r="B1599" s="96"/>
      <c r="C1599" s="95"/>
      <c r="D1599" s="97"/>
      <c r="E1599" s="98"/>
      <c r="F1599" s="85"/>
      <c r="G1599" s="13"/>
      <c r="H1599" s="13"/>
      <c r="I1599" s="13"/>
      <c r="J1599" s="13"/>
      <c r="K1599" s="13"/>
      <c r="L1599" s="85"/>
      <c r="M1599" s="85"/>
      <c r="N1599" s="85"/>
      <c r="O1599" s="85"/>
      <c r="P1599" s="13"/>
      <c r="Q1599" s="13"/>
      <c r="R1599" s="13"/>
      <c r="S1599" s="85"/>
      <c r="T1599" s="85"/>
      <c r="U1599" s="85"/>
      <c r="V1599" s="86"/>
      <c r="W1599" s="87"/>
      <c r="X1599" s="87"/>
      <c r="Y1599" s="85"/>
      <c r="Z1599" s="85"/>
      <c r="AA1599" s="87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8"/>
      <c r="AN1599" s="89"/>
      <c r="AO1599" s="90"/>
      <c r="AP1599" s="90"/>
      <c r="AQ1599" s="90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</row>
    <row r="1600">
      <c r="A1600" s="95"/>
      <c r="B1600" s="96"/>
      <c r="C1600" s="95"/>
      <c r="D1600" s="97"/>
      <c r="E1600" s="98"/>
      <c r="F1600" s="85"/>
      <c r="G1600" s="13"/>
      <c r="H1600" s="13"/>
      <c r="I1600" s="13"/>
      <c r="J1600" s="13"/>
      <c r="K1600" s="13"/>
      <c r="L1600" s="85"/>
      <c r="M1600" s="85"/>
      <c r="N1600" s="85"/>
      <c r="O1600" s="85"/>
      <c r="P1600" s="13"/>
      <c r="Q1600" s="13"/>
      <c r="R1600" s="13"/>
      <c r="S1600" s="85"/>
      <c r="T1600" s="85"/>
      <c r="U1600" s="85"/>
      <c r="V1600" s="86"/>
      <c r="W1600" s="87"/>
      <c r="X1600" s="87"/>
      <c r="Y1600" s="85"/>
      <c r="Z1600" s="85"/>
      <c r="AA1600" s="87"/>
      <c r="AB1600" s="85"/>
      <c r="AC1600" s="85"/>
      <c r="AD1600" s="85"/>
      <c r="AE1600" s="85"/>
      <c r="AF1600" s="85"/>
      <c r="AG1600" s="85"/>
      <c r="AH1600" s="85"/>
      <c r="AI1600" s="85"/>
      <c r="AJ1600" s="85"/>
      <c r="AK1600" s="85"/>
      <c r="AL1600" s="85"/>
      <c r="AM1600" s="88"/>
      <c r="AN1600" s="89"/>
      <c r="AO1600" s="90"/>
      <c r="AP1600" s="90"/>
      <c r="AQ1600" s="90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/>
    </row>
    <row r="1601">
      <c r="A1601" s="95"/>
      <c r="B1601" s="96"/>
      <c r="C1601" s="95"/>
      <c r="D1601" s="97"/>
      <c r="E1601" s="98"/>
      <c r="F1601" s="85"/>
      <c r="G1601" s="13"/>
      <c r="H1601" s="13"/>
      <c r="I1601" s="13"/>
      <c r="J1601" s="13"/>
      <c r="K1601" s="13"/>
      <c r="L1601" s="85"/>
      <c r="M1601" s="85"/>
      <c r="N1601" s="85"/>
      <c r="O1601" s="85"/>
      <c r="P1601" s="13"/>
      <c r="Q1601" s="13"/>
      <c r="R1601" s="13"/>
      <c r="S1601" s="85"/>
      <c r="T1601" s="85"/>
      <c r="U1601" s="85"/>
      <c r="V1601" s="86"/>
      <c r="W1601" s="87"/>
      <c r="X1601" s="87"/>
      <c r="Y1601" s="85"/>
      <c r="Z1601" s="85"/>
      <c r="AA1601" s="87"/>
      <c r="AB1601" s="85"/>
      <c r="AC1601" s="85"/>
      <c r="AD1601" s="85"/>
      <c r="AE1601" s="85"/>
      <c r="AF1601" s="85"/>
      <c r="AG1601" s="85"/>
      <c r="AH1601" s="85"/>
      <c r="AI1601" s="85"/>
      <c r="AJ1601" s="85"/>
      <c r="AK1601" s="85"/>
      <c r="AL1601" s="85"/>
      <c r="AM1601" s="88"/>
      <c r="AN1601" s="89"/>
      <c r="AO1601" s="90"/>
      <c r="AP1601" s="90"/>
      <c r="AQ1601" s="90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</row>
    <row r="1602">
      <c r="A1602" s="95"/>
      <c r="B1602" s="96"/>
      <c r="C1602" s="95"/>
      <c r="D1602" s="97"/>
      <c r="E1602" s="98"/>
      <c r="F1602" s="85"/>
      <c r="G1602" s="13"/>
      <c r="H1602" s="13"/>
      <c r="I1602" s="13"/>
      <c r="J1602" s="13"/>
      <c r="K1602" s="13"/>
      <c r="L1602" s="85"/>
      <c r="M1602" s="85"/>
      <c r="N1602" s="85"/>
      <c r="O1602" s="85"/>
      <c r="P1602" s="13"/>
      <c r="Q1602" s="13"/>
      <c r="R1602" s="13"/>
      <c r="S1602" s="85"/>
      <c r="T1602" s="85"/>
      <c r="U1602" s="85"/>
      <c r="V1602" s="86"/>
      <c r="W1602" s="87"/>
      <c r="X1602" s="87"/>
      <c r="Y1602" s="85"/>
      <c r="Z1602" s="85"/>
      <c r="AA1602" s="87"/>
      <c r="AB1602" s="85"/>
      <c r="AC1602" s="85"/>
      <c r="AD1602" s="85"/>
      <c r="AE1602" s="85"/>
      <c r="AF1602" s="85"/>
      <c r="AG1602" s="85"/>
      <c r="AH1602" s="85"/>
      <c r="AI1602" s="85"/>
      <c r="AJ1602" s="85"/>
      <c r="AK1602" s="85"/>
      <c r="AL1602" s="85"/>
      <c r="AM1602" s="88"/>
      <c r="AN1602" s="89"/>
      <c r="AO1602" s="90"/>
      <c r="AP1602" s="90"/>
      <c r="AQ1602" s="90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</row>
    <row r="1603">
      <c r="A1603" s="95"/>
      <c r="B1603" s="96"/>
      <c r="C1603" s="95"/>
      <c r="D1603" s="97"/>
      <c r="E1603" s="98"/>
      <c r="F1603" s="85"/>
      <c r="G1603" s="13"/>
      <c r="H1603" s="13"/>
      <c r="I1603" s="13"/>
      <c r="J1603" s="13"/>
      <c r="K1603" s="13"/>
      <c r="L1603" s="85"/>
      <c r="M1603" s="85"/>
      <c r="N1603" s="85"/>
      <c r="O1603" s="85"/>
      <c r="P1603" s="13"/>
      <c r="Q1603" s="13"/>
      <c r="R1603" s="13"/>
      <c r="S1603" s="85"/>
      <c r="T1603" s="85"/>
      <c r="U1603" s="85"/>
      <c r="V1603" s="86"/>
      <c r="W1603" s="87"/>
      <c r="X1603" s="87"/>
      <c r="Y1603" s="85"/>
      <c r="Z1603" s="85"/>
      <c r="AA1603" s="87"/>
      <c r="AB1603" s="85"/>
      <c r="AC1603" s="85"/>
      <c r="AD1603" s="85"/>
      <c r="AE1603" s="85"/>
      <c r="AF1603" s="85"/>
      <c r="AG1603" s="85"/>
      <c r="AH1603" s="85"/>
      <c r="AI1603" s="85"/>
      <c r="AJ1603" s="85"/>
      <c r="AK1603" s="85"/>
      <c r="AL1603" s="85"/>
      <c r="AM1603" s="88"/>
      <c r="AN1603" s="89"/>
      <c r="AO1603" s="90"/>
      <c r="AP1603" s="90"/>
      <c r="AQ1603" s="90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</row>
    <row r="1604">
      <c r="A1604" s="95"/>
      <c r="B1604" s="96"/>
      <c r="C1604" s="95"/>
      <c r="D1604" s="97"/>
      <c r="E1604" s="98"/>
      <c r="F1604" s="85"/>
      <c r="G1604" s="13"/>
      <c r="H1604" s="13"/>
      <c r="I1604" s="13"/>
      <c r="J1604" s="13"/>
      <c r="K1604" s="13"/>
      <c r="L1604" s="85"/>
      <c r="M1604" s="85"/>
      <c r="N1604" s="85"/>
      <c r="O1604" s="85"/>
      <c r="P1604" s="13"/>
      <c r="Q1604" s="13"/>
      <c r="R1604" s="13"/>
      <c r="S1604" s="85"/>
      <c r="T1604" s="85"/>
      <c r="U1604" s="85"/>
      <c r="V1604" s="86"/>
      <c r="W1604" s="87"/>
      <c r="X1604" s="87"/>
      <c r="Y1604" s="85"/>
      <c r="Z1604" s="85"/>
      <c r="AA1604" s="87"/>
      <c r="AB1604" s="85"/>
      <c r="AC1604" s="85"/>
      <c r="AD1604" s="85"/>
      <c r="AE1604" s="85"/>
      <c r="AF1604" s="85"/>
      <c r="AG1604" s="85"/>
      <c r="AH1604" s="85"/>
      <c r="AI1604" s="85"/>
      <c r="AJ1604" s="85"/>
      <c r="AK1604" s="85"/>
      <c r="AL1604" s="85"/>
      <c r="AM1604" s="88"/>
      <c r="AN1604" s="89"/>
      <c r="AO1604" s="90"/>
      <c r="AP1604" s="90"/>
      <c r="AQ1604" s="90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</row>
    <row r="1605">
      <c r="A1605" s="95"/>
      <c r="B1605" s="96"/>
      <c r="C1605" s="95"/>
      <c r="D1605" s="97"/>
      <c r="E1605" s="98"/>
      <c r="F1605" s="85"/>
      <c r="G1605" s="13"/>
      <c r="H1605" s="13"/>
      <c r="I1605" s="13"/>
      <c r="J1605" s="13"/>
      <c r="K1605" s="13"/>
      <c r="L1605" s="85"/>
      <c r="M1605" s="85"/>
      <c r="N1605" s="85"/>
      <c r="O1605" s="85"/>
      <c r="P1605" s="13"/>
      <c r="Q1605" s="13"/>
      <c r="R1605" s="13"/>
      <c r="S1605" s="85"/>
      <c r="T1605" s="85"/>
      <c r="U1605" s="85"/>
      <c r="V1605" s="86"/>
      <c r="W1605" s="87"/>
      <c r="X1605" s="87"/>
      <c r="Y1605" s="85"/>
      <c r="Z1605" s="85"/>
      <c r="AA1605" s="87"/>
      <c r="AB1605" s="85"/>
      <c r="AC1605" s="85"/>
      <c r="AD1605" s="85"/>
      <c r="AE1605" s="85"/>
      <c r="AF1605" s="85"/>
      <c r="AG1605" s="85"/>
      <c r="AH1605" s="85"/>
      <c r="AI1605" s="85"/>
      <c r="AJ1605" s="85"/>
      <c r="AK1605" s="85"/>
      <c r="AL1605" s="85"/>
      <c r="AM1605" s="88"/>
      <c r="AN1605" s="89"/>
      <c r="AO1605" s="90"/>
      <c r="AP1605" s="90"/>
      <c r="AQ1605" s="90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</row>
    <row r="1606">
      <c r="A1606" s="95"/>
      <c r="B1606" s="96"/>
      <c r="C1606" s="95"/>
      <c r="D1606" s="97"/>
      <c r="E1606" s="98"/>
      <c r="F1606" s="85"/>
      <c r="G1606" s="13"/>
      <c r="H1606" s="13"/>
      <c r="I1606" s="13"/>
      <c r="J1606" s="13"/>
      <c r="K1606" s="13"/>
      <c r="L1606" s="85"/>
      <c r="M1606" s="85"/>
      <c r="N1606" s="85"/>
      <c r="O1606" s="85"/>
      <c r="P1606" s="13"/>
      <c r="Q1606" s="13"/>
      <c r="R1606" s="13"/>
      <c r="S1606" s="85"/>
      <c r="T1606" s="85"/>
      <c r="U1606" s="85"/>
      <c r="V1606" s="86"/>
      <c r="W1606" s="87"/>
      <c r="X1606" s="87"/>
      <c r="Y1606" s="85"/>
      <c r="Z1606" s="85"/>
      <c r="AA1606" s="87"/>
      <c r="AB1606" s="85"/>
      <c r="AC1606" s="85"/>
      <c r="AD1606" s="85"/>
      <c r="AE1606" s="85"/>
      <c r="AF1606" s="85"/>
      <c r="AG1606" s="85"/>
      <c r="AH1606" s="85"/>
      <c r="AI1606" s="85"/>
      <c r="AJ1606" s="85"/>
      <c r="AK1606" s="85"/>
      <c r="AL1606" s="85"/>
      <c r="AM1606" s="88"/>
      <c r="AN1606" s="89"/>
      <c r="AO1606" s="90"/>
      <c r="AP1606" s="90"/>
      <c r="AQ1606" s="90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</row>
    <row r="1607">
      <c r="A1607" s="95"/>
      <c r="B1607" s="96"/>
      <c r="C1607" s="95"/>
      <c r="D1607" s="97"/>
      <c r="E1607" s="98"/>
      <c r="F1607" s="85"/>
      <c r="G1607" s="13"/>
      <c r="H1607" s="13"/>
      <c r="I1607" s="13"/>
      <c r="J1607" s="13"/>
      <c r="K1607" s="13"/>
      <c r="L1607" s="85"/>
      <c r="M1607" s="85"/>
      <c r="N1607" s="85"/>
      <c r="O1607" s="85"/>
      <c r="P1607" s="13"/>
      <c r="Q1607" s="13"/>
      <c r="R1607" s="13"/>
      <c r="S1607" s="85"/>
      <c r="T1607" s="85"/>
      <c r="U1607" s="85"/>
      <c r="V1607" s="86"/>
      <c r="W1607" s="87"/>
      <c r="X1607" s="87"/>
      <c r="Y1607" s="85"/>
      <c r="Z1607" s="85"/>
      <c r="AA1607" s="87"/>
      <c r="AB1607" s="85"/>
      <c r="AC1607" s="85"/>
      <c r="AD1607" s="85"/>
      <c r="AE1607" s="85"/>
      <c r="AF1607" s="85"/>
      <c r="AG1607" s="85"/>
      <c r="AH1607" s="85"/>
      <c r="AI1607" s="85"/>
      <c r="AJ1607" s="85"/>
      <c r="AK1607" s="85"/>
      <c r="AL1607" s="85"/>
      <c r="AM1607" s="88"/>
      <c r="AN1607" s="89"/>
      <c r="AO1607" s="90"/>
      <c r="AP1607" s="90"/>
      <c r="AQ1607" s="90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</row>
    <row r="1608">
      <c r="A1608" s="95"/>
      <c r="B1608" s="96"/>
      <c r="C1608" s="95"/>
      <c r="D1608" s="97"/>
      <c r="E1608" s="98"/>
      <c r="F1608" s="85"/>
      <c r="G1608" s="13"/>
      <c r="H1608" s="13"/>
      <c r="I1608" s="13"/>
      <c r="J1608" s="13"/>
      <c r="K1608" s="13"/>
      <c r="L1608" s="85"/>
      <c r="M1608" s="85"/>
      <c r="N1608" s="85"/>
      <c r="O1608" s="85"/>
      <c r="P1608" s="13"/>
      <c r="Q1608" s="13"/>
      <c r="R1608" s="13"/>
      <c r="S1608" s="85"/>
      <c r="T1608" s="85"/>
      <c r="U1608" s="85"/>
      <c r="V1608" s="86"/>
      <c r="W1608" s="87"/>
      <c r="X1608" s="87"/>
      <c r="Y1608" s="85"/>
      <c r="Z1608" s="85"/>
      <c r="AA1608" s="87"/>
      <c r="AB1608" s="85"/>
      <c r="AC1608" s="85"/>
      <c r="AD1608" s="85"/>
      <c r="AE1608" s="85"/>
      <c r="AF1608" s="85"/>
      <c r="AG1608" s="85"/>
      <c r="AH1608" s="85"/>
      <c r="AI1608" s="85"/>
      <c r="AJ1608" s="85"/>
      <c r="AK1608" s="85"/>
      <c r="AL1608" s="85"/>
      <c r="AM1608" s="88"/>
      <c r="AN1608" s="89"/>
      <c r="AO1608" s="90"/>
      <c r="AP1608" s="90"/>
      <c r="AQ1608" s="90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</row>
    <row r="1609">
      <c r="A1609" s="95"/>
      <c r="B1609" s="96"/>
      <c r="C1609" s="95"/>
      <c r="D1609" s="97"/>
      <c r="E1609" s="98"/>
      <c r="F1609" s="85"/>
      <c r="G1609" s="13"/>
      <c r="H1609" s="13"/>
      <c r="I1609" s="13"/>
      <c r="J1609" s="13"/>
      <c r="K1609" s="13"/>
      <c r="L1609" s="85"/>
      <c r="M1609" s="85"/>
      <c r="N1609" s="85"/>
      <c r="O1609" s="85"/>
      <c r="P1609" s="13"/>
      <c r="Q1609" s="13"/>
      <c r="R1609" s="13"/>
      <c r="S1609" s="85"/>
      <c r="T1609" s="85"/>
      <c r="U1609" s="85"/>
      <c r="V1609" s="86"/>
      <c r="W1609" s="87"/>
      <c r="X1609" s="87"/>
      <c r="Y1609" s="85"/>
      <c r="Z1609" s="85"/>
      <c r="AA1609" s="87"/>
      <c r="AB1609" s="85"/>
      <c r="AC1609" s="85"/>
      <c r="AD1609" s="85"/>
      <c r="AE1609" s="85"/>
      <c r="AF1609" s="85"/>
      <c r="AG1609" s="85"/>
      <c r="AH1609" s="85"/>
      <c r="AI1609" s="85"/>
      <c r="AJ1609" s="85"/>
      <c r="AK1609" s="85"/>
      <c r="AL1609" s="85"/>
      <c r="AM1609" s="88"/>
      <c r="AN1609" s="89"/>
      <c r="AO1609" s="90"/>
      <c r="AP1609" s="90"/>
      <c r="AQ1609" s="90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</row>
    <row r="1610">
      <c r="A1610" s="95"/>
      <c r="B1610" s="96"/>
      <c r="C1610" s="95"/>
      <c r="D1610" s="97"/>
      <c r="E1610" s="98"/>
      <c r="F1610" s="85"/>
      <c r="G1610" s="13"/>
      <c r="H1610" s="13"/>
      <c r="I1610" s="13"/>
      <c r="J1610" s="13"/>
      <c r="K1610" s="13"/>
      <c r="L1610" s="85"/>
      <c r="M1610" s="85"/>
      <c r="N1610" s="85"/>
      <c r="O1610" s="85"/>
      <c r="P1610" s="13"/>
      <c r="Q1610" s="13"/>
      <c r="R1610" s="13"/>
      <c r="S1610" s="85"/>
      <c r="T1610" s="85"/>
      <c r="U1610" s="85"/>
      <c r="V1610" s="86"/>
      <c r="W1610" s="87"/>
      <c r="X1610" s="87"/>
      <c r="Y1610" s="85"/>
      <c r="Z1610" s="85"/>
      <c r="AA1610" s="87"/>
      <c r="AB1610" s="85"/>
      <c r="AC1610" s="85"/>
      <c r="AD1610" s="85"/>
      <c r="AE1610" s="85"/>
      <c r="AF1610" s="85"/>
      <c r="AG1610" s="85"/>
      <c r="AH1610" s="85"/>
      <c r="AI1610" s="85"/>
      <c r="AJ1610" s="85"/>
      <c r="AK1610" s="85"/>
      <c r="AL1610" s="85"/>
      <c r="AM1610" s="88"/>
      <c r="AN1610" s="89"/>
      <c r="AO1610" s="90"/>
      <c r="AP1610" s="90"/>
      <c r="AQ1610" s="90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</row>
    <row r="1611">
      <c r="A1611" s="95"/>
      <c r="B1611" s="96"/>
      <c r="C1611" s="95"/>
      <c r="D1611" s="97"/>
      <c r="E1611" s="98"/>
      <c r="F1611" s="85"/>
      <c r="G1611" s="13"/>
      <c r="H1611" s="13"/>
      <c r="I1611" s="13"/>
      <c r="J1611" s="13"/>
      <c r="K1611" s="13"/>
      <c r="L1611" s="85"/>
      <c r="M1611" s="85"/>
      <c r="N1611" s="85"/>
      <c r="O1611" s="85"/>
      <c r="P1611" s="13"/>
      <c r="Q1611" s="13"/>
      <c r="R1611" s="13"/>
      <c r="S1611" s="85"/>
      <c r="T1611" s="85"/>
      <c r="U1611" s="85"/>
      <c r="V1611" s="86"/>
      <c r="W1611" s="87"/>
      <c r="X1611" s="87"/>
      <c r="Y1611" s="85"/>
      <c r="Z1611" s="85"/>
      <c r="AA1611" s="87"/>
      <c r="AB1611" s="85"/>
      <c r="AC1611" s="85"/>
      <c r="AD1611" s="85"/>
      <c r="AE1611" s="85"/>
      <c r="AF1611" s="85"/>
      <c r="AG1611" s="85"/>
      <c r="AH1611" s="85"/>
      <c r="AI1611" s="85"/>
      <c r="AJ1611" s="85"/>
      <c r="AK1611" s="85"/>
      <c r="AL1611" s="85"/>
      <c r="AM1611" s="88"/>
      <c r="AN1611" s="89"/>
      <c r="AO1611" s="90"/>
      <c r="AP1611" s="90"/>
      <c r="AQ1611" s="90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</row>
    <row r="1612">
      <c r="A1612" s="95"/>
      <c r="B1612" s="96"/>
      <c r="C1612" s="95"/>
      <c r="D1612" s="97"/>
      <c r="E1612" s="98"/>
      <c r="F1612" s="85"/>
      <c r="G1612" s="13"/>
      <c r="H1612" s="13"/>
      <c r="I1612" s="13"/>
      <c r="J1612" s="13"/>
      <c r="K1612" s="13"/>
      <c r="L1612" s="85"/>
      <c r="M1612" s="85"/>
      <c r="N1612" s="85"/>
      <c r="O1612" s="85"/>
      <c r="P1612" s="13"/>
      <c r="Q1612" s="13"/>
      <c r="R1612" s="13"/>
      <c r="S1612" s="85"/>
      <c r="T1612" s="85"/>
      <c r="U1612" s="85"/>
      <c r="V1612" s="86"/>
      <c r="W1612" s="87"/>
      <c r="X1612" s="87"/>
      <c r="Y1612" s="85"/>
      <c r="Z1612" s="85"/>
      <c r="AA1612" s="87"/>
      <c r="AB1612" s="85"/>
      <c r="AC1612" s="85"/>
      <c r="AD1612" s="85"/>
      <c r="AE1612" s="85"/>
      <c r="AF1612" s="85"/>
      <c r="AG1612" s="85"/>
      <c r="AH1612" s="85"/>
      <c r="AI1612" s="85"/>
      <c r="AJ1612" s="85"/>
      <c r="AK1612" s="85"/>
      <c r="AL1612" s="85"/>
      <c r="AM1612" s="88"/>
      <c r="AN1612" s="89"/>
      <c r="AO1612" s="90"/>
      <c r="AP1612" s="90"/>
      <c r="AQ1612" s="90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</row>
    <row r="1613">
      <c r="A1613" s="95"/>
      <c r="B1613" s="96"/>
      <c r="C1613" s="95"/>
      <c r="D1613" s="97"/>
      <c r="E1613" s="98"/>
      <c r="F1613" s="85"/>
      <c r="G1613" s="13"/>
      <c r="H1613" s="13"/>
      <c r="I1613" s="13"/>
      <c r="J1613" s="13"/>
      <c r="K1613" s="13"/>
      <c r="L1613" s="85"/>
      <c r="M1613" s="85"/>
      <c r="N1613" s="85"/>
      <c r="O1613" s="85"/>
      <c r="P1613" s="13"/>
      <c r="Q1613" s="13"/>
      <c r="R1613" s="13"/>
      <c r="S1613" s="85"/>
      <c r="T1613" s="85"/>
      <c r="U1613" s="85"/>
      <c r="V1613" s="86"/>
      <c r="W1613" s="87"/>
      <c r="X1613" s="87"/>
      <c r="Y1613" s="85"/>
      <c r="Z1613" s="85"/>
      <c r="AA1613" s="87"/>
      <c r="AB1613" s="85"/>
      <c r="AC1613" s="85"/>
      <c r="AD1613" s="85"/>
      <c r="AE1613" s="85"/>
      <c r="AF1613" s="85"/>
      <c r="AG1613" s="85"/>
      <c r="AH1613" s="85"/>
      <c r="AI1613" s="85"/>
      <c r="AJ1613" s="85"/>
      <c r="AK1613" s="85"/>
      <c r="AL1613" s="85"/>
      <c r="AM1613" s="88"/>
      <c r="AN1613" s="89"/>
      <c r="AO1613" s="90"/>
      <c r="AP1613" s="90"/>
      <c r="AQ1613" s="90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</row>
    <row r="1614">
      <c r="A1614" s="95"/>
      <c r="B1614" s="96"/>
      <c r="C1614" s="95"/>
      <c r="D1614" s="97"/>
      <c r="E1614" s="98"/>
      <c r="F1614" s="85"/>
      <c r="G1614" s="13"/>
      <c r="H1614" s="13"/>
      <c r="I1614" s="13"/>
      <c r="J1614" s="13"/>
      <c r="K1614" s="13"/>
      <c r="L1614" s="85"/>
      <c r="M1614" s="85"/>
      <c r="N1614" s="85"/>
      <c r="O1614" s="85"/>
      <c r="P1614" s="13"/>
      <c r="Q1614" s="13"/>
      <c r="R1614" s="13"/>
      <c r="S1614" s="85"/>
      <c r="T1614" s="85"/>
      <c r="U1614" s="85"/>
      <c r="V1614" s="86"/>
      <c r="W1614" s="87"/>
      <c r="X1614" s="87"/>
      <c r="Y1614" s="85"/>
      <c r="Z1614" s="85"/>
      <c r="AA1614" s="87"/>
      <c r="AB1614" s="85"/>
      <c r="AC1614" s="85"/>
      <c r="AD1614" s="85"/>
      <c r="AE1614" s="85"/>
      <c r="AF1614" s="85"/>
      <c r="AG1614" s="85"/>
      <c r="AH1614" s="85"/>
      <c r="AI1614" s="85"/>
      <c r="AJ1614" s="85"/>
      <c r="AK1614" s="85"/>
      <c r="AL1614" s="85"/>
      <c r="AM1614" s="88"/>
      <c r="AN1614" s="89"/>
      <c r="AO1614" s="90"/>
      <c r="AP1614" s="90"/>
      <c r="AQ1614" s="90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</row>
    <row r="1615">
      <c r="A1615" s="95"/>
      <c r="B1615" s="96"/>
      <c r="C1615" s="95"/>
      <c r="D1615" s="97"/>
      <c r="E1615" s="98"/>
      <c r="F1615" s="85"/>
      <c r="G1615" s="13"/>
      <c r="H1615" s="13"/>
      <c r="I1615" s="13"/>
      <c r="J1615" s="13"/>
      <c r="K1615" s="13"/>
      <c r="L1615" s="85"/>
      <c r="M1615" s="85"/>
      <c r="N1615" s="85"/>
      <c r="O1615" s="85"/>
      <c r="P1615" s="13"/>
      <c r="Q1615" s="13"/>
      <c r="R1615" s="13"/>
      <c r="S1615" s="85"/>
      <c r="T1615" s="85"/>
      <c r="U1615" s="85"/>
      <c r="V1615" s="86"/>
      <c r="W1615" s="87"/>
      <c r="X1615" s="87"/>
      <c r="Y1615" s="85"/>
      <c r="Z1615" s="85"/>
      <c r="AA1615" s="87"/>
      <c r="AB1615" s="85"/>
      <c r="AC1615" s="85"/>
      <c r="AD1615" s="85"/>
      <c r="AE1615" s="85"/>
      <c r="AF1615" s="85"/>
      <c r="AG1615" s="85"/>
      <c r="AH1615" s="85"/>
      <c r="AI1615" s="85"/>
      <c r="AJ1615" s="85"/>
      <c r="AK1615" s="85"/>
      <c r="AL1615" s="85"/>
      <c r="AM1615" s="88"/>
      <c r="AN1615" s="89"/>
      <c r="AO1615" s="90"/>
      <c r="AP1615" s="90"/>
      <c r="AQ1615" s="90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</row>
    <row r="1616">
      <c r="A1616" s="95"/>
      <c r="B1616" s="96"/>
      <c r="C1616" s="95"/>
      <c r="D1616" s="97"/>
      <c r="E1616" s="98"/>
      <c r="F1616" s="85"/>
      <c r="G1616" s="13"/>
      <c r="H1616" s="13"/>
      <c r="I1616" s="13"/>
      <c r="J1616" s="13"/>
      <c r="K1616" s="13"/>
      <c r="L1616" s="85"/>
      <c r="M1616" s="85"/>
      <c r="N1616" s="85"/>
      <c r="O1616" s="85"/>
      <c r="P1616" s="13"/>
      <c r="Q1616" s="13"/>
      <c r="R1616" s="13"/>
      <c r="S1616" s="85"/>
      <c r="T1616" s="85"/>
      <c r="U1616" s="85"/>
      <c r="V1616" s="86"/>
      <c r="W1616" s="87"/>
      <c r="X1616" s="87"/>
      <c r="Y1616" s="85"/>
      <c r="Z1616" s="85"/>
      <c r="AA1616" s="87"/>
      <c r="AB1616" s="85"/>
      <c r="AC1616" s="85"/>
      <c r="AD1616" s="85"/>
      <c r="AE1616" s="85"/>
      <c r="AF1616" s="85"/>
      <c r="AG1616" s="85"/>
      <c r="AH1616" s="85"/>
      <c r="AI1616" s="85"/>
      <c r="AJ1616" s="85"/>
      <c r="AK1616" s="85"/>
      <c r="AL1616" s="85"/>
      <c r="AM1616" s="88"/>
      <c r="AN1616" s="89"/>
      <c r="AO1616" s="90"/>
      <c r="AP1616" s="90"/>
      <c r="AQ1616" s="90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  <c r="BD1616" s="13"/>
      <c r="BE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O1616" s="13"/>
      <c r="BP1616" s="13"/>
      <c r="BQ1616" s="13"/>
    </row>
    <row r="1617">
      <c r="A1617" s="95"/>
      <c r="B1617" s="96"/>
      <c r="C1617" s="95"/>
      <c r="D1617" s="97"/>
      <c r="E1617" s="98"/>
      <c r="F1617" s="85"/>
      <c r="G1617" s="13"/>
      <c r="H1617" s="13"/>
      <c r="I1617" s="13"/>
      <c r="J1617" s="13"/>
      <c r="K1617" s="13"/>
      <c r="L1617" s="85"/>
      <c r="M1617" s="85"/>
      <c r="N1617" s="85"/>
      <c r="O1617" s="85"/>
      <c r="P1617" s="13"/>
      <c r="Q1617" s="13"/>
      <c r="R1617" s="13"/>
      <c r="S1617" s="85"/>
      <c r="T1617" s="85"/>
      <c r="U1617" s="85"/>
      <c r="V1617" s="86"/>
      <c r="W1617" s="87"/>
      <c r="X1617" s="87"/>
      <c r="Y1617" s="85"/>
      <c r="Z1617" s="85"/>
      <c r="AA1617" s="87"/>
      <c r="AB1617" s="85"/>
      <c r="AC1617" s="85"/>
      <c r="AD1617" s="85"/>
      <c r="AE1617" s="85"/>
      <c r="AF1617" s="85"/>
      <c r="AG1617" s="85"/>
      <c r="AH1617" s="85"/>
      <c r="AI1617" s="85"/>
      <c r="AJ1617" s="85"/>
      <c r="AK1617" s="85"/>
      <c r="AL1617" s="85"/>
      <c r="AM1617" s="88"/>
      <c r="AN1617" s="89"/>
      <c r="AO1617" s="90"/>
      <c r="AP1617" s="90"/>
      <c r="AQ1617" s="90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3"/>
      <c r="BP1617" s="13"/>
      <c r="BQ1617" s="13"/>
    </row>
    <row r="1618">
      <c r="A1618" s="95"/>
      <c r="B1618" s="96"/>
      <c r="C1618" s="95"/>
      <c r="D1618" s="97"/>
      <c r="E1618" s="98"/>
      <c r="F1618" s="85"/>
      <c r="G1618" s="13"/>
      <c r="H1618" s="13"/>
      <c r="I1618" s="13"/>
      <c r="J1618" s="13"/>
      <c r="K1618" s="13"/>
      <c r="L1618" s="85"/>
      <c r="M1618" s="85"/>
      <c r="N1618" s="85"/>
      <c r="O1618" s="85"/>
      <c r="P1618" s="13"/>
      <c r="Q1618" s="13"/>
      <c r="R1618" s="13"/>
      <c r="S1618" s="85"/>
      <c r="T1618" s="85"/>
      <c r="U1618" s="85"/>
      <c r="V1618" s="86"/>
      <c r="W1618" s="87"/>
      <c r="X1618" s="87"/>
      <c r="Y1618" s="85"/>
      <c r="Z1618" s="85"/>
      <c r="AA1618" s="87"/>
      <c r="AB1618" s="85"/>
      <c r="AC1618" s="85"/>
      <c r="AD1618" s="85"/>
      <c r="AE1618" s="85"/>
      <c r="AF1618" s="85"/>
      <c r="AG1618" s="85"/>
      <c r="AH1618" s="85"/>
      <c r="AI1618" s="85"/>
      <c r="AJ1618" s="85"/>
      <c r="AK1618" s="85"/>
      <c r="AL1618" s="85"/>
      <c r="AM1618" s="88"/>
      <c r="AN1618" s="89"/>
      <c r="AO1618" s="90"/>
      <c r="AP1618" s="90"/>
      <c r="AQ1618" s="90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</row>
    <row r="1619">
      <c r="A1619" s="95"/>
      <c r="B1619" s="96"/>
      <c r="C1619" s="95"/>
      <c r="D1619" s="97"/>
      <c r="E1619" s="98"/>
      <c r="F1619" s="85"/>
      <c r="G1619" s="13"/>
      <c r="H1619" s="13"/>
      <c r="I1619" s="13"/>
      <c r="J1619" s="13"/>
      <c r="K1619" s="13"/>
      <c r="L1619" s="85"/>
      <c r="M1619" s="85"/>
      <c r="N1619" s="85"/>
      <c r="O1619" s="85"/>
      <c r="P1619" s="13"/>
      <c r="Q1619" s="13"/>
      <c r="R1619" s="13"/>
      <c r="S1619" s="85"/>
      <c r="T1619" s="85"/>
      <c r="U1619" s="85"/>
      <c r="V1619" s="86"/>
      <c r="W1619" s="87"/>
      <c r="X1619" s="87"/>
      <c r="Y1619" s="85"/>
      <c r="Z1619" s="85"/>
      <c r="AA1619" s="87"/>
      <c r="AB1619" s="85"/>
      <c r="AC1619" s="85"/>
      <c r="AD1619" s="85"/>
      <c r="AE1619" s="85"/>
      <c r="AF1619" s="85"/>
      <c r="AG1619" s="85"/>
      <c r="AH1619" s="85"/>
      <c r="AI1619" s="85"/>
      <c r="AJ1619" s="85"/>
      <c r="AK1619" s="85"/>
      <c r="AL1619" s="85"/>
      <c r="AM1619" s="88"/>
      <c r="AN1619" s="89"/>
      <c r="AO1619" s="90"/>
      <c r="AP1619" s="90"/>
      <c r="AQ1619" s="90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</row>
    <row r="1620">
      <c r="A1620" s="95"/>
      <c r="B1620" s="96"/>
      <c r="C1620" s="95"/>
      <c r="D1620" s="97"/>
      <c r="E1620" s="98"/>
      <c r="F1620" s="85"/>
      <c r="G1620" s="13"/>
      <c r="H1620" s="13"/>
      <c r="I1620" s="13"/>
      <c r="J1620" s="13"/>
      <c r="K1620" s="13"/>
      <c r="L1620" s="85"/>
      <c r="M1620" s="85"/>
      <c r="N1620" s="85"/>
      <c r="O1620" s="85"/>
      <c r="P1620" s="13"/>
      <c r="Q1620" s="13"/>
      <c r="R1620" s="13"/>
      <c r="S1620" s="85"/>
      <c r="T1620" s="85"/>
      <c r="U1620" s="85"/>
      <c r="V1620" s="86"/>
      <c r="W1620" s="87"/>
      <c r="X1620" s="87"/>
      <c r="Y1620" s="85"/>
      <c r="Z1620" s="85"/>
      <c r="AA1620" s="87"/>
      <c r="AB1620" s="85"/>
      <c r="AC1620" s="85"/>
      <c r="AD1620" s="85"/>
      <c r="AE1620" s="85"/>
      <c r="AF1620" s="85"/>
      <c r="AG1620" s="85"/>
      <c r="AH1620" s="85"/>
      <c r="AI1620" s="85"/>
      <c r="AJ1620" s="85"/>
      <c r="AK1620" s="85"/>
      <c r="AL1620" s="85"/>
      <c r="AM1620" s="88"/>
      <c r="AN1620" s="89"/>
      <c r="AO1620" s="90"/>
      <c r="AP1620" s="90"/>
      <c r="AQ1620" s="90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</row>
    <row r="1621">
      <c r="A1621" s="95"/>
      <c r="B1621" s="96"/>
      <c r="C1621" s="95"/>
      <c r="D1621" s="97"/>
      <c r="E1621" s="98"/>
      <c r="F1621" s="85"/>
      <c r="G1621" s="13"/>
      <c r="H1621" s="13"/>
      <c r="I1621" s="13"/>
      <c r="J1621" s="13"/>
      <c r="K1621" s="13"/>
      <c r="L1621" s="85"/>
      <c r="M1621" s="85"/>
      <c r="N1621" s="85"/>
      <c r="O1621" s="85"/>
      <c r="P1621" s="13"/>
      <c r="Q1621" s="13"/>
      <c r="R1621" s="13"/>
      <c r="S1621" s="85"/>
      <c r="T1621" s="85"/>
      <c r="U1621" s="85"/>
      <c r="V1621" s="86"/>
      <c r="W1621" s="87"/>
      <c r="X1621" s="87"/>
      <c r="Y1621" s="85"/>
      <c r="Z1621" s="85"/>
      <c r="AA1621" s="87"/>
      <c r="AB1621" s="85"/>
      <c r="AC1621" s="85"/>
      <c r="AD1621" s="85"/>
      <c r="AE1621" s="85"/>
      <c r="AF1621" s="85"/>
      <c r="AG1621" s="85"/>
      <c r="AH1621" s="85"/>
      <c r="AI1621" s="85"/>
      <c r="AJ1621" s="85"/>
      <c r="AK1621" s="85"/>
      <c r="AL1621" s="85"/>
      <c r="AM1621" s="88"/>
      <c r="AN1621" s="89"/>
      <c r="AO1621" s="90"/>
      <c r="AP1621" s="90"/>
      <c r="AQ1621" s="90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</row>
    <row r="1622">
      <c r="A1622" s="95"/>
      <c r="B1622" s="96"/>
      <c r="C1622" s="95"/>
      <c r="D1622" s="97"/>
      <c r="E1622" s="98"/>
      <c r="F1622" s="85"/>
      <c r="G1622" s="13"/>
      <c r="H1622" s="13"/>
      <c r="I1622" s="13"/>
      <c r="J1622" s="13"/>
      <c r="K1622" s="13"/>
      <c r="L1622" s="85"/>
      <c r="M1622" s="85"/>
      <c r="N1622" s="85"/>
      <c r="O1622" s="85"/>
      <c r="P1622" s="13"/>
      <c r="Q1622" s="13"/>
      <c r="R1622" s="13"/>
      <c r="S1622" s="85"/>
      <c r="T1622" s="85"/>
      <c r="U1622" s="85"/>
      <c r="V1622" s="86"/>
      <c r="W1622" s="87"/>
      <c r="X1622" s="87"/>
      <c r="Y1622" s="85"/>
      <c r="Z1622" s="85"/>
      <c r="AA1622" s="87"/>
      <c r="AB1622" s="85"/>
      <c r="AC1622" s="85"/>
      <c r="AD1622" s="85"/>
      <c r="AE1622" s="85"/>
      <c r="AF1622" s="85"/>
      <c r="AG1622" s="85"/>
      <c r="AH1622" s="85"/>
      <c r="AI1622" s="85"/>
      <c r="AJ1622" s="85"/>
      <c r="AK1622" s="85"/>
      <c r="AL1622" s="85"/>
      <c r="AM1622" s="88"/>
      <c r="AN1622" s="89"/>
      <c r="AO1622" s="90"/>
      <c r="AP1622" s="90"/>
      <c r="AQ1622" s="90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/>
    </row>
    <row r="1623">
      <c r="A1623" s="95"/>
      <c r="B1623" s="96"/>
      <c r="C1623" s="95"/>
      <c r="D1623" s="97"/>
      <c r="E1623" s="98"/>
      <c r="F1623" s="85"/>
      <c r="G1623" s="13"/>
      <c r="H1623" s="13"/>
      <c r="I1623" s="13"/>
      <c r="J1623" s="13"/>
      <c r="K1623" s="13"/>
      <c r="L1623" s="85"/>
      <c r="M1623" s="85"/>
      <c r="N1623" s="85"/>
      <c r="O1623" s="85"/>
      <c r="P1623" s="13"/>
      <c r="Q1623" s="13"/>
      <c r="R1623" s="13"/>
      <c r="S1623" s="85"/>
      <c r="T1623" s="85"/>
      <c r="U1623" s="85"/>
      <c r="V1623" s="86"/>
      <c r="W1623" s="87"/>
      <c r="X1623" s="87"/>
      <c r="Y1623" s="85"/>
      <c r="Z1623" s="85"/>
      <c r="AA1623" s="87"/>
      <c r="AB1623" s="85"/>
      <c r="AC1623" s="85"/>
      <c r="AD1623" s="85"/>
      <c r="AE1623" s="85"/>
      <c r="AF1623" s="85"/>
      <c r="AG1623" s="85"/>
      <c r="AH1623" s="85"/>
      <c r="AI1623" s="85"/>
      <c r="AJ1623" s="85"/>
      <c r="AK1623" s="85"/>
      <c r="AL1623" s="85"/>
      <c r="AM1623" s="88"/>
      <c r="AN1623" s="89"/>
      <c r="AO1623" s="90"/>
      <c r="AP1623" s="90"/>
      <c r="AQ1623" s="90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</row>
    <row r="1624">
      <c r="A1624" s="95"/>
      <c r="B1624" s="96"/>
      <c r="C1624" s="95"/>
      <c r="D1624" s="97"/>
      <c r="E1624" s="98"/>
      <c r="F1624" s="85"/>
      <c r="G1624" s="13"/>
      <c r="H1624" s="13"/>
      <c r="I1624" s="13"/>
      <c r="J1624" s="13"/>
      <c r="K1624" s="13"/>
      <c r="L1624" s="85"/>
      <c r="M1624" s="85"/>
      <c r="N1624" s="85"/>
      <c r="O1624" s="85"/>
      <c r="P1624" s="13"/>
      <c r="Q1624" s="13"/>
      <c r="R1624" s="13"/>
      <c r="S1624" s="85"/>
      <c r="T1624" s="85"/>
      <c r="U1624" s="85"/>
      <c r="V1624" s="86"/>
      <c r="W1624" s="87"/>
      <c r="X1624" s="87"/>
      <c r="Y1624" s="85"/>
      <c r="Z1624" s="85"/>
      <c r="AA1624" s="87"/>
      <c r="AB1624" s="85"/>
      <c r="AC1624" s="85"/>
      <c r="AD1624" s="85"/>
      <c r="AE1624" s="85"/>
      <c r="AF1624" s="85"/>
      <c r="AG1624" s="85"/>
      <c r="AH1624" s="85"/>
      <c r="AI1624" s="85"/>
      <c r="AJ1624" s="85"/>
      <c r="AK1624" s="85"/>
      <c r="AL1624" s="85"/>
      <c r="AM1624" s="88"/>
      <c r="AN1624" s="89"/>
      <c r="AO1624" s="90"/>
      <c r="AP1624" s="90"/>
      <c r="AQ1624" s="90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3"/>
      <c r="BP1624" s="13"/>
      <c r="BQ1624" s="13"/>
    </row>
    <row r="1625">
      <c r="A1625" s="95"/>
      <c r="B1625" s="96"/>
      <c r="C1625" s="95"/>
      <c r="D1625" s="97"/>
      <c r="E1625" s="98"/>
      <c r="F1625" s="85"/>
      <c r="G1625" s="13"/>
      <c r="H1625" s="13"/>
      <c r="I1625" s="13"/>
      <c r="J1625" s="13"/>
      <c r="K1625" s="13"/>
      <c r="L1625" s="85"/>
      <c r="M1625" s="85"/>
      <c r="N1625" s="85"/>
      <c r="O1625" s="85"/>
      <c r="P1625" s="13"/>
      <c r="Q1625" s="13"/>
      <c r="R1625" s="13"/>
      <c r="S1625" s="85"/>
      <c r="T1625" s="85"/>
      <c r="U1625" s="85"/>
      <c r="V1625" s="86"/>
      <c r="W1625" s="87"/>
      <c r="X1625" s="87"/>
      <c r="Y1625" s="85"/>
      <c r="Z1625" s="85"/>
      <c r="AA1625" s="87"/>
      <c r="AB1625" s="85"/>
      <c r="AC1625" s="85"/>
      <c r="AD1625" s="85"/>
      <c r="AE1625" s="85"/>
      <c r="AF1625" s="85"/>
      <c r="AG1625" s="85"/>
      <c r="AH1625" s="85"/>
      <c r="AI1625" s="85"/>
      <c r="AJ1625" s="85"/>
      <c r="AK1625" s="85"/>
      <c r="AL1625" s="85"/>
      <c r="AM1625" s="88"/>
      <c r="AN1625" s="89"/>
      <c r="AO1625" s="90"/>
      <c r="AP1625" s="90"/>
      <c r="AQ1625" s="90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3"/>
      <c r="BP1625" s="13"/>
      <c r="BQ1625" s="13"/>
    </row>
    <row r="1626">
      <c r="A1626" s="95"/>
      <c r="B1626" s="96"/>
      <c r="C1626" s="95"/>
      <c r="D1626" s="97"/>
      <c r="E1626" s="98"/>
      <c r="F1626" s="85"/>
      <c r="G1626" s="13"/>
      <c r="H1626" s="13"/>
      <c r="I1626" s="13"/>
      <c r="J1626" s="13"/>
      <c r="K1626" s="13"/>
      <c r="L1626" s="85"/>
      <c r="M1626" s="85"/>
      <c r="N1626" s="85"/>
      <c r="O1626" s="85"/>
      <c r="P1626" s="13"/>
      <c r="Q1626" s="13"/>
      <c r="R1626" s="13"/>
      <c r="S1626" s="85"/>
      <c r="T1626" s="85"/>
      <c r="U1626" s="85"/>
      <c r="V1626" s="86"/>
      <c r="W1626" s="87"/>
      <c r="X1626" s="87"/>
      <c r="Y1626" s="85"/>
      <c r="Z1626" s="85"/>
      <c r="AA1626" s="87"/>
      <c r="AB1626" s="85"/>
      <c r="AC1626" s="85"/>
      <c r="AD1626" s="85"/>
      <c r="AE1626" s="85"/>
      <c r="AF1626" s="85"/>
      <c r="AG1626" s="85"/>
      <c r="AH1626" s="85"/>
      <c r="AI1626" s="85"/>
      <c r="AJ1626" s="85"/>
      <c r="AK1626" s="85"/>
      <c r="AL1626" s="85"/>
      <c r="AM1626" s="88"/>
      <c r="AN1626" s="89"/>
      <c r="AO1626" s="90"/>
      <c r="AP1626" s="90"/>
      <c r="AQ1626" s="90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</row>
    <row r="1627">
      <c r="A1627" s="95"/>
      <c r="B1627" s="96"/>
      <c r="C1627" s="95"/>
      <c r="D1627" s="97"/>
      <c r="E1627" s="98"/>
      <c r="F1627" s="85"/>
      <c r="G1627" s="13"/>
      <c r="H1627" s="13"/>
      <c r="I1627" s="13"/>
      <c r="J1627" s="13"/>
      <c r="K1627" s="13"/>
      <c r="L1627" s="85"/>
      <c r="M1627" s="85"/>
      <c r="N1627" s="85"/>
      <c r="O1627" s="85"/>
      <c r="P1627" s="13"/>
      <c r="Q1627" s="13"/>
      <c r="R1627" s="13"/>
      <c r="S1627" s="85"/>
      <c r="T1627" s="85"/>
      <c r="U1627" s="85"/>
      <c r="V1627" s="86"/>
      <c r="W1627" s="87"/>
      <c r="X1627" s="87"/>
      <c r="Y1627" s="85"/>
      <c r="Z1627" s="85"/>
      <c r="AA1627" s="87"/>
      <c r="AB1627" s="85"/>
      <c r="AC1627" s="85"/>
      <c r="AD1627" s="85"/>
      <c r="AE1627" s="85"/>
      <c r="AF1627" s="85"/>
      <c r="AG1627" s="85"/>
      <c r="AH1627" s="85"/>
      <c r="AI1627" s="85"/>
      <c r="AJ1627" s="85"/>
      <c r="AK1627" s="85"/>
      <c r="AL1627" s="85"/>
      <c r="AM1627" s="88"/>
      <c r="AN1627" s="89"/>
      <c r="AO1627" s="90"/>
      <c r="AP1627" s="90"/>
      <c r="AQ1627" s="90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/>
    </row>
    <row r="1628">
      <c r="A1628" s="95"/>
      <c r="B1628" s="96"/>
      <c r="C1628" s="95"/>
      <c r="D1628" s="97"/>
      <c r="E1628" s="98"/>
      <c r="F1628" s="85"/>
      <c r="G1628" s="13"/>
      <c r="H1628" s="13"/>
      <c r="I1628" s="13"/>
      <c r="J1628" s="13"/>
      <c r="K1628" s="13"/>
      <c r="L1628" s="85"/>
      <c r="M1628" s="85"/>
      <c r="N1628" s="85"/>
      <c r="O1628" s="85"/>
      <c r="P1628" s="13"/>
      <c r="Q1628" s="13"/>
      <c r="R1628" s="13"/>
      <c r="S1628" s="85"/>
      <c r="T1628" s="85"/>
      <c r="U1628" s="85"/>
      <c r="V1628" s="86"/>
      <c r="W1628" s="87"/>
      <c r="X1628" s="87"/>
      <c r="Y1628" s="85"/>
      <c r="Z1628" s="85"/>
      <c r="AA1628" s="87"/>
      <c r="AB1628" s="85"/>
      <c r="AC1628" s="85"/>
      <c r="AD1628" s="85"/>
      <c r="AE1628" s="85"/>
      <c r="AF1628" s="85"/>
      <c r="AG1628" s="85"/>
      <c r="AH1628" s="85"/>
      <c r="AI1628" s="85"/>
      <c r="AJ1628" s="85"/>
      <c r="AK1628" s="85"/>
      <c r="AL1628" s="85"/>
      <c r="AM1628" s="88"/>
      <c r="AN1628" s="89"/>
      <c r="AO1628" s="90"/>
      <c r="AP1628" s="90"/>
      <c r="AQ1628" s="90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</row>
    <row r="1629">
      <c r="A1629" s="95"/>
      <c r="B1629" s="96"/>
      <c r="C1629" s="95"/>
      <c r="D1629" s="97"/>
      <c r="E1629" s="98"/>
      <c r="F1629" s="85"/>
      <c r="G1629" s="13"/>
      <c r="H1629" s="13"/>
      <c r="I1629" s="13"/>
      <c r="J1629" s="13"/>
      <c r="K1629" s="13"/>
      <c r="L1629" s="85"/>
      <c r="M1629" s="85"/>
      <c r="N1629" s="85"/>
      <c r="O1629" s="85"/>
      <c r="P1629" s="13"/>
      <c r="Q1629" s="13"/>
      <c r="R1629" s="13"/>
      <c r="S1629" s="85"/>
      <c r="T1629" s="85"/>
      <c r="U1629" s="85"/>
      <c r="V1629" s="86"/>
      <c r="W1629" s="87"/>
      <c r="X1629" s="87"/>
      <c r="Y1629" s="85"/>
      <c r="Z1629" s="85"/>
      <c r="AA1629" s="87"/>
      <c r="AB1629" s="85"/>
      <c r="AC1629" s="85"/>
      <c r="AD1629" s="85"/>
      <c r="AE1629" s="85"/>
      <c r="AF1629" s="85"/>
      <c r="AG1629" s="85"/>
      <c r="AH1629" s="85"/>
      <c r="AI1629" s="85"/>
      <c r="AJ1629" s="85"/>
      <c r="AK1629" s="85"/>
      <c r="AL1629" s="85"/>
      <c r="AM1629" s="88"/>
      <c r="AN1629" s="89"/>
      <c r="AO1629" s="90"/>
      <c r="AP1629" s="90"/>
      <c r="AQ1629" s="90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</row>
    <row r="1630">
      <c r="A1630" s="95"/>
      <c r="B1630" s="96"/>
      <c r="C1630" s="95"/>
      <c r="D1630" s="97"/>
      <c r="E1630" s="98"/>
      <c r="F1630" s="85"/>
      <c r="G1630" s="13"/>
      <c r="H1630" s="13"/>
      <c r="I1630" s="13"/>
      <c r="J1630" s="13"/>
      <c r="K1630" s="13"/>
      <c r="L1630" s="85"/>
      <c r="M1630" s="85"/>
      <c r="N1630" s="85"/>
      <c r="O1630" s="85"/>
      <c r="P1630" s="13"/>
      <c r="Q1630" s="13"/>
      <c r="R1630" s="13"/>
      <c r="S1630" s="85"/>
      <c r="T1630" s="85"/>
      <c r="U1630" s="85"/>
      <c r="V1630" s="86"/>
      <c r="W1630" s="87"/>
      <c r="X1630" s="87"/>
      <c r="Y1630" s="85"/>
      <c r="Z1630" s="85"/>
      <c r="AA1630" s="87"/>
      <c r="AB1630" s="85"/>
      <c r="AC1630" s="85"/>
      <c r="AD1630" s="85"/>
      <c r="AE1630" s="85"/>
      <c r="AF1630" s="85"/>
      <c r="AG1630" s="85"/>
      <c r="AH1630" s="85"/>
      <c r="AI1630" s="85"/>
      <c r="AJ1630" s="85"/>
      <c r="AK1630" s="85"/>
      <c r="AL1630" s="85"/>
      <c r="AM1630" s="88"/>
      <c r="AN1630" s="89"/>
      <c r="AO1630" s="90"/>
      <c r="AP1630" s="90"/>
      <c r="AQ1630" s="90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</row>
    <row r="1631">
      <c r="A1631" s="95"/>
      <c r="B1631" s="96"/>
      <c r="C1631" s="95"/>
      <c r="D1631" s="97"/>
      <c r="E1631" s="98"/>
      <c r="F1631" s="85"/>
      <c r="G1631" s="13"/>
      <c r="H1631" s="13"/>
      <c r="I1631" s="13"/>
      <c r="J1631" s="13"/>
      <c r="K1631" s="13"/>
      <c r="L1631" s="85"/>
      <c r="M1631" s="85"/>
      <c r="N1631" s="85"/>
      <c r="O1631" s="85"/>
      <c r="P1631" s="13"/>
      <c r="Q1631" s="13"/>
      <c r="R1631" s="13"/>
      <c r="S1631" s="85"/>
      <c r="T1631" s="85"/>
      <c r="U1631" s="85"/>
      <c r="V1631" s="86"/>
      <c r="W1631" s="87"/>
      <c r="X1631" s="87"/>
      <c r="Y1631" s="85"/>
      <c r="Z1631" s="85"/>
      <c r="AA1631" s="87"/>
      <c r="AB1631" s="85"/>
      <c r="AC1631" s="85"/>
      <c r="AD1631" s="85"/>
      <c r="AE1631" s="85"/>
      <c r="AF1631" s="85"/>
      <c r="AG1631" s="85"/>
      <c r="AH1631" s="85"/>
      <c r="AI1631" s="85"/>
      <c r="AJ1631" s="85"/>
      <c r="AK1631" s="85"/>
      <c r="AL1631" s="85"/>
      <c r="AM1631" s="88"/>
      <c r="AN1631" s="89"/>
      <c r="AO1631" s="90"/>
      <c r="AP1631" s="90"/>
      <c r="AQ1631" s="90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</row>
    <row r="1632">
      <c r="A1632" s="95"/>
      <c r="B1632" s="96"/>
      <c r="C1632" s="95"/>
      <c r="D1632" s="97"/>
      <c r="E1632" s="98"/>
      <c r="F1632" s="85"/>
      <c r="G1632" s="13"/>
      <c r="H1632" s="13"/>
      <c r="I1632" s="13"/>
      <c r="J1632" s="13"/>
      <c r="K1632" s="13"/>
      <c r="L1632" s="85"/>
      <c r="M1632" s="85"/>
      <c r="N1632" s="85"/>
      <c r="O1632" s="85"/>
      <c r="P1632" s="13"/>
      <c r="Q1632" s="13"/>
      <c r="R1632" s="13"/>
      <c r="S1632" s="85"/>
      <c r="T1632" s="85"/>
      <c r="U1632" s="85"/>
      <c r="V1632" s="86"/>
      <c r="W1632" s="87"/>
      <c r="X1632" s="87"/>
      <c r="Y1632" s="85"/>
      <c r="Z1632" s="85"/>
      <c r="AA1632" s="87"/>
      <c r="AB1632" s="85"/>
      <c r="AC1632" s="85"/>
      <c r="AD1632" s="85"/>
      <c r="AE1632" s="85"/>
      <c r="AF1632" s="85"/>
      <c r="AG1632" s="85"/>
      <c r="AH1632" s="85"/>
      <c r="AI1632" s="85"/>
      <c r="AJ1632" s="85"/>
      <c r="AK1632" s="85"/>
      <c r="AL1632" s="85"/>
      <c r="AM1632" s="88"/>
      <c r="AN1632" s="89"/>
      <c r="AO1632" s="90"/>
      <c r="AP1632" s="90"/>
      <c r="AQ1632" s="90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</row>
    <row r="1633">
      <c r="A1633" s="95"/>
      <c r="B1633" s="96"/>
      <c r="C1633" s="95"/>
      <c r="D1633" s="97"/>
      <c r="E1633" s="98"/>
      <c r="F1633" s="85"/>
      <c r="G1633" s="13"/>
      <c r="H1633" s="13"/>
      <c r="I1633" s="13"/>
      <c r="J1633" s="13"/>
      <c r="K1633" s="13"/>
      <c r="L1633" s="85"/>
      <c r="M1633" s="85"/>
      <c r="N1633" s="85"/>
      <c r="O1633" s="85"/>
      <c r="P1633" s="13"/>
      <c r="Q1633" s="13"/>
      <c r="R1633" s="13"/>
      <c r="S1633" s="85"/>
      <c r="T1633" s="85"/>
      <c r="U1633" s="85"/>
      <c r="V1633" s="86"/>
      <c r="W1633" s="87"/>
      <c r="X1633" s="87"/>
      <c r="Y1633" s="85"/>
      <c r="Z1633" s="85"/>
      <c r="AA1633" s="87"/>
      <c r="AB1633" s="85"/>
      <c r="AC1633" s="85"/>
      <c r="AD1633" s="85"/>
      <c r="AE1633" s="85"/>
      <c r="AF1633" s="85"/>
      <c r="AG1633" s="85"/>
      <c r="AH1633" s="85"/>
      <c r="AI1633" s="85"/>
      <c r="AJ1633" s="85"/>
      <c r="AK1633" s="85"/>
      <c r="AL1633" s="85"/>
      <c r="AM1633" s="88"/>
      <c r="AN1633" s="89"/>
      <c r="AO1633" s="90"/>
      <c r="AP1633" s="90"/>
      <c r="AQ1633" s="90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</row>
    <row r="1634">
      <c r="A1634" s="95"/>
      <c r="B1634" s="96"/>
      <c r="C1634" s="95"/>
      <c r="D1634" s="97"/>
      <c r="E1634" s="98"/>
      <c r="F1634" s="85"/>
      <c r="G1634" s="13"/>
      <c r="H1634" s="13"/>
      <c r="I1634" s="13"/>
      <c r="J1634" s="13"/>
      <c r="K1634" s="13"/>
      <c r="L1634" s="85"/>
      <c r="M1634" s="85"/>
      <c r="N1634" s="85"/>
      <c r="O1634" s="85"/>
      <c r="P1634" s="13"/>
      <c r="Q1634" s="13"/>
      <c r="R1634" s="13"/>
      <c r="S1634" s="85"/>
      <c r="T1634" s="85"/>
      <c r="U1634" s="85"/>
      <c r="V1634" s="86"/>
      <c r="W1634" s="87"/>
      <c r="X1634" s="87"/>
      <c r="Y1634" s="85"/>
      <c r="Z1634" s="85"/>
      <c r="AA1634" s="87"/>
      <c r="AB1634" s="85"/>
      <c r="AC1634" s="85"/>
      <c r="AD1634" s="85"/>
      <c r="AE1634" s="85"/>
      <c r="AF1634" s="85"/>
      <c r="AG1634" s="85"/>
      <c r="AH1634" s="85"/>
      <c r="AI1634" s="85"/>
      <c r="AJ1634" s="85"/>
      <c r="AK1634" s="85"/>
      <c r="AL1634" s="85"/>
      <c r="AM1634" s="88"/>
      <c r="AN1634" s="89"/>
      <c r="AO1634" s="90"/>
      <c r="AP1634" s="90"/>
      <c r="AQ1634" s="90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</row>
    <row r="1635">
      <c r="A1635" s="95"/>
      <c r="B1635" s="96"/>
      <c r="C1635" s="95"/>
      <c r="D1635" s="97"/>
      <c r="E1635" s="98"/>
      <c r="F1635" s="85"/>
      <c r="G1635" s="13"/>
      <c r="H1635" s="13"/>
      <c r="I1635" s="13"/>
      <c r="J1635" s="13"/>
      <c r="K1635" s="13"/>
      <c r="L1635" s="85"/>
      <c r="M1635" s="85"/>
      <c r="N1635" s="85"/>
      <c r="O1635" s="85"/>
      <c r="P1635" s="13"/>
      <c r="Q1635" s="13"/>
      <c r="R1635" s="13"/>
      <c r="S1635" s="85"/>
      <c r="T1635" s="85"/>
      <c r="U1635" s="85"/>
      <c r="V1635" s="86"/>
      <c r="W1635" s="87"/>
      <c r="X1635" s="87"/>
      <c r="Y1635" s="85"/>
      <c r="Z1635" s="85"/>
      <c r="AA1635" s="87"/>
      <c r="AB1635" s="85"/>
      <c r="AC1635" s="85"/>
      <c r="AD1635" s="85"/>
      <c r="AE1635" s="85"/>
      <c r="AF1635" s="85"/>
      <c r="AG1635" s="85"/>
      <c r="AH1635" s="85"/>
      <c r="AI1635" s="85"/>
      <c r="AJ1635" s="85"/>
      <c r="AK1635" s="85"/>
      <c r="AL1635" s="85"/>
      <c r="AM1635" s="88"/>
      <c r="AN1635" s="89"/>
      <c r="AO1635" s="90"/>
      <c r="AP1635" s="90"/>
      <c r="AQ1635" s="90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</row>
    <row r="1636">
      <c r="A1636" s="95"/>
      <c r="B1636" s="96"/>
      <c r="C1636" s="95"/>
      <c r="D1636" s="97"/>
      <c r="E1636" s="98"/>
      <c r="F1636" s="85"/>
      <c r="G1636" s="13"/>
      <c r="H1636" s="13"/>
      <c r="I1636" s="13"/>
      <c r="J1636" s="13"/>
      <c r="K1636" s="13"/>
      <c r="L1636" s="85"/>
      <c r="M1636" s="85"/>
      <c r="N1636" s="85"/>
      <c r="O1636" s="85"/>
      <c r="P1636" s="13"/>
      <c r="Q1636" s="13"/>
      <c r="R1636" s="13"/>
      <c r="S1636" s="85"/>
      <c r="T1636" s="85"/>
      <c r="U1636" s="85"/>
      <c r="V1636" s="86"/>
      <c r="W1636" s="87"/>
      <c r="X1636" s="87"/>
      <c r="Y1636" s="85"/>
      <c r="Z1636" s="85"/>
      <c r="AA1636" s="87"/>
      <c r="AB1636" s="85"/>
      <c r="AC1636" s="85"/>
      <c r="AD1636" s="85"/>
      <c r="AE1636" s="85"/>
      <c r="AF1636" s="85"/>
      <c r="AG1636" s="85"/>
      <c r="AH1636" s="85"/>
      <c r="AI1636" s="85"/>
      <c r="AJ1636" s="85"/>
      <c r="AK1636" s="85"/>
      <c r="AL1636" s="85"/>
      <c r="AM1636" s="88"/>
      <c r="AN1636" s="89"/>
      <c r="AO1636" s="90"/>
      <c r="AP1636" s="90"/>
      <c r="AQ1636" s="90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3"/>
      <c r="BP1636" s="13"/>
      <c r="BQ1636" s="13"/>
    </row>
    <row r="1637">
      <c r="A1637" s="95"/>
      <c r="B1637" s="96"/>
      <c r="C1637" s="95"/>
      <c r="D1637" s="97"/>
      <c r="E1637" s="98"/>
      <c r="F1637" s="85"/>
      <c r="G1637" s="13"/>
      <c r="H1637" s="13"/>
      <c r="I1637" s="13"/>
      <c r="J1637" s="13"/>
      <c r="K1637" s="13"/>
      <c r="L1637" s="85"/>
      <c r="M1637" s="85"/>
      <c r="N1637" s="85"/>
      <c r="O1637" s="85"/>
      <c r="P1637" s="13"/>
      <c r="Q1637" s="13"/>
      <c r="R1637" s="13"/>
      <c r="S1637" s="85"/>
      <c r="T1637" s="85"/>
      <c r="U1637" s="85"/>
      <c r="V1637" s="86"/>
      <c r="W1637" s="87"/>
      <c r="X1637" s="87"/>
      <c r="Y1637" s="85"/>
      <c r="Z1637" s="85"/>
      <c r="AA1637" s="87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8"/>
      <c r="AN1637" s="89"/>
      <c r="AO1637" s="90"/>
      <c r="AP1637" s="90"/>
      <c r="AQ1637" s="90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</row>
    <row r="1638">
      <c r="A1638" s="95"/>
      <c r="B1638" s="96"/>
      <c r="C1638" s="95"/>
      <c r="D1638" s="97"/>
      <c r="E1638" s="98"/>
      <c r="F1638" s="85"/>
      <c r="G1638" s="13"/>
      <c r="H1638" s="13"/>
      <c r="I1638" s="13"/>
      <c r="J1638" s="13"/>
      <c r="K1638" s="13"/>
      <c r="L1638" s="85"/>
      <c r="M1638" s="85"/>
      <c r="N1638" s="85"/>
      <c r="O1638" s="85"/>
      <c r="P1638" s="13"/>
      <c r="Q1638" s="13"/>
      <c r="R1638" s="13"/>
      <c r="S1638" s="85"/>
      <c r="T1638" s="85"/>
      <c r="U1638" s="85"/>
      <c r="V1638" s="86"/>
      <c r="W1638" s="87"/>
      <c r="X1638" s="87"/>
      <c r="Y1638" s="85"/>
      <c r="Z1638" s="85"/>
      <c r="AA1638" s="87"/>
      <c r="AB1638" s="85"/>
      <c r="AC1638" s="85"/>
      <c r="AD1638" s="85"/>
      <c r="AE1638" s="85"/>
      <c r="AF1638" s="85"/>
      <c r="AG1638" s="85"/>
      <c r="AH1638" s="85"/>
      <c r="AI1638" s="85"/>
      <c r="AJ1638" s="85"/>
      <c r="AK1638" s="85"/>
      <c r="AL1638" s="85"/>
      <c r="AM1638" s="88"/>
      <c r="AN1638" s="89"/>
      <c r="AO1638" s="90"/>
      <c r="AP1638" s="90"/>
      <c r="AQ1638" s="90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</row>
    <row r="1639">
      <c r="A1639" s="95"/>
      <c r="B1639" s="96"/>
      <c r="C1639" s="95"/>
      <c r="D1639" s="97"/>
      <c r="E1639" s="98"/>
      <c r="F1639" s="85"/>
      <c r="G1639" s="13"/>
      <c r="H1639" s="13"/>
      <c r="I1639" s="13"/>
      <c r="J1639" s="13"/>
      <c r="K1639" s="13"/>
      <c r="L1639" s="85"/>
      <c r="M1639" s="85"/>
      <c r="N1639" s="85"/>
      <c r="O1639" s="85"/>
      <c r="P1639" s="13"/>
      <c r="Q1639" s="13"/>
      <c r="R1639" s="13"/>
      <c r="S1639" s="85"/>
      <c r="T1639" s="85"/>
      <c r="U1639" s="85"/>
      <c r="V1639" s="86"/>
      <c r="W1639" s="87"/>
      <c r="X1639" s="87"/>
      <c r="Y1639" s="85"/>
      <c r="Z1639" s="85"/>
      <c r="AA1639" s="87"/>
      <c r="AB1639" s="85"/>
      <c r="AC1639" s="85"/>
      <c r="AD1639" s="85"/>
      <c r="AE1639" s="85"/>
      <c r="AF1639" s="85"/>
      <c r="AG1639" s="85"/>
      <c r="AH1639" s="85"/>
      <c r="AI1639" s="85"/>
      <c r="AJ1639" s="85"/>
      <c r="AK1639" s="85"/>
      <c r="AL1639" s="85"/>
      <c r="AM1639" s="88"/>
      <c r="AN1639" s="89"/>
      <c r="AO1639" s="90"/>
      <c r="AP1639" s="90"/>
      <c r="AQ1639" s="90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</row>
    <row r="1640">
      <c r="A1640" s="95"/>
      <c r="B1640" s="96"/>
      <c r="C1640" s="95"/>
      <c r="D1640" s="97"/>
      <c r="E1640" s="98"/>
      <c r="F1640" s="85"/>
      <c r="G1640" s="13"/>
      <c r="H1640" s="13"/>
      <c r="I1640" s="13"/>
      <c r="J1640" s="13"/>
      <c r="K1640" s="13"/>
      <c r="L1640" s="85"/>
      <c r="M1640" s="85"/>
      <c r="N1640" s="85"/>
      <c r="O1640" s="85"/>
      <c r="P1640" s="13"/>
      <c r="Q1640" s="13"/>
      <c r="R1640" s="13"/>
      <c r="S1640" s="85"/>
      <c r="T1640" s="85"/>
      <c r="U1640" s="85"/>
      <c r="V1640" s="86"/>
      <c r="W1640" s="87"/>
      <c r="X1640" s="87"/>
      <c r="Y1640" s="85"/>
      <c r="Z1640" s="85"/>
      <c r="AA1640" s="87"/>
      <c r="AB1640" s="85"/>
      <c r="AC1640" s="85"/>
      <c r="AD1640" s="85"/>
      <c r="AE1640" s="85"/>
      <c r="AF1640" s="85"/>
      <c r="AG1640" s="85"/>
      <c r="AH1640" s="85"/>
      <c r="AI1640" s="85"/>
      <c r="AJ1640" s="85"/>
      <c r="AK1640" s="85"/>
      <c r="AL1640" s="85"/>
      <c r="AM1640" s="88"/>
      <c r="AN1640" s="89"/>
      <c r="AO1640" s="90"/>
      <c r="AP1640" s="90"/>
      <c r="AQ1640" s="90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</row>
    <row r="1641">
      <c r="A1641" s="95"/>
      <c r="B1641" s="96"/>
      <c r="C1641" s="95"/>
      <c r="D1641" s="97"/>
      <c r="E1641" s="98"/>
      <c r="F1641" s="85"/>
      <c r="G1641" s="13"/>
      <c r="H1641" s="13"/>
      <c r="I1641" s="13"/>
      <c r="J1641" s="13"/>
      <c r="K1641" s="13"/>
      <c r="L1641" s="85"/>
      <c r="M1641" s="85"/>
      <c r="N1641" s="85"/>
      <c r="O1641" s="85"/>
      <c r="P1641" s="13"/>
      <c r="Q1641" s="13"/>
      <c r="R1641" s="13"/>
      <c r="S1641" s="85"/>
      <c r="T1641" s="85"/>
      <c r="U1641" s="85"/>
      <c r="V1641" s="86"/>
      <c r="W1641" s="87"/>
      <c r="X1641" s="87"/>
      <c r="Y1641" s="85"/>
      <c r="Z1641" s="85"/>
      <c r="AA1641" s="87"/>
      <c r="AB1641" s="85"/>
      <c r="AC1641" s="85"/>
      <c r="AD1641" s="85"/>
      <c r="AE1641" s="85"/>
      <c r="AF1641" s="85"/>
      <c r="AG1641" s="85"/>
      <c r="AH1641" s="85"/>
      <c r="AI1641" s="85"/>
      <c r="AJ1641" s="85"/>
      <c r="AK1641" s="85"/>
      <c r="AL1641" s="85"/>
      <c r="AM1641" s="88"/>
      <c r="AN1641" s="89"/>
      <c r="AO1641" s="90"/>
      <c r="AP1641" s="90"/>
      <c r="AQ1641" s="90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</row>
    <row r="1642">
      <c r="A1642" s="95"/>
      <c r="B1642" s="96"/>
      <c r="C1642" s="95"/>
      <c r="D1642" s="97"/>
      <c r="E1642" s="98"/>
      <c r="F1642" s="85"/>
      <c r="G1642" s="13"/>
      <c r="H1642" s="13"/>
      <c r="I1642" s="13"/>
      <c r="J1642" s="13"/>
      <c r="K1642" s="13"/>
      <c r="L1642" s="85"/>
      <c r="M1642" s="85"/>
      <c r="N1642" s="85"/>
      <c r="O1642" s="85"/>
      <c r="P1642" s="13"/>
      <c r="Q1642" s="13"/>
      <c r="R1642" s="13"/>
      <c r="S1642" s="85"/>
      <c r="T1642" s="85"/>
      <c r="U1642" s="85"/>
      <c r="V1642" s="86"/>
      <c r="W1642" s="87"/>
      <c r="X1642" s="87"/>
      <c r="Y1642" s="85"/>
      <c r="Z1642" s="85"/>
      <c r="AA1642" s="87"/>
      <c r="AB1642" s="85"/>
      <c r="AC1642" s="85"/>
      <c r="AD1642" s="85"/>
      <c r="AE1642" s="85"/>
      <c r="AF1642" s="85"/>
      <c r="AG1642" s="85"/>
      <c r="AH1642" s="85"/>
      <c r="AI1642" s="85"/>
      <c r="AJ1642" s="85"/>
      <c r="AK1642" s="85"/>
      <c r="AL1642" s="85"/>
      <c r="AM1642" s="88"/>
      <c r="AN1642" s="89"/>
      <c r="AO1642" s="90"/>
      <c r="AP1642" s="90"/>
      <c r="AQ1642" s="90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3"/>
      <c r="BP1642" s="13"/>
      <c r="BQ1642" s="13"/>
    </row>
    <row r="1643">
      <c r="A1643" s="95"/>
      <c r="B1643" s="96"/>
      <c r="C1643" s="95"/>
      <c r="D1643" s="97"/>
      <c r="E1643" s="98"/>
      <c r="F1643" s="85"/>
      <c r="G1643" s="13"/>
      <c r="H1643" s="13"/>
      <c r="I1643" s="13"/>
      <c r="J1643" s="13"/>
      <c r="K1643" s="13"/>
      <c r="L1643" s="85"/>
      <c r="M1643" s="85"/>
      <c r="N1643" s="85"/>
      <c r="O1643" s="85"/>
      <c r="P1643" s="13"/>
      <c r="Q1643" s="13"/>
      <c r="R1643" s="13"/>
      <c r="S1643" s="85"/>
      <c r="T1643" s="85"/>
      <c r="U1643" s="85"/>
      <c r="V1643" s="86"/>
      <c r="W1643" s="87"/>
      <c r="X1643" s="87"/>
      <c r="Y1643" s="85"/>
      <c r="Z1643" s="85"/>
      <c r="AA1643" s="87"/>
      <c r="AB1643" s="85"/>
      <c r="AC1643" s="85"/>
      <c r="AD1643" s="85"/>
      <c r="AE1643" s="85"/>
      <c r="AF1643" s="85"/>
      <c r="AG1643" s="85"/>
      <c r="AH1643" s="85"/>
      <c r="AI1643" s="85"/>
      <c r="AJ1643" s="85"/>
      <c r="AK1643" s="85"/>
      <c r="AL1643" s="85"/>
      <c r="AM1643" s="88"/>
      <c r="AN1643" s="89"/>
      <c r="AO1643" s="90"/>
      <c r="AP1643" s="90"/>
      <c r="AQ1643" s="90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</row>
    <row r="1644">
      <c r="A1644" s="95"/>
      <c r="B1644" s="96"/>
      <c r="C1644" s="95"/>
      <c r="D1644" s="97"/>
      <c r="E1644" s="98"/>
      <c r="F1644" s="85"/>
      <c r="G1644" s="13"/>
      <c r="H1644" s="13"/>
      <c r="I1644" s="13"/>
      <c r="J1644" s="13"/>
      <c r="K1644" s="13"/>
      <c r="L1644" s="85"/>
      <c r="M1644" s="85"/>
      <c r="N1644" s="85"/>
      <c r="O1644" s="85"/>
      <c r="P1644" s="13"/>
      <c r="Q1644" s="13"/>
      <c r="R1644" s="13"/>
      <c r="S1644" s="85"/>
      <c r="T1644" s="85"/>
      <c r="U1644" s="85"/>
      <c r="V1644" s="86"/>
      <c r="W1644" s="87"/>
      <c r="X1644" s="87"/>
      <c r="Y1644" s="85"/>
      <c r="Z1644" s="85"/>
      <c r="AA1644" s="87"/>
      <c r="AB1644" s="85"/>
      <c r="AC1644" s="85"/>
      <c r="AD1644" s="85"/>
      <c r="AE1644" s="85"/>
      <c r="AF1644" s="85"/>
      <c r="AG1644" s="85"/>
      <c r="AH1644" s="85"/>
      <c r="AI1644" s="85"/>
      <c r="AJ1644" s="85"/>
      <c r="AK1644" s="85"/>
      <c r="AL1644" s="85"/>
      <c r="AM1644" s="88"/>
      <c r="AN1644" s="89"/>
      <c r="AO1644" s="90"/>
      <c r="AP1644" s="90"/>
      <c r="AQ1644" s="90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</row>
    <row r="1645">
      <c r="A1645" s="95"/>
      <c r="B1645" s="96"/>
      <c r="C1645" s="95"/>
      <c r="D1645" s="97"/>
      <c r="E1645" s="98"/>
      <c r="F1645" s="85"/>
      <c r="G1645" s="13"/>
      <c r="H1645" s="13"/>
      <c r="I1645" s="13"/>
      <c r="J1645" s="13"/>
      <c r="K1645" s="13"/>
      <c r="L1645" s="85"/>
      <c r="M1645" s="85"/>
      <c r="N1645" s="85"/>
      <c r="O1645" s="85"/>
      <c r="P1645" s="13"/>
      <c r="Q1645" s="13"/>
      <c r="R1645" s="13"/>
      <c r="S1645" s="85"/>
      <c r="T1645" s="85"/>
      <c r="U1645" s="85"/>
      <c r="V1645" s="86"/>
      <c r="W1645" s="87"/>
      <c r="X1645" s="87"/>
      <c r="Y1645" s="85"/>
      <c r="Z1645" s="85"/>
      <c r="AA1645" s="87"/>
      <c r="AB1645" s="85"/>
      <c r="AC1645" s="85"/>
      <c r="AD1645" s="85"/>
      <c r="AE1645" s="85"/>
      <c r="AF1645" s="85"/>
      <c r="AG1645" s="85"/>
      <c r="AH1645" s="85"/>
      <c r="AI1645" s="85"/>
      <c r="AJ1645" s="85"/>
      <c r="AK1645" s="85"/>
      <c r="AL1645" s="85"/>
      <c r="AM1645" s="88"/>
      <c r="AN1645" s="89"/>
      <c r="AO1645" s="90"/>
      <c r="AP1645" s="90"/>
      <c r="AQ1645" s="90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</row>
    <row r="1646">
      <c r="A1646" s="95"/>
      <c r="B1646" s="96"/>
      <c r="C1646" s="95"/>
      <c r="D1646" s="97"/>
      <c r="E1646" s="98"/>
      <c r="F1646" s="85"/>
      <c r="G1646" s="13"/>
      <c r="H1646" s="13"/>
      <c r="I1646" s="13"/>
      <c r="J1646" s="13"/>
      <c r="K1646" s="13"/>
      <c r="L1646" s="85"/>
      <c r="M1646" s="85"/>
      <c r="N1646" s="85"/>
      <c r="O1646" s="85"/>
      <c r="P1646" s="13"/>
      <c r="Q1646" s="13"/>
      <c r="R1646" s="13"/>
      <c r="S1646" s="85"/>
      <c r="T1646" s="85"/>
      <c r="U1646" s="85"/>
      <c r="V1646" s="86"/>
      <c r="W1646" s="87"/>
      <c r="X1646" s="87"/>
      <c r="Y1646" s="85"/>
      <c r="Z1646" s="85"/>
      <c r="AA1646" s="87"/>
      <c r="AB1646" s="85"/>
      <c r="AC1646" s="85"/>
      <c r="AD1646" s="85"/>
      <c r="AE1646" s="85"/>
      <c r="AF1646" s="85"/>
      <c r="AG1646" s="85"/>
      <c r="AH1646" s="85"/>
      <c r="AI1646" s="85"/>
      <c r="AJ1646" s="85"/>
      <c r="AK1646" s="85"/>
      <c r="AL1646" s="85"/>
      <c r="AM1646" s="88"/>
      <c r="AN1646" s="89"/>
      <c r="AO1646" s="90"/>
      <c r="AP1646" s="90"/>
      <c r="AQ1646" s="90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</row>
    <row r="1647">
      <c r="A1647" s="95"/>
      <c r="B1647" s="96"/>
      <c r="C1647" s="95"/>
      <c r="D1647" s="97"/>
      <c r="E1647" s="98"/>
      <c r="F1647" s="85"/>
      <c r="G1647" s="13"/>
      <c r="H1647" s="13"/>
      <c r="I1647" s="13"/>
      <c r="J1647" s="13"/>
      <c r="K1647" s="13"/>
      <c r="L1647" s="85"/>
      <c r="M1647" s="85"/>
      <c r="N1647" s="85"/>
      <c r="O1647" s="85"/>
      <c r="P1647" s="13"/>
      <c r="Q1647" s="13"/>
      <c r="R1647" s="13"/>
      <c r="S1647" s="85"/>
      <c r="T1647" s="85"/>
      <c r="U1647" s="85"/>
      <c r="V1647" s="86"/>
      <c r="W1647" s="87"/>
      <c r="X1647" s="87"/>
      <c r="Y1647" s="85"/>
      <c r="Z1647" s="85"/>
      <c r="AA1647" s="87"/>
      <c r="AB1647" s="85"/>
      <c r="AC1647" s="85"/>
      <c r="AD1647" s="85"/>
      <c r="AE1647" s="85"/>
      <c r="AF1647" s="85"/>
      <c r="AG1647" s="85"/>
      <c r="AH1647" s="85"/>
      <c r="AI1647" s="85"/>
      <c r="AJ1647" s="85"/>
      <c r="AK1647" s="85"/>
      <c r="AL1647" s="85"/>
      <c r="AM1647" s="88"/>
      <c r="AN1647" s="89"/>
      <c r="AO1647" s="90"/>
      <c r="AP1647" s="90"/>
      <c r="AQ1647" s="90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</row>
    <row r="1648">
      <c r="A1648" s="95"/>
      <c r="B1648" s="96"/>
      <c r="C1648" s="95"/>
      <c r="D1648" s="97"/>
      <c r="E1648" s="98"/>
      <c r="F1648" s="85"/>
      <c r="G1648" s="13"/>
      <c r="H1648" s="13"/>
      <c r="I1648" s="13"/>
      <c r="J1648" s="13"/>
      <c r="K1648" s="13"/>
      <c r="L1648" s="85"/>
      <c r="M1648" s="85"/>
      <c r="N1648" s="85"/>
      <c r="O1648" s="85"/>
      <c r="P1648" s="13"/>
      <c r="Q1648" s="13"/>
      <c r="R1648" s="13"/>
      <c r="S1648" s="85"/>
      <c r="T1648" s="85"/>
      <c r="U1648" s="85"/>
      <c r="V1648" s="86"/>
      <c r="W1648" s="87"/>
      <c r="X1648" s="87"/>
      <c r="Y1648" s="85"/>
      <c r="Z1648" s="85"/>
      <c r="AA1648" s="87"/>
      <c r="AB1648" s="85"/>
      <c r="AC1648" s="85"/>
      <c r="AD1648" s="85"/>
      <c r="AE1648" s="85"/>
      <c r="AF1648" s="85"/>
      <c r="AG1648" s="85"/>
      <c r="AH1648" s="85"/>
      <c r="AI1648" s="85"/>
      <c r="AJ1648" s="85"/>
      <c r="AK1648" s="85"/>
      <c r="AL1648" s="85"/>
      <c r="AM1648" s="88"/>
      <c r="AN1648" s="89"/>
      <c r="AO1648" s="90"/>
      <c r="AP1648" s="90"/>
      <c r="AQ1648" s="90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</row>
    <row r="1649">
      <c r="A1649" s="95"/>
      <c r="B1649" s="96"/>
      <c r="C1649" s="95"/>
      <c r="D1649" s="97"/>
      <c r="E1649" s="98"/>
      <c r="F1649" s="85"/>
      <c r="G1649" s="13"/>
      <c r="H1649" s="13"/>
      <c r="I1649" s="13"/>
      <c r="J1649" s="13"/>
      <c r="K1649" s="13"/>
      <c r="L1649" s="85"/>
      <c r="M1649" s="85"/>
      <c r="N1649" s="85"/>
      <c r="O1649" s="85"/>
      <c r="P1649" s="13"/>
      <c r="Q1649" s="13"/>
      <c r="R1649" s="13"/>
      <c r="S1649" s="85"/>
      <c r="T1649" s="85"/>
      <c r="U1649" s="85"/>
      <c r="V1649" s="86"/>
      <c r="W1649" s="87"/>
      <c r="X1649" s="87"/>
      <c r="Y1649" s="85"/>
      <c r="Z1649" s="85"/>
      <c r="AA1649" s="87"/>
      <c r="AB1649" s="85"/>
      <c r="AC1649" s="85"/>
      <c r="AD1649" s="85"/>
      <c r="AE1649" s="85"/>
      <c r="AF1649" s="85"/>
      <c r="AG1649" s="85"/>
      <c r="AH1649" s="85"/>
      <c r="AI1649" s="85"/>
      <c r="AJ1649" s="85"/>
      <c r="AK1649" s="85"/>
      <c r="AL1649" s="85"/>
      <c r="AM1649" s="88"/>
      <c r="AN1649" s="89"/>
      <c r="AO1649" s="90"/>
      <c r="AP1649" s="90"/>
      <c r="AQ1649" s="90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</row>
    <row r="1650">
      <c r="A1650" s="95"/>
      <c r="B1650" s="96"/>
      <c r="C1650" s="95"/>
      <c r="D1650" s="97"/>
      <c r="E1650" s="98"/>
      <c r="F1650" s="85"/>
      <c r="G1650" s="13"/>
      <c r="H1650" s="13"/>
      <c r="I1650" s="13"/>
      <c r="J1650" s="13"/>
      <c r="K1650" s="13"/>
      <c r="L1650" s="85"/>
      <c r="M1650" s="85"/>
      <c r="N1650" s="85"/>
      <c r="O1650" s="85"/>
      <c r="P1650" s="13"/>
      <c r="Q1650" s="13"/>
      <c r="R1650" s="13"/>
      <c r="S1650" s="85"/>
      <c r="T1650" s="85"/>
      <c r="U1650" s="85"/>
      <c r="V1650" s="86"/>
      <c r="W1650" s="87"/>
      <c r="X1650" s="87"/>
      <c r="Y1650" s="85"/>
      <c r="Z1650" s="85"/>
      <c r="AA1650" s="87"/>
      <c r="AB1650" s="85"/>
      <c r="AC1650" s="85"/>
      <c r="AD1650" s="85"/>
      <c r="AE1650" s="85"/>
      <c r="AF1650" s="85"/>
      <c r="AG1650" s="85"/>
      <c r="AH1650" s="85"/>
      <c r="AI1650" s="85"/>
      <c r="AJ1650" s="85"/>
      <c r="AK1650" s="85"/>
      <c r="AL1650" s="85"/>
      <c r="AM1650" s="88"/>
      <c r="AN1650" s="89"/>
      <c r="AO1650" s="90"/>
      <c r="AP1650" s="90"/>
      <c r="AQ1650" s="90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3"/>
      <c r="BP1650" s="13"/>
      <c r="BQ1650" s="13"/>
    </row>
    <row r="1651">
      <c r="A1651" s="95"/>
      <c r="B1651" s="96"/>
      <c r="C1651" s="95"/>
      <c r="D1651" s="97"/>
      <c r="E1651" s="98"/>
      <c r="F1651" s="85"/>
      <c r="G1651" s="13"/>
      <c r="H1651" s="13"/>
      <c r="I1651" s="13"/>
      <c r="J1651" s="13"/>
      <c r="K1651" s="13"/>
      <c r="L1651" s="85"/>
      <c r="M1651" s="85"/>
      <c r="N1651" s="85"/>
      <c r="O1651" s="85"/>
      <c r="P1651" s="13"/>
      <c r="Q1651" s="13"/>
      <c r="R1651" s="13"/>
      <c r="S1651" s="85"/>
      <c r="T1651" s="85"/>
      <c r="U1651" s="85"/>
      <c r="V1651" s="86"/>
      <c r="W1651" s="87"/>
      <c r="X1651" s="87"/>
      <c r="Y1651" s="85"/>
      <c r="Z1651" s="85"/>
      <c r="AA1651" s="87"/>
      <c r="AB1651" s="85"/>
      <c r="AC1651" s="85"/>
      <c r="AD1651" s="85"/>
      <c r="AE1651" s="85"/>
      <c r="AF1651" s="85"/>
      <c r="AG1651" s="85"/>
      <c r="AH1651" s="85"/>
      <c r="AI1651" s="85"/>
      <c r="AJ1651" s="85"/>
      <c r="AK1651" s="85"/>
      <c r="AL1651" s="85"/>
      <c r="AM1651" s="88"/>
      <c r="AN1651" s="89"/>
      <c r="AO1651" s="90"/>
      <c r="AP1651" s="90"/>
      <c r="AQ1651" s="90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</row>
    <row r="1652">
      <c r="A1652" s="95"/>
      <c r="B1652" s="96"/>
      <c r="C1652" s="95"/>
      <c r="D1652" s="97"/>
      <c r="E1652" s="98"/>
      <c r="F1652" s="85"/>
      <c r="G1652" s="13"/>
      <c r="H1652" s="13"/>
      <c r="I1652" s="13"/>
      <c r="J1652" s="13"/>
      <c r="K1652" s="13"/>
      <c r="L1652" s="85"/>
      <c r="M1652" s="85"/>
      <c r="N1652" s="85"/>
      <c r="O1652" s="85"/>
      <c r="P1652" s="13"/>
      <c r="Q1652" s="13"/>
      <c r="R1652" s="13"/>
      <c r="S1652" s="85"/>
      <c r="T1652" s="85"/>
      <c r="U1652" s="85"/>
      <c r="V1652" s="86"/>
      <c r="W1652" s="87"/>
      <c r="X1652" s="87"/>
      <c r="Y1652" s="85"/>
      <c r="Z1652" s="85"/>
      <c r="AA1652" s="87"/>
      <c r="AB1652" s="85"/>
      <c r="AC1652" s="85"/>
      <c r="AD1652" s="85"/>
      <c r="AE1652" s="85"/>
      <c r="AF1652" s="85"/>
      <c r="AG1652" s="85"/>
      <c r="AH1652" s="85"/>
      <c r="AI1652" s="85"/>
      <c r="AJ1652" s="85"/>
      <c r="AK1652" s="85"/>
      <c r="AL1652" s="85"/>
      <c r="AM1652" s="88"/>
      <c r="AN1652" s="89"/>
      <c r="AO1652" s="90"/>
      <c r="AP1652" s="90"/>
      <c r="AQ1652" s="90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</row>
    <row r="1653">
      <c r="A1653" s="95"/>
      <c r="B1653" s="96"/>
      <c r="C1653" s="95"/>
      <c r="D1653" s="97"/>
      <c r="E1653" s="98"/>
      <c r="F1653" s="85"/>
      <c r="G1653" s="13"/>
      <c r="H1653" s="13"/>
      <c r="I1653" s="13"/>
      <c r="J1653" s="13"/>
      <c r="K1653" s="13"/>
      <c r="L1653" s="85"/>
      <c r="M1653" s="85"/>
      <c r="N1653" s="85"/>
      <c r="O1653" s="85"/>
      <c r="P1653" s="13"/>
      <c r="Q1653" s="13"/>
      <c r="R1653" s="13"/>
      <c r="S1653" s="85"/>
      <c r="T1653" s="85"/>
      <c r="U1653" s="85"/>
      <c r="V1653" s="86"/>
      <c r="W1653" s="87"/>
      <c r="X1653" s="87"/>
      <c r="Y1653" s="85"/>
      <c r="Z1653" s="85"/>
      <c r="AA1653" s="87"/>
      <c r="AB1653" s="85"/>
      <c r="AC1653" s="85"/>
      <c r="AD1653" s="85"/>
      <c r="AE1653" s="85"/>
      <c r="AF1653" s="85"/>
      <c r="AG1653" s="85"/>
      <c r="AH1653" s="85"/>
      <c r="AI1653" s="85"/>
      <c r="AJ1653" s="85"/>
      <c r="AK1653" s="85"/>
      <c r="AL1653" s="85"/>
      <c r="AM1653" s="88"/>
      <c r="AN1653" s="89"/>
      <c r="AO1653" s="90"/>
      <c r="AP1653" s="90"/>
      <c r="AQ1653" s="90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</row>
    <row r="1654">
      <c r="A1654" s="95"/>
      <c r="B1654" s="96"/>
      <c r="C1654" s="95"/>
      <c r="D1654" s="97"/>
      <c r="E1654" s="98"/>
      <c r="F1654" s="85"/>
      <c r="G1654" s="13"/>
      <c r="H1654" s="13"/>
      <c r="I1654" s="13"/>
      <c r="J1654" s="13"/>
      <c r="K1654" s="13"/>
      <c r="L1654" s="85"/>
      <c r="M1654" s="85"/>
      <c r="N1654" s="85"/>
      <c r="O1654" s="85"/>
      <c r="P1654" s="13"/>
      <c r="Q1654" s="13"/>
      <c r="R1654" s="13"/>
      <c r="S1654" s="85"/>
      <c r="T1654" s="85"/>
      <c r="U1654" s="85"/>
      <c r="V1654" s="86"/>
      <c r="W1654" s="87"/>
      <c r="X1654" s="87"/>
      <c r="Y1654" s="85"/>
      <c r="Z1654" s="85"/>
      <c r="AA1654" s="87"/>
      <c r="AB1654" s="85"/>
      <c r="AC1654" s="85"/>
      <c r="AD1654" s="85"/>
      <c r="AE1654" s="85"/>
      <c r="AF1654" s="85"/>
      <c r="AG1654" s="85"/>
      <c r="AH1654" s="85"/>
      <c r="AI1654" s="85"/>
      <c r="AJ1654" s="85"/>
      <c r="AK1654" s="85"/>
      <c r="AL1654" s="85"/>
      <c r="AM1654" s="88"/>
      <c r="AN1654" s="89"/>
      <c r="AO1654" s="90"/>
      <c r="AP1654" s="90"/>
      <c r="AQ1654" s="90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</row>
    <row r="1655">
      <c r="A1655" s="95"/>
      <c r="B1655" s="96"/>
      <c r="C1655" s="95"/>
      <c r="D1655" s="97"/>
      <c r="E1655" s="98"/>
      <c r="F1655" s="85"/>
      <c r="G1655" s="13"/>
      <c r="H1655" s="13"/>
      <c r="I1655" s="13"/>
      <c r="J1655" s="13"/>
      <c r="K1655" s="13"/>
      <c r="L1655" s="85"/>
      <c r="M1655" s="85"/>
      <c r="N1655" s="85"/>
      <c r="O1655" s="85"/>
      <c r="P1655" s="13"/>
      <c r="Q1655" s="13"/>
      <c r="R1655" s="13"/>
      <c r="S1655" s="85"/>
      <c r="T1655" s="85"/>
      <c r="U1655" s="85"/>
      <c r="V1655" s="86"/>
      <c r="W1655" s="87"/>
      <c r="X1655" s="87"/>
      <c r="Y1655" s="85"/>
      <c r="Z1655" s="85"/>
      <c r="AA1655" s="87"/>
      <c r="AB1655" s="85"/>
      <c r="AC1655" s="85"/>
      <c r="AD1655" s="85"/>
      <c r="AE1655" s="85"/>
      <c r="AF1655" s="85"/>
      <c r="AG1655" s="85"/>
      <c r="AH1655" s="85"/>
      <c r="AI1655" s="85"/>
      <c r="AJ1655" s="85"/>
      <c r="AK1655" s="85"/>
      <c r="AL1655" s="85"/>
      <c r="AM1655" s="88"/>
      <c r="AN1655" s="89"/>
      <c r="AO1655" s="90"/>
      <c r="AP1655" s="90"/>
      <c r="AQ1655" s="90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</row>
    <row r="1656">
      <c r="A1656" s="95"/>
      <c r="B1656" s="96"/>
      <c r="C1656" s="95"/>
      <c r="D1656" s="97"/>
      <c r="E1656" s="98"/>
      <c r="F1656" s="85"/>
      <c r="G1656" s="13"/>
      <c r="H1656" s="13"/>
      <c r="I1656" s="13"/>
      <c r="J1656" s="13"/>
      <c r="K1656" s="13"/>
      <c r="L1656" s="85"/>
      <c r="M1656" s="85"/>
      <c r="N1656" s="85"/>
      <c r="O1656" s="85"/>
      <c r="P1656" s="13"/>
      <c r="Q1656" s="13"/>
      <c r="R1656" s="13"/>
      <c r="S1656" s="85"/>
      <c r="T1656" s="85"/>
      <c r="U1656" s="85"/>
      <c r="V1656" s="86"/>
      <c r="W1656" s="87"/>
      <c r="X1656" s="87"/>
      <c r="Y1656" s="85"/>
      <c r="Z1656" s="85"/>
      <c r="AA1656" s="87"/>
      <c r="AB1656" s="85"/>
      <c r="AC1656" s="85"/>
      <c r="AD1656" s="85"/>
      <c r="AE1656" s="85"/>
      <c r="AF1656" s="85"/>
      <c r="AG1656" s="85"/>
      <c r="AH1656" s="85"/>
      <c r="AI1656" s="85"/>
      <c r="AJ1656" s="85"/>
      <c r="AK1656" s="85"/>
      <c r="AL1656" s="85"/>
      <c r="AM1656" s="88"/>
      <c r="AN1656" s="89"/>
      <c r="AO1656" s="90"/>
      <c r="AP1656" s="90"/>
      <c r="AQ1656" s="90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</row>
    <row r="1657">
      <c r="A1657" s="95"/>
      <c r="B1657" s="96"/>
      <c r="C1657" s="95"/>
      <c r="D1657" s="97"/>
      <c r="E1657" s="98"/>
      <c r="F1657" s="85"/>
      <c r="G1657" s="13"/>
      <c r="H1657" s="13"/>
      <c r="I1657" s="13"/>
      <c r="J1657" s="13"/>
      <c r="K1657" s="13"/>
      <c r="L1657" s="85"/>
      <c r="M1657" s="85"/>
      <c r="N1657" s="85"/>
      <c r="O1657" s="85"/>
      <c r="P1657" s="13"/>
      <c r="Q1657" s="13"/>
      <c r="R1657" s="13"/>
      <c r="S1657" s="85"/>
      <c r="T1657" s="85"/>
      <c r="U1657" s="85"/>
      <c r="V1657" s="86"/>
      <c r="W1657" s="87"/>
      <c r="X1657" s="87"/>
      <c r="Y1657" s="85"/>
      <c r="Z1657" s="85"/>
      <c r="AA1657" s="87"/>
      <c r="AB1657" s="85"/>
      <c r="AC1657" s="85"/>
      <c r="AD1657" s="85"/>
      <c r="AE1657" s="85"/>
      <c r="AF1657" s="85"/>
      <c r="AG1657" s="85"/>
      <c r="AH1657" s="85"/>
      <c r="AI1657" s="85"/>
      <c r="AJ1657" s="85"/>
      <c r="AK1657" s="85"/>
      <c r="AL1657" s="85"/>
      <c r="AM1657" s="88"/>
      <c r="AN1657" s="89"/>
      <c r="AO1657" s="90"/>
      <c r="AP1657" s="90"/>
      <c r="AQ1657" s="90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/>
    </row>
    <row r="1658">
      <c r="A1658" s="95"/>
      <c r="B1658" s="96"/>
      <c r="C1658" s="95"/>
      <c r="D1658" s="97"/>
      <c r="E1658" s="98"/>
      <c r="F1658" s="85"/>
      <c r="G1658" s="13"/>
      <c r="H1658" s="13"/>
      <c r="I1658" s="13"/>
      <c r="J1658" s="13"/>
      <c r="K1658" s="13"/>
      <c r="L1658" s="85"/>
      <c r="M1658" s="85"/>
      <c r="N1658" s="85"/>
      <c r="O1658" s="85"/>
      <c r="P1658" s="13"/>
      <c r="Q1658" s="13"/>
      <c r="R1658" s="13"/>
      <c r="S1658" s="85"/>
      <c r="T1658" s="85"/>
      <c r="U1658" s="85"/>
      <c r="V1658" s="86"/>
      <c r="W1658" s="87"/>
      <c r="X1658" s="87"/>
      <c r="Y1658" s="85"/>
      <c r="Z1658" s="85"/>
      <c r="AA1658" s="87"/>
      <c r="AB1658" s="85"/>
      <c r="AC1658" s="85"/>
      <c r="AD1658" s="85"/>
      <c r="AE1658" s="85"/>
      <c r="AF1658" s="85"/>
      <c r="AG1658" s="85"/>
      <c r="AH1658" s="85"/>
      <c r="AI1658" s="85"/>
      <c r="AJ1658" s="85"/>
      <c r="AK1658" s="85"/>
      <c r="AL1658" s="85"/>
      <c r="AM1658" s="88"/>
      <c r="AN1658" s="89"/>
      <c r="AO1658" s="90"/>
      <c r="AP1658" s="90"/>
      <c r="AQ1658" s="90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</row>
    <row r="1659">
      <c r="A1659" s="95"/>
      <c r="B1659" s="96"/>
      <c r="C1659" s="95"/>
      <c r="D1659" s="97"/>
      <c r="E1659" s="98"/>
      <c r="F1659" s="85"/>
      <c r="G1659" s="13"/>
      <c r="H1659" s="13"/>
      <c r="I1659" s="13"/>
      <c r="J1659" s="13"/>
      <c r="K1659" s="13"/>
      <c r="L1659" s="85"/>
      <c r="M1659" s="85"/>
      <c r="N1659" s="85"/>
      <c r="O1659" s="85"/>
      <c r="P1659" s="13"/>
      <c r="Q1659" s="13"/>
      <c r="R1659" s="13"/>
      <c r="S1659" s="85"/>
      <c r="T1659" s="85"/>
      <c r="U1659" s="85"/>
      <c r="V1659" s="86"/>
      <c r="W1659" s="87"/>
      <c r="X1659" s="87"/>
      <c r="Y1659" s="85"/>
      <c r="Z1659" s="85"/>
      <c r="AA1659" s="87"/>
      <c r="AB1659" s="85"/>
      <c r="AC1659" s="85"/>
      <c r="AD1659" s="85"/>
      <c r="AE1659" s="85"/>
      <c r="AF1659" s="85"/>
      <c r="AG1659" s="85"/>
      <c r="AH1659" s="85"/>
      <c r="AI1659" s="85"/>
      <c r="AJ1659" s="85"/>
      <c r="AK1659" s="85"/>
      <c r="AL1659" s="85"/>
      <c r="AM1659" s="88"/>
      <c r="AN1659" s="89"/>
      <c r="AO1659" s="90"/>
      <c r="AP1659" s="90"/>
      <c r="AQ1659" s="90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</row>
    <row r="1660">
      <c r="A1660" s="95"/>
      <c r="B1660" s="96"/>
      <c r="C1660" s="95"/>
      <c r="D1660" s="97"/>
      <c r="E1660" s="98"/>
      <c r="F1660" s="85"/>
      <c r="G1660" s="13"/>
      <c r="H1660" s="13"/>
      <c r="I1660" s="13"/>
      <c r="J1660" s="13"/>
      <c r="K1660" s="13"/>
      <c r="L1660" s="85"/>
      <c r="M1660" s="85"/>
      <c r="N1660" s="85"/>
      <c r="O1660" s="85"/>
      <c r="P1660" s="13"/>
      <c r="Q1660" s="13"/>
      <c r="R1660" s="13"/>
      <c r="S1660" s="85"/>
      <c r="T1660" s="85"/>
      <c r="U1660" s="85"/>
      <c r="V1660" s="86"/>
      <c r="W1660" s="87"/>
      <c r="X1660" s="87"/>
      <c r="Y1660" s="85"/>
      <c r="Z1660" s="85"/>
      <c r="AA1660" s="87"/>
      <c r="AB1660" s="85"/>
      <c r="AC1660" s="85"/>
      <c r="AD1660" s="85"/>
      <c r="AE1660" s="85"/>
      <c r="AF1660" s="85"/>
      <c r="AG1660" s="85"/>
      <c r="AH1660" s="85"/>
      <c r="AI1660" s="85"/>
      <c r="AJ1660" s="85"/>
      <c r="AK1660" s="85"/>
      <c r="AL1660" s="85"/>
      <c r="AM1660" s="88"/>
      <c r="AN1660" s="89"/>
      <c r="AO1660" s="90"/>
      <c r="AP1660" s="90"/>
      <c r="AQ1660" s="90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/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3"/>
      <c r="BP1660" s="13"/>
      <c r="BQ1660" s="13"/>
    </row>
    <row r="1661">
      <c r="A1661" s="95"/>
      <c r="B1661" s="96"/>
      <c r="C1661" s="95"/>
      <c r="D1661" s="97"/>
      <c r="E1661" s="98"/>
      <c r="F1661" s="85"/>
      <c r="G1661" s="13"/>
      <c r="H1661" s="13"/>
      <c r="I1661" s="13"/>
      <c r="J1661" s="13"/>
      <c r="K1661" s="13"/>
      <c r="L1661" s="85"/>
      <c r="M1661" s="85"/>
      <c r="N1661" s="85"/>
      <c r="O1661" s="85"/>
      <c r="P1661" s="13"/>
      <c r="Q1661" s="13"/>
      <c r="R1661" s="13"/>
      <c r="S1661" s="85"/>
      <c r="T1661" s="85"/>
      <c r="U1661" s="85"/>
      <c r="V1661" s="86"/>
      <c r="W1661" s="87"/>
      <c r="X1661" s="87"/>
      <c r="Y1661" s="85"/>
      <c r="Z1661" s="85"/>
      <c r="AA1661" s="87"/>
      <c r="AB1661" s="85"/>
      <c r="AC1661" s="85"/>
      <c r="AD1661" s="85"/>
      <c r="AE1661" s="85"/>
      <c r="AF1661" s="85"/>
      <c r="AG1661" s="85"/>
      <c r="AH1661" s="85"/>
      <c r="AI1661" s="85"/>
      <c r="AJ1661" s="85"/>
      <c r="AK1661" s="85"/>
      <c r="AL1661" s="85"/>
      <c r="AM1661" s="88"/>
      <c r="AN1661" s="89"/>
      <c r="AO1661" s="90"/>
      <c r="AP1661" s="90"/>
      <c r="AQ1661" s="90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</row>
    <row r="1662">
      <c r="A1662" s="95"/>
      <c r="B1662" s="96"/>
      <c r="C1662" s="95"/>
      <c r="D1662" s="97"/>
      <c r="E1662" s="98"/>
      <c r="F1662" s="85"/>
      <c r="G1662" s="13"/>
      <c r="H1662" s="13"/>
      <c r="I1662" s="13"/>
      <c r="J1662" s="13"/>
      <c r="K1662" s="13"/>
      <c r="L1662" s="85"/>
      <c r="M1662" s="85"/>
      <c r="N1662" s="85"/>
      <c r="O1662" s="85"/>
      <c r="P1662" s="13"/>
      <c r="Q1662" s="13"/>
      <c r="R1662" s="13"/>
      <c r="S1662" s="85"/>
      <c r="T1662" s="85"/>
      <c r="U1662" s="85"/>
      <c r="V1662" s="86"/>
      <c r="W1662" s="87"/>
      <c r="X1662" s="87"/>
      <c r="Y1662" s="85"/>
      <c r="Z1662" s="85"/>
      <c r="AA1662" s="87"/>
      <c r="AB1662" s="85"/>
      <c r="AC1662" s="85"/>
      <c r="AD1662" s="85"/>
      <c r="AE1662" s="85"/>
      <c r="AF1662" s="85"/>
      <c r="AG1662" s="85"/>
      <c r="AH1662" s="85"/>
      <c r="AI1662" s="85"/>
      <c r="AJ1662" s="85"/>
      <c r="AK1662" s="85"/>
      <c r="AL1662" s="85"/>
      <c r="AM1662" s="88"/>
      <c r="AN1662" s="89"/>
      <c r="AO1662" s="90"/>
      <c r="AP1662" s="90"/>
      <c r="AQ1662" s="90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</row>
    <row r="1663">
      <c r="A1663" s="95"/>
      <c r="B1663" s="96"/>
      <c r="C1663" s="95"/>
      <c r="D1663" s="97"/>
      <c r="E1663" s="98"/>
      <c r="F1663" s="85"/>
      <c r="G1663" s="13"/>
      <c r="H1663" s="13"/>
      <c r="I1663" s="13"/>
      <c r="J1663" s="13"/>
      <c r="K1663" s="13"/>
      <c r="L1663" s="85"/>
      <c r="M1663" s="85"/>
      <c r="N1663" s="85"/>
      <c r="O1663" s="85"/>
      <c r="P1663" s="13"/>
      <c r="Q1663" s="13"/>
      <c r="R1663" s="13"/>
      <c r="S1663" s="85"/>
      <c r="T1663" s="85"/>
      <c r="U1663" s="85"/>
      <c r="V1663" s="86"/>
      <c r="W1663" s="87"/>
      <c r="X1663" s="87"/>
      <c r="Y1663" s="85"/>
      <c r="Z1663" s="85"/>
      <c r="AA1663" s="87"/>
      <c r="AB1663" s="85"/>
      <c r="AC1663" s="85"/>
      <c r="AD1663" s="85"/>
      <c r="AE1663" s="85"/>
      <c r="AF1663" s="85"/>
      <c r="AG1663" s="85"/>
      <c r="AH1663" s="85"/>
      <c r="AI1663" s="85"/>
      <c r="AJ1663" s="85"/>
      <c r="AK1663" s="85"/>
      <c r="AL1663" s="85"/>
      <c r="AM1663" s="88"/>
      <c r="AN1663" s="89"/>
      <c r="AO1663" s="90"/>
      <c r="AP1663" s="90"/>
      <c r="AQ1663" s="90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</row>
    <row r="1664">
      <c r="A1664" s="95"/>
      <c r="B1664" s="96"/>
      <c r="C1664" s="95"/>
      <c r="D1664" s="97"/>
      <c r="E1664" s="98"/>
      <c r="F1664" s="85"/>
      <c r="G1664" s="13"/>
      <c r="H1664" s="13"/>
      <c r="I1664" s="13"/>
      <c r="J1664" s="13"/>
      <c r="K1664" s="13"/>
      <c r="L1664" s="85"/>
      <c r="M1664" s="85"/>
      <c r="N1664" s="85"/>
      <c r="O1664" s="85"/>
      <c r="P1664" s="13"/>
      <c r="Q1664" s="13"/>
      <c r="R1664" s="13"/>
      <c r="S1664" s="85"/>
      <c r="T1664" s="85"/>
      <c r="U1664" s="85"/>
      <c r="V1664" s="86"/>
      <c r="W1664" s="87"/>
      <c r="X1664" s="87"/>
      <c r="Y1664" s="85"/>
      <c r="Z1664" s="85"/>
      <c r="AA1664" s="87"/>
      <c r="AB1664" s="85"/>
      <c r="AC1664" s="85"/>
      <c r="AD1664" s="85"/>
      <c r="AE1664" s="85"/>
      <c r="AF1664" s="85"/>
      <c r="AG1664" s="85"/>
      <c r="AH1664" s="85"/>
      <c r="AI1664" s="85"/>
      <c r="AJ1664" s="85"/>
      <c r="AK1664" s="85"/>
      <c r="AL1664" s="85"/>
      <c r="AM1664" s="88"/>
      <c r="AN1664" s="89"/>
      <c r="AO1664" s="90"/>
      <c r="AP1664" s="90"/>
      <c r="AQ1664" s="90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</row>
    <row r="1665">
      <c r="A1665" s="95"/>
      <c r="B1665" s="96"/>
      <c r="C1665" s="95"/>
      <c r="D1665" s="97"/>
      <c r="E1665" s="98"/>
      <c r="F1665" s="85"/>
      <c r="G1665" s="13"/>
      <c r="H1665" s="13"/>
      <c r="I1665" s="13"/>
      <c r="J1665" s="13"/>
      <c r="K1665" s="13"/>
      <c r="L1665" s="85"/>
      <c r="M1665" s="85"/>
      <c r="N1665" s="85"/>
      <c r="O1665" s="85"/>
      <c r="P1665" s="13"/>
      <c r="Q1665" s="13"/>
      <c r="R1665" s="13"/>
      <c r="S1665" s="85"/>
      <c r="T1665" s="85"/>
      <c r="U1665" s="85"/>
      <c r="V1665" s="86"/>
      <c r="W1665" s="87"/>
      <c r="X1665" s="87"/>
      <c r="Y1665" s="85"/>
      <c r="Z1665" s="85"/>
      <c r="AA1665" s="87"/>
      <c r="AB1665" s="85"/>
      <c r="AC1665" s="85"/>
      <c r="AD1665" s="85"/>
      <c r="AE1665" s="85"/>
      <c r="AF1665" s="85"/>
      <c r="AG1665" s="85"/>
      <c r="AH1665" s="85"/>
      <c r="AI1665" s="85"/>
      <c r="AJ1665" s="85"/>
      <c r="AK1665" s="85"/>
      <c r="AL1665" s="85"/>
      <c r="AM1665" s="88"/>
      <c r="AN1665" s="89"/>
      <c r="AO1665" s="90"/>
      <c r="AP1665" s="90"/>
      <c r="AQ1665" s="90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</row>
    <row r="1666">
      <c r="A1666" s="95"/>
      <c r="B1666" s="96"/>
      <c r="C1666" s="95"/>
      <c r="D1666" s="97"/>
      <c r="E1666" s="98"/>
      <c r="F1666" s="85"/>
      <c r="G1666" s="13"/>
      <c r="H1666" s="13"/>
      <c r="I1666" s="13"/>
      <c r="J1666" s="13"/>
      <c r="K1666" s="13"/>
      <c r="L1666" s="85"/>
      <c r="M1666" s="85"/>
      <c r="N1666" s="85"/>
      <c r="O1666" s="85"/>
      <c r="P1666" s="13"/>
      <c r="Q1666" s="13"/>
      <c r="R1666" s="13"/>
      <c r="S1666" s="85"/>
      <c r="T1666" s="85"/>
      <c r="U1666" s="85"/>
      <c r="V1666" s="86"/>
      <c r="W1666" s="87"/>
      <c r="X1666" s="87"/>
      <c r="Y1666" s="85"/>
      <c r="Z1666" s="85"/>
      <c r="AA1666" s="87"/>
      <c r="AB1666" s="85"/>
      <c r="AC1666" s="85"/>
      <c r="AD1666" s="85"/>
      <c r="AE1666" s="85"/>
      <c r="AF1666" s="85"/>
      <c r="AG1666" s="85"/>
      <c r="AH1666" s="85"/>
      <c r="AI1666" s="85"/>
      <c r="AJ1666" s="85"/>
      <c r="AK1666" s="85"/>
      <c r="AL1666" s="85"/>
      <c r="AM1666" s="88"/>
      <c r="AN1666" s="89"/>
      <c r="AO1666" s="90"/>
      <c r="AP1666" s="90"/>
      <c r="AQ1666" s="90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</row>
    <row r="1667">
      <c r="A1667" s="95"/>
      <c r="B1667" s="96"/>
      <c r="C1667" s="95"/>
      <c r="D1667" s="97"/>
      <c r="E1667" s="98"/>
      <c r="F1667" s="85"/>
      <c r="G1667" s="13"/>
      <c r="H1667" s="13"/>
      <c r="I1667" s="13"/>
      <c r="J1667" s="13"/>
      <c r="K1667" s="13"/>
      <c r="L1667" s="85"/>
      <c r="M1667" s="85"/>
      <c r="N1667" s="85"/>
      <c r="O1667" s="85"/>
      <c r="P1667" s="13"/>
      <c r="Q1667" s="13"/>
      <c r="R1667" s="13"/>
      <c r="S1667" s="85"/>
      <c r="T1667" s="85"/>
      <c r="U1667" s="85"/>
      <c r="V1667" s="86"/>
      <c r="W1667" s="87"/>
      <c r="X1667" s="87"/>
      <c r="Y1667" s="85"/>
      <c r="Z1667" s="85"/>
      <c r="AA1667" s="87"/>
      <c r="AB1667" s="85"/>
      <c r="AC1667" s="85"/>
      <c r="AD1667" s="85"/>
      <c r="AE1667" s="85"/>
      <c r="AF1667" s="85"/>
      <c r="AG1667" s="85"/>
      <c r="AH1667" s="85"/>
      <c r="AI1667" s="85"/>
      <c r="AJ1667" s="85"/>
      <c r="AK1667" s="85"/>
      <c r="AL1667" s="85"/>
      <c r="AM1667" s="88"/>
      <c r="AN1667" s="89"/>
      <c r="AO1667" s="90"/>
      <c r="AP1667" s="90"/>
      <c r="AQ1667" s="90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</row>
    <row r="1668">
      <c r="A1668" s="95"/>
      <c r="B1668" s="96"/>
      <c r="C1668" s="95"/>
      <c r="D1668" s="97"/>
      <c r="E1668" s="98"/>
      <c r="F1668" s="85"/>
      <c r="G1668" s="13"/>
      <c r="H1668" s="13"/>
      <c r="I1668" s="13"/>
      <c r="J1668" s="13"/>
      <c r="K1668" s="13"/>
      <c r="L1668" s="85"/>
      <c r="M1668" s="85"/>
      <c r="N1668" s="85"/>
      <c r="O1668" s="85"/>
      <c r="P1668" s="13"/>
      <c r="Q1668" s="13"/>
      <c r="R1668" s="13"/>
      <c r="S1668" s="85"/>
      <c r="T1668" s="85"/>
      <c r="U1668" s="85"/>
      <c r="V1668" s="86"/>
      <c r="W1668" s="87"/>
      <c r="X1668" s="87"/>
      <c r="Y1668" s="85"/>
      <c r="Z1668" s="85"/>
      <c r="AA1668" s="87"/>
      <c r="AB1668" s="85"/>
      <c r="AC1668" s="85"/>
      <c r="AD1668" s="85"/>
      <c r="AE1668" s="85"/>
      <c r="AF1668" s="85"/>
      <c r="AG1668" s="85"/>
      <c r="AH1668" s="85"/>
      <c r="AI1668" s="85"/>
      <c r="AJ1668" s="85"/>
      <c r="AK1668" s="85"/>
      <c r="AL1668" s="85"/>
      <c r="AM1668" s="88"/>
      <c r="AN1668" s="89"/>
      <c r="AO1668" s="90"/>
      <c r="AP1668" s="90"/>
      <c r="AQ1668" s="90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</row>
    <row r="1669">
      <c r="A1669" s="95"/>
      <c r="B1669" s="96"/>
      <c r="C1669" s="95"/>
      <c r="D1669" s="97"/>
      <c r="E1669" s="98"/>
      <c r="F1669" s="85"/>
      <c r="G1669" s="13"/>
      <c r="H1669" s="13"/>
      <c r="I1669" s="13"/>
      <c r="J1669" s="13"/>
      <c r="K1669" s="13"/>
      <c r="L1669" s="85"/>
      <c r="M1669" s="85"/>
      <c r="N1669" s="85"/>
      <c r="O1669" s="85"/>
      <c r="P1669" s="13"/>
      <c r="Q1669" s="13"/>
      <c r="R1669" s="13"/>
      <c r="S1669" s="85"/>
      <c r="T1669" s="85"/>
      <c r="U1669" s="85"/>
      <c r="V1669" s="86"/>
      <c r="W1669" s="87"/>
      <c r="X1669" s="87"/>
      <c r="Y1669" s="85"/>
      <c r="Z1669" s="85"/>
      <c r="AA1669" s="87"/>
      <c r="AB1669" s="85"/>
      <c r="AC1669" s="85"/>
      <c r="AD1669" s="85"/>
      <c r="AE1669" s="85"/>
      <c r="AF1669" s="85"/>
      <c r="AG1669" s="85"/>
      <c r="AH1669" s="85"/>
      <c r="AI1669" s="85"/>
      <c r="AJ1669" s="85"/>
      <c r="AK1669" s="85"/>
      <c r="AL1669" s="85"/>
      <c r="AM1669" s="88"/>
      <c r="AN1669" s="89"/>
      <c r="AO1669" s="90"/>
      <c r="AP1669" s="90"/>
      <c r="AQ1669" s="90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</row>
    <row r="1670">
      <c r="A1670" s="95"/>
      <c r="B1670" s="96"/>
      <c r="C1670" s="95"/>
      <c r="D1670" s="97"/>
      <c r="E1670" s="98"/>
      <c r="F1670" s="85"/>
      <c r="G1670" s="13"/>
      <c r="H1670" s="13"/>
      <c r="I1670" s="13"/>
      <c r="J1670" s="13"/>
      <c r="K1670" s="13"/>
      <c r="L1670" s="85"/>
      <c r="M1670" s="85"/>
      <c r="N1670" s="85"/>
      <c r="O1670" s="85"/>
      <c r="P1670" s="13"/>
      <c r="Q1670" s="13"/>
      <c r="R1670" s="13"/>
      <c r="S1670" s="85"/>
      <c r="T1670" s="85"/>
      <c r="U1670" s="85"/>
      <c r="V1670" s="86"/>
      <c r="W1670" s="87"/>
      <c r="X1670" s="87"/>
      <c r="Y1670" s="85"/>
      <c r="Z1670" s="85"/>
      <c r="AA1670" s="87"/>
      <c r="AB1670" s="85"/>
      <c r="AC1670" s="85"/>
      <c r="AD1670" s="85"/>
      <c r="AE1670" s="85"/>
      <c r="AF1670" s="85"/>
      <c r="AG1670" s="85"/>
      <c r="AH1670" s="85"/>
      <c r="AI1670" s="85"/>
      <c r="AJ1670" s="85"/>
      <c r="AK1670" s="85"/>
      <c r="AL1670" s="85"/>
      <c r="AM1670" s="88"/>
      <c r="AN1670" s="89"/>
      <c r="AO1670" s="90"/>
      <c r="AP1670" s="90"/>
      <c r="AQ1670" s="90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</row>
    <row r="1671">
      <c r="A1671" s="95"/>
      <c r="B1671" s="96"/>
      <c r="C1671" s="95"/>
      <c r="D1671" s="97"/>
      <c r="E1671" s="98"/>
      <c r="F1671" s="85"/>
      <c r="G1671" s="13"/>
      <c r="H1671" s="13"/>
      <c r="I1671" s="13"/>
      <c r="J1671" s="13"/>
      <c r="K1671" s="13"/>
      <c r="L1671" s="85"/>
      <c r="M1671" s="85"/>
      <c r="N1671" s="85"/>
      <c r="O1671" s="85"/>
      <c r="P1671" s="13"/>
      <c r="Q1671" s="13"/>
      <c r="R1671" s="13"/>
      <c r="S1671" s="85"/>
      <c r="T1671" s="85"/>
      <c r="U1671" s="85"/>
      <c r="V1671" s="86"/>
      <c r="W1671" s="87"/>
      <c r="X1671" s="87"/>
      <c r="Y1671" s="85"/>
      <c r="Z1671" s="85"/>
      <c r="AA1671" s="87"/>
      <c r="AB1671" s="85"/>
      <c r="AC1671" s="85"/>
      <c r="AD1671" s="85"/>
      <c r="AE1671" s="85"/>
      <c r="AF1671" s="85"/>
      <c r="AG1671" s="85"/>
      <c r="AH1671" s="85"/>
      <c r="AI1671" s="85"/>
      <c r="AJ1671" s="85"/>
      <c r="AK1671" s="85"/>
      <c r="AL1671" s="85"/>
      <c r="AM1671" s="88"/>
      <c r="AN1671" s="89"/>
      <c r="AO1671" s="90"/>
      <c r="AP1671" s="90"/>
      <c r="AQ1671" s="90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</row>
    <row r="1672">
      <c r="A1672" s="95"/>
      <c r="B1672" s="96"/>
      <c r="C1672" s="95"/>
      <c r="D1672" s="97"/>
      <c r="E1672" s="98"/>
      <c r="F1672" s="85"/>
      <c r="G1672" s="13"/>
      <c r="H1672" s="13"/>
      <c r="I1672" s="13"/>
      <c r="J1672" s="13"/>
      <c r="K1672" s="13"/>
      <c r="L1672" s="85"/>
      <c r="M1672" s="85"/>
      <c r="N1672" s="85"/>
      <c r="O1672" s="85"/>
      <c r="P1672" s="13"/>
      <c r="Q1672" s="13"/>
      <c r="R1672" s="13"/>
      <c r="S1672" s="85"/>
      <c r="T1672" s="85"/>
      <c r="U1672" s="85"/>
      <c r="V1672" s="86"/>
      <c r="W1672" s="87"/>
      <c r="X1672" s="87"/>
      <c r="Y1672" s="85"/>
      <c r="Z1672" s="85"/>
      <c r="AA1672" s="87"/>
      <c r="AB1672" s="85"/>
      <c r="AC1672" s="85"/>
      <c r="AD1672" s="85"/>
      <c r="AE1672" s="85"/>
      <c r="AF1672" s="85"/>
      <c r="AG1672" s="85"/>
      <c r="AH1672" s="85"/>
      <c r="AI1672" s="85"/>
      <c r="AJ1672" s="85"/>
      <c r="AK1672" s="85"/>
      <c r="AL1672" s="85"/>
      <c r="AM1672" s="88"/>
      <c r="AN1672" s="89"/>
      <c r="AO1672" s="90"/>
      <c r="AP1672" s="90"/>
      <c r="AQ1672" s="90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</row>
    <row r="1673">
      <c r="A1673" s="95"/>
      <c r="B1673" s="96"/>
      <c r="C1673" s="95"/>
      <c r="D1673" s="97"/>
      <c r="E1673" s="98"/>
      <c r="F1673" s="85"/>
      <c r="G1673" s="13"/>
      <c r="H1673" s="13"/>
      <c r="I1673" s="13"/>
      <c r="J1673" s="13"/>
      <c r="K1673" s="13"/>
      <c r="L1673" s="85"/>
      <c r="M1673" s="85"/>
      <c r="N1673" s="85"/>
      <c r="O1673" s="85"/>
      <c r="P1673" s="13"/>
      <c r="Q1673" s="13"/>
      <c r="R1673" s="13"/>
      <c r="S1673" s="85"/>
      <c r="T1673" s="85"/>
      <c r="U1673" s="85"/>
      <c r="V1673" s="86"/>
      <c r="W1673" s="87"/>
      <c r="X1673" s="87"/>
      <c r="Y1673" s="85"/>
      <c r="Z1673" s="85"/>
      <c r="AA1673" s="87"/>
      <c r="AB1673" s="85"/>
      <c r="AC1673" s="85"/>
      <c r="AD1673" s="85"/>
      <c r="AE1673" s="85"/>
      <c r="AF1673" s="85"/>
      <c r="AG1673" s="85"/>
      <c r="AH1673" s="85"/>
      <c r="AI1673" s="85"/>
      <c r="AJ1673" s="85"/>
      <c r="AK1673" s="85"/>
      <c r="AL1673" s="85"/>
      <c r="AM1673" s="88"/>
      <c r="AN1673" s="89"/>
      <c r="AO1673" s="90"/>
      <c r="AP1673" s="90"/>
      <c r="AQ1673" s="90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</row>
    <row r="1674">
      <c r="A1674" s="95"/>
      <c r="B1674" s="96"/>
      <c r="C1674" s="95"/>
      <c r="D1674" s="97"/>
      <c r="E1674" s="98"/>
      <c r="F1674" s="85"/>
      <c r="G1674" s="13"/>
      <c r="H1674" s="13"/>
      <c r="I1674" s="13"/>
      <c r="J1674" s="13"/>
      <c r="K1674" s="13"/>
      <c r="L1674" s="85"/>
      <c r="M1674" s="85"/>
      <c r="N1674" s="85"/>
      <c r="O1674" s="85"/>
      <c r="P1674" s="13"/>
      <c r="Q1674" s="13"/>
      <c r="R1674" s="13"/>
      <c r="S1674" s="85"/>
      <c r="T1674" s="85"/>
      <c r="U1674" s="85"/>
      <c r="V1674" s="86"/>
      <c r="W1674" s="87"/>
      <c r="X1674" s="87"/>
      <c r="Y1674" s="85"/>
      <c r="Z1674" s="85"/>
      <c r="AA1674" s="87"/>
      <c r="AB1674" s="85"/>
      <c r="AC1674" s="85"/>
      <c r="AD1674" s="85"/>
      <c r="AE1674" s="85"/>
      <c r="AF1674" s="85"/>
      <c r="AG1674" s="85"/>
      <c r="AH1674" s="85"/>
      <c r="AI1674" s="85"/>
      <c r="AJ1674" s="85"/>
      <c r="AK1674" s="85"/>
      <c r="AL1674" s="85"/>
      <c r="AM1674" s="88"/>
      <c r="AN1674" s="89"/>
      <c r="AO1674" s="90"/>
      <c r="AP1674" s="90"/>
      <c r="AQ1674" s="90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3"/>
      <c r="BP1674" s="13"/>
      <c r="BQ1674" s="13"/>
    </row>
    <row r="1675">
      <c r="A1675" s="95"/>
      <c r="B1675" s="96"/>
      <c r="C1675" s="95"/>
      <c r="D1675" s="97"/>
      <c r="E1675" s="98"/>
      <c r="F1675" s="85"/>
      <c r="G1675" s="13"/>
      <c r="H1675" s="13"/>
      <c r="I1675" s="13"/>
      <c r="J1675" s="13"/>
      <c r="K1675" s="13"/>
      <c r="L1675" s="85"/>
      <c r="M1675" s="85"/>
      <c r="N1675" s="85"/>
      <c r="O1675" s="85"/>
      <c r="P1675" s="13"/>
      <c r="Q1675" s="13"/>
      <c r="R1675" s="13"/>
      <c r="S1675" s="85"/>
      <c r="T1675" s="85"/>
      <c r="U1675" s="85"/>
      <c r="V1675" s="86"/>
      <c r="W1675" s="87"/>
      <c r="X1675" s="87"/>
      <c r="Y1675" s="85"/>
      <c r="Z1675" s="85"/>
      <c r="AA1675" s="87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8"/>
      <c r="AN1675" s="89"/>
      <c r="AO1675" s="90"/>
      <c r="AP1675" s="90"/>
      <c r="AQ1675" s="90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</row>
    <row r="1676">
      <c r="A1676" s="95"/>
      <c r="B1676" s="96"/>
      <c r="C1676" s="95"/>
      <c r="D1676" s="97"/>
      <c r="E1676" s="98"/>
      <c r="F1676" s="85"/>
      <c r="G1676" s="13"/>
      <c r="H1676" s="13"/>
      <c r="I1676" s="13"/>
      <c r="J1676" s="13"/>
      <c r="K1676" s="13"/>
      <c r="L1676" s="85"/>
      <c r="M1676" s="85"/>
      <c r="N1676" s="85"/>
      <c r="O1676" s="85"/>
      <c r="P1676" s="13"/>
      <c r="Q1676" s="13"/>
      <c r="R1676" s="13"/>
      <c r="S1676" s="85"/>
      <c r="T1676" s="85"/>
      <c r="U1676" s="85"/>
      <c r="V1676" s="86"/>
      <c r="W1676" s="87"/>
      <c r="X1676" s="87"/>
      <c r="Y1676" s="85"/>
      <c r="Z1676" s="85"/>
      <c r="AA1676" s="87"/>
      <c r="AB1676" s="85"/>
      <c r="AC1676" s="85"/>
      <c r="AD1676" s="85"/>
      <c r="AE1676" s="85"/>
      <c r="AF1676" s="85"/>
      <c r="AG1676" s="85"/>
      <c r="AH1676" s="85"/>
      <c r="AI1676" s="85"/>
      <c r="AJ1676" s="85"/>
      <c r="AK1676" s="85"/>
      <c r="AL1676" s="85"/>
      <c r="AM1676" s="88"/>
      <c r="AN1676" s="89"/>
      <c r="AO1676" s="90"/>
      <c r="AP1676" s="90"/>
      <c r="AQ1676" s="90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</row>
    <row r="1677">
      <c r="A1677" s="95"/>
      <c r="B1677" s="96"/>
      <c r="C1677" s="95"/>
      <c r="D1677" s="97"/>
      <c r="E1677" s="98"/>
      <c r="F1677" s="85"/>
      <c r="G1677" s="13"/>
      <c r="H1677" s="13"/>
      <c r="I1677" s="13"/>
      <c r="J1677" s="13"/>
      <c r="K1677" s="13"/>
      <c r="L1677" s="85"/>
      <c r="M1677" s="85"/>
      <c r="N1677" s="85"/>
      <c r="O1677" s="85"/>
      <c r="P1677" s="13"/>
      <c r="Q1677" s="13"/>
      <c r="R1677" s="13"/>
      <c r="S1677" s="85"/>
      <c r="T1677" s="85"/>
      <c r="U1677" s="85"/>
      <c r="V1677" s="86"/>
      <c r="W1677" s="87"/>
      <c r="X1677" s="87"/>
      <c r="Y1677" s="85"/>
      <c r="Z1677" s="85"/>
      <c r="AA1677" s="87"/>
      <c r="AB1677" s="85"/>
      <c r="AC1677" s="85"/>
      <c r="AD1677" s="85"/>
      <c r="AE1677" s="85"/>
      <c r="AF1677" s="85"/>
      <c r="AG1677" s="85"/>
      <c r="AH1677" s="85"/>
      <c r="AI1677" s="85"/>
      <c r="AJ1677" s="85"/>
      <c r="AK1677" s="85"/>
      <c r="AL1677" s="85"/>
      <c r="AM1677" s="88"/>
      <c r="AN1677" s="89"/>
      <c r="AO1677" s="90"/>
      <c r="AP1677" s="90"/>
      <c r="AQ1677" s="90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</row>
    <row r="1678">
      <c r="A1678" s="95"/>
      <c r="B1678" s="96"/>
      <c r="C1678" s="95"/>
      <c r="D1678" s="97"/>
      <c r="E1678" s="98"/>
      <c r="F1678" s="85"/>
      <c r="G1678" s="13"/>
      <c r="H1678" s="13"/>
      <c r="I1678" s="13"/>
      <c r="J1678" s="13"/>
      <c r="K1678" s="13"/>
      <c r="L1678" s="85"/>
      <c r="M1678" s="85"/>
      <c r="N1678" s="85"/>
      <c r="O1678" s="85"/>
      <c r="P1678" s="13"/>
      <c r="Q1678" s="13"/>
      <c r="R1678" s="13"/>
      <c r="S1678" s="85"/>
      <c r="T1678" s="85"/>
      <c r="U1678" s="85"/>
      <c r="V1678" s="86"/>
      <c r="W1678" s="87"/>
      <c r="X1678" s="87"/>
      <c r="Y1678" s="85"/>
      <c r="Z1678" s="85"/>
      <c r="AA1678" s="87"/>
      <c r="AB1678" s="85"/>
      <c r="AC1678" s="85"/>
      <c r="AD1678" s="85"/>
      <c r="AE1678" s="85"/>
      <c r="AF1678" s="85"/>
      <c r="AG1678" s="85"/>
      <c r="AH1678" s="85"/>
      <c r="AI1678" s="85"/>
      <c r="AJ1678" s="85"/>
      <c r="AK1678" s="85"/>
      <c r="AL1678" s="85"/>
      <c r="AM1678" s="88"/>
      <c r="AN1678" s="89"/>
      <c r="AO1678" s="90"/>
      <c r="AP1678" s="90"/>
      <c r="AQ1678" s="90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3"/>
      <c r="BP1678" s="13"/>
      <c r="BQ1678" s="13"/>
    </row>
    <row r="1679">
      <c r="A1679" s="95"/>
      <c r="B1679" s="96"/>
      <c r="C1679" s="95"/>
      <c r="D1679" s="97"/>
      <c r="E1679" s="98"/>
      <c r="F1679" s="85"/>
      <c r="G1679" s="13"/>
      <c r="H1679" s="13"/>
      <c r="I1679" s="13"/>
      <c r="J1679" s="13"/>
      <c r="K1679" s="13"/>
      <c r="L1679" s="85"/>
      <c r="M1679" s="85"/>
      <c r="N1679" s="85"/>
      <c r="O1679" s="85"/>
      <c r="P1679" s="13"/>
      <c r="Q1679" s="13"/>
      <c r="R1679" s="13"/>
      <c r="S1679" s="85"/>
      <c r="T1679" s="85"/>
      <c r="U1679" s="85"/>
      <c r="V1679" s="86"/>
      <c r="W1679" s="87"/>
      <c r="X1679" s="87"/>
      <c r="Y1679" s="85"/>
      <c r="Z1679" s="85"/>
      <c r="AA1679" s="87"/>
      <c r="AB1679" s="85"/>
      <c r="AC1679" s="85"/>
      <c r="AD1679" s="85"/>
      <c r="AE1679" s="85"/>
      <c r="AF1679" s="85"/>
      <c r="AG1679" s="85"/>
      <c r="AH1679" s="85"/>
      <c r="AI1679" s="85"/>
      <c r="AJ1679" s="85"/>
      <c r="AK1679" s="85"/>
      <c r="AL1679" s="85"/>
      <c r="AM1679" s="88"/>
      <c r="AN1679" s="89"/>
      <c r="AO1679" s="90"/>
      <c r="AP1679" s="90"/>
      <c r="AQ1679" s="90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</row>
    <row r="1680">
      <c r="A1680" s="95"/>
      <c r="B1680" s="96"/>
      <c r="C1680" s="95"/>
      <c r="D1680" s="97"/>
      <c r="E1680" s="98"/>
      <c r="F1680" s="85"/>
      <c r="G1680" s="13"/>
      <c r="H1680" s="13"/>
      <c r="I1680" s="13"/>
      <c r="J1680" s="13"/>
      <c r="K1680" s="13"/>
      <c r="L1680" s="85"/>
      <c r="M1680" s="85"/>
      <c r="N1680" s="85"/>
      <c r="O1680" s="85"/>
      <c r="P1680" s="13"/>
      <c r="Q1680" s="13"/>
      <c r="R1680" s="13"/>
      <c r="S1680" s="85"/>
      <c r="T1680" s="85"/>
      <c r="U1680" s="85"/>
      <c r="V1680" s="86"/>
      <c r="W1680" s="87"/>
      <c r="X1680" s="87"/>
      <c r="Y1680" s="85"/>
      <c r="Z1680" s="85"/>
      <c r="AA1680" s="87"/>
      <c r="AB1680" s="85"/>
      <c r="AC1680" s="85"/>
      <c r="AD1680" s="85"/>
      <c r="AE1680" s="85"/>
      <c r="AF1680" s="85"/>
      <c r="AG1680" s="85"/>
      <c r="AH1680" s="85"/>
      <c r="AI1680" s="85"/>
      <c r="AJ1680" s="85"/>
      <c r="AK1680" s="85"/>
      <c r="AL1680" s="85"/>
      <c r="AM1680" s="88"/>
      <c r="AN1680" s="89"/>
      <c r="AO1680" s="90"/>
      <c r="AP1680" s="90"/>
      <c r="AQ1680" s="90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</row>
    <row r="1681">
      <c r="A1681" s="95"/>
      <c r="B1681" s="96"/>
      <c r="C1681" s="95"/>
      <c r="D1681" s="97"/>
      <c r="E1681" s="98"/>
      <c r="F1681" s="85"/>
      <c r="G1681" s="13"/>
      <c r="H1681" s="13"/>
      <c r="I1681" s="13"/>
      <c r="J1681" s="13"/>
      <c r="K1681" s="13"/>
      <c r="L1681" s="85"/>
      <c r="M1681" s="85"/>
      <c r="N1681" s="85"/>
      <c r="O1681" s="85"/>
      <c r="P1681" s="13"/>
      <c r="Q1681" s="13"/>
      <c r="R1681" s="13"/>
      <c r="S1681" s="85"/>
      <c r="T1681" s="85"/>
      <c r="U1681" s="85"/>
      <c r="V1681" s="86"/>
      <c r="W1681" s="87"/>
      <c r="X1681" s="87"/>
      <c r="Y1681" s="85"/>
      <c r="Z1681" s="85"/>
      <c r="AA1681" s="87"/>
      <c r="AB1681" s="85"/>
      <c r="AC1681" s="85"/>
      <c r="AD1681" s="85"/>
      <c r="AE1681" s="85"/>
      <c r="AF1681" s="85"/>
      <c r="AG1681" s="85"/>
      <c r="AH1681" s="85"/>
      <c r="AI1681" s="85"/>
      <c r="AJ1681" s="85"/>
      <c r="AK1681" s="85"/>
      <c r="AL1681" s="85"/>
      <c r="AM1681" s="88"/>
      <c r="AN1681" s="89"/>
      <c r="AO1681" s="90"/>
      <c r="AP1681" s="90"/>
      <c r="AQ1681" s="90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3"/>
      <c r="BP1681" s="13"/>
      <c r="BQ1681" s="13"/>
    </row>
    <row r="1682">
      <c r="A1682" s="95"/>
      <c r="B1682" s="96"/>
      <c r="C1682" s="95"/>
      <c r="D1682" s="97"/>
      <c r="E1682" s="98"/>
      <c r="F1682" s="85"/>
      <c r="G1682" s="13"/>
      <c r="H1682" s="13"/>
      <c r="I1682" s="13"/>
      <c r="J1682" s="13"/>
      <c r="K1682" s="13"/>
      <c r="L1682" s="85"/>
      <c r="M1682" s="85"/>
      <c r="N1682" s="85"/>
      <c r="O1682" s="85"/>
      <c r="P1682" s="13"/>
      <c r="Q1682" s="13"/>
      <c r="R1682" s="13"/>
      <c r="S1682" s="85"/>
      <c r="T1682" s="85"/>
      <c r="U1682" s="85"/>
      <c r="V1682" s="86"/>
      <c r="W1682" s="87"/>
      <c r="X1682" s="87"/>
      <c r="Y1682" s="85"/>
      <c r="Z1682" s="85"/>
      <c r="AA1682" s="87"/>
      <c r="AB1682" s="85"/>
      <c r="AC1682" s="85"/>
      <c r="AD1682" s="85"/>
      <c r="AE1682" s="85"/>
      <c r="AF1682" s="85"/>
      <c r="AG1682" s="85"/>
      <c r="AH1682" s="85"/>
      <c r="AI1682" s="85"/>
      <c r="AJ1682" s="85"/>
      <c r="AK1682" s="85"/>
      <c r="AL1682" s="85"/>
      <c r="AM1682" s="88"/>
      <c r="AN1682" s="89"/>
      <c r="AO1682" s="90"/>
      <c r="AP1682" s="90"/>
      <c r="AQ1682" s="90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</row>
    <row r="1683">
      <c r="A1683" s="95"/>
      <c r="B1683" s="96"/>
      <c r="C1683" s="95"/>
      <c r="D1683" s="97"/>
      <c r="E1683" s="98"/>
      <c r="F1683" s="85"/>
      <c r="G1683" s="13"/>
      <c r="H1683" s="13"/>
      <c r="I1683" s="13"/>
      <c r="J1683" s="13"/>
      <c r="K1683" s="13"/>
      <c r="L1683" s="85"/>
      <c r="M1683" s="85"/>
      <c r="N1683" s="85"/>
      <c r="O1683" s="85"/>
      <c r="P1683" s="13"/>
      <c r="Q1683" s="13"/>
      <c r="R1683" s="13"/>
      <c r="S1683" s="85"/>
      <c r="T1683" s="85"/>
      <c r="U1683" s="85"/>
      <c r="V1683" s="86"/>
      <c r="W1683" s="87"/>
      <c r="X1683" s="87"/>
      <c r="Y1683" s="85"/>
      <c r="Z1683" s="85"/>
      <c r="AA1683" s="87"/>
      <c r="AB1683" s="85"/>
      <c r="AC1683" s="85"/>
      <c r="AD1683" s="85"/>
      <c r="AE1683" s="85"/>
      <c r="AF1683" s="85"/>
      <c r="AG1683" s="85"/>
      <c r="AH1683" s="85"/>
      <c r="AI1683" s="85"/>
      <c r="AJ1683" s="85"/>
      <c r="AK1683" s="85"/>
      <c r="AL1683" s="85"/>
      <c r="AM1683" s="88"/>
      <c r="AN1683" s="89"/>
      <c r="AO1683" s="90"/>
      <c r="AP1683" s="90"/>
      <c r="AQ1683" s="90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3"/>
      <c r="BP1683" s="13"/>
      <c r="BQ1683" s="13"/>
    </row>
    <row r="1684">
      <c r="A1684" s="95"/>
      <c r="B1684" s="96"/>
      <c r="C1684" s="95"/>
      <c r="D1684" s="97"/>
      <c r="E1684" s="98"/>
      <c r="F1684" s="85"/>
      <c r="G1684" s="13"/>
      <c r="H1684" s="13"/>
      <c r="I1684" s="13"/>
      <c r="J1684" s="13"/>
      <c r="K1684" s="13"/>
      <c r="L1684" s="85"/>
      <c r="M1684" s="85"/>
      <c r="N1684" s="85"/>
      <c r="O1684" s="85"/>
      <c r="P1684" s="13"/>
      <c r="Q1684" s="13"/>
      <c r="R1684" s="13"/>
      <c r="S1684" s="85"/>
      <c r="T1684" s="85"/>
      <c r="U1684" s="85"/>
      <c r="V1684" s="86"/>
      <c r="W1684" s="87"/>
      <c r="X1684" s="87"/>
      <c r="Y1684" s="85"/>
      <c r="Z1684" s="85"/>
      <c r="AA1684" s="87"/>
      <c r="AB1684" s="85"/>
      <c r="AC1684" s="85"/>
      <c r="AD1684" s="85"/>
      <c r="AE1684" s="85"/>
      <c r="AF1684" s="85"/>
      <c r="AG1684" s="85"/>
      <c r="AH1684" s="85"/>
      <c r="AI1684" s="85"/>
      <c r="AJ1684" s="85"/>
      <c r="AK1684" s="85"/>
      <c r="AL1684" s="85"/>
      <c r="AM1684" s="88"/>
      <c r="AN1684" s="89"/>
      <c r="AO1684" s="90"/>
      <c r="AP1684" s="90"/>
      <c r="AQ1684" s="90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</row>
    <row r="1685">
      <c r="A1685" s="95"/>
      <c r="B1685" s="96"/>
      <c r="C1685" s="95"/>
      <c r="D1685" s="97"/>
      <c r="E1685" s="98"/>
      <c r="F1685" s="85"/>
      <c r="G1685" s="13"/>
      <c r="H1685" s="13"/>
      <c r="I1685" s="13"/>
      <c r="J1685" s="13"/>
      <c r="K1685" s="13"/>
      <c r="L1685" s="85"/>
      <c r="M1685" s="85"/>
      <c r="N1685" s="85"/>
      <c r="O1685" s="85"/>
      <c r="P1685" s="13"/>
      <c r="Q1685" s="13"/>
      <c r="R1685" s="13"/>
      <c r="S1685" s="85"/>
      <c r="T1685" s="85"/>
      <c r="U1685" s="85"/>
      <c r="V1685" s="86"/>
      <c r="W1685" s="87"/>
      <c r="X1685" s="87"/>
      <c r="Y1685" s="85"/>
      <c r="Z1685" s="85"/>
      <c r="AA1685" s="87"/>
      <c r="AB1685" s="85"/>
      <c r="AC1685" s="85"/>
      <c r="AD1685" s="85"/>
      <c r="AE1685" s="85"/>
      <c r="AF1685" s="85"/>
      <c r="AG1685" s="85"/>
      <c r="AH1685" s="85"/>
      <c r="AI1685" s="85"/>
      <c r="AJ1685" s="85"/>
      <c r="AK1685" s="85"/>
      <c r="AL1685" s="85"/>
      <c r="AM1685" s="88"/>
      <c r="AN1685" s="89"/>
      <c r="AO1685" s="90"/>
      <c r="AP1685" s="90"/>
      <c r="AQ1685" s="90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</row>
    <row r="1686">
      <c r="A1686" s="95"/>
      <c r="B1686" s="96"/>
      <c r="C1686" s="95"/>
      <c r="D1686" s="97"/>
      <c r="E1686" s="98"/>
      <c r="F1686" s="85"/>
      <c r="G1686" s="13"/>
      <c r="H1686" s="13"/>
      <c r="I1686" s="13"/>
      <c r="J1686" s="13"/>
      <c r="K1686" s="13"/>
      <c r="L1686" s="85"/>
      <c r="M1686" s="85"/>
      <c r="N1686" s="85"/>
      <c r="O1686" s="85"/>
      <c r="P1686" s="13"/>
      <c r="Q1686" s="13"/>
      <c r="R1686" s="13"/>
      <c r="S1686" s="85"/>
      <c r="T1686" s="85"/>
      <c r="U1686" s="85"/>
      <c r="V1686" s="86"/>
      <c r="W1686" s="87"/>
      <c r="X1686" s="87"/>
      <c r="Y1686" s="85"/>
      <c r="Z1686" s="85"/>
      <c r="AA1686" s="87"/>
      <c r="AB1686" s="85"/>
      <c r="AC1686" s="85"/>
      <c r="AD1686" s="85"/>
      <c r="AE1686" s="85"/>
      <c r="AF1686" s="85"/>
      <c r="AG1686" s="85"/>
      <c r="AH1686" s="85"/>
      <c r="AI1686" s="85"/>
      <c r="AJ1686" s="85"/>
      <c r="AK1686" s="85"/>
      <c r="AL1686" s="85"/>
      <c r="AM1686" s="88"/>
      <c r="AN1686" s="89"/>
      <c r="AO1686" s="90"/>
      <c r="AP1686" s="90"/>
      <c r="AQ1686" s="90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</row>
    <row r="1687">
      <c r="A1687" s="95"/>
      <c r="B1687" s="96"/>
      <c r="C1687" s="95"/>
      <c r="D1687" s="97"/>
      <c r="E1687" s="98"/>
      <c r="F1687" s="85"/>
      <c r="G1687" s="13"/>
      <c r="H1687" s="13"/>
      <c r="I1687" s="13"/>
      <c r="J1687" s="13"/>
      <c r="K1687" s="13"/>
      <c r="L1687" s="85"/>
      <c r="M1687" s="85"/>
      <c r="N1687" s="85"/>
      <c r="O1687" s="85"/>
      <c r="P1687" s="13"/>
      <c r="Q1687" s="13"/>
      <c r="R1687" s="13"/>
      <c r="S1687" s="85"/>
      <c r="T1687" s="85"/>
      <c r="U1687" s="85"/>
      <c r="V1687" s="86"/>
      <c r="W1687" s="87"/>
      <c r="X1687" s="87"/>
      <c r="Y1687" s="85"/>
      <c r="Z1687" s="85"/>
      <c r="AA1687" s="87"/>
      <c r="AB1687" s="85"/>
      <c r="AC1687" s="85"/>
      <c r="AD1687" s="85"/>
      <c r="AE1687" s="85"/>
      <c r="AF1687" s="85"/>
      <c r="AG1687" s="85"/>
      <c r="AH1687" s="85"/>
      <c r="AI1687" s="85"/>
      <c r="AJ1687" s="85"/>
      <c r="AK1687" s="85"/>
      <c r="AL1687" s="85"/>
      <c r="AM1687" s="88"/>
      <c r="AN1687" s="89"/>
      <c r="AO1687" s="90"/>
      <c r="AP1687" s="90"/>
      <c r="AQ1687" s="90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3"/>
      <c r="BP1687" s="13"/>
      <c r="BQ1687" s="13"/>
    </row>
    <row r="1688">
      <c r="A1688" s="95"/>
      <c r="B1688" s="96"/>
      <c r="C1688" s="95"/>
      <c r="D1688" s="97"/>
      <c r="E1688" s="98"/>
      <c r="F1688" s="85"/>
      <c r="G1688" s="13"/>
      <c r="H1688" s="13"/>
      <c r="I1688" s="13"/>
      <c r="J1688" s="13"/>
      <c r="K1688" s="13"/>
      <c r="L1688" s="85"/>
      <c r="M1688" s="85"/>
      <c r="N1688" s="85"/>
      <c r="O1688" s="85"/>
      <c r="P1688" s="13"/>
      <c r="Q1688" s="13"/>
      <c r="R1688" s="13"/>
      <c r="S1688" s="85"/>
      <c r="T1688" s="85"/>
      <c r="U1688" s="85"/>
      <c r="V1688" s="86"/>
      <c r="W1688" s="87"/>
      <c r="X1688" s="87"/>
      <c r="Y1688" s="85"/>
      <c r="Z1688" s="85"/>
      <c r="AA1688" s="87"/>
      <c r="AB1688" s="85"/>
      <c r="AC1688" s="85"/>
      <c r="AD1688" s="85"/>
      <c r="AE1688" s="85"/>
      <c r="AF1688" s="85"/>
      <c r="AG1688" s="85"/>
      <c r="AH1688" s="85"/>
      <c r="AI1688" s="85"/>
      <c r="AJ1688" s="85"/>
      <c r="AK1688" s="85"/>
      <c r="AL1688" s="85"/>
      <c r="AM1688" s="88"/>
      <c r="AN1688" s="89"/>
      <c r="AO1688" s="90"/>
      <c r="AP1688" s="90"/>
      <c r="AQ1688" s="90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</row>
    <row r="1689">
      <c r="A1689" s="95"/>
      <c r="B1689" s="96"/>
      <c r="C1689" s="95"/>
      <c r="D1689" s="97"/>
      <c r="E1689" s="98"/>
      <c r="F1689" s="85"/>
      <c r="G1689" s="13"/>
      <c r="H1689" s="13"/>
      <c r="I1689" s="13"/>
      <c r="J1689" s="13"/>
      <c r="K1689" s="13"/>
      <c r="L1689" s="85"/>
      <c r="M1689" s="85"/>
      <c r="N1689" s="85"/>
      <c r="O1689" s="85"/>
      <c r="P1689" s="13"/>
      <c r="Q1689" s="13"/>
      <c r="R1689" s="13"/>
      <c r="S1689" s="85"/>
      <c r="T1689" s="85"/>
      <c r="U1689" s="85"/>
      <c r="V1689" s="86"/>
      <c r="W1689" s="87"/>
      <c r="X1689" s="87"/>
      <c r="Y1689" s="85"/>
      <c r="Z1689" s="85"/>
      <c r="AA1689" s="87"/>
      <c r="AB1689" s="85"/>
      <c r="AC1689" s="85"/>
      <c r="AD1689" s="85"/>
      <c r="AE1689" s="85"/>
      <c r="AF1689" s="85"/>
      <c r="AG1689" s="85"/>
      <c r="AH1689" s="85"/>
      <c r="AI1689" s="85"/>
      <c r="AJ1689" s="85"/>
      <c r="AK1689" s="85"/>
      <c r="AL1689" s="85"/>
      <c r="AM1689" s="88"/>
      <c r="AN1689" s="89"/>
      <c r="AO1689" s="90"/>
      <c r="AP1689" s="90"/>
      <c r="AQ1689" s="99"/>
      <c r="AR1689" s="100"/>
      <c r="AS1689" s="100"/>
      <c r="AT1689" s="100"/>
      <c r="AU1689" s="100"/>
      <c r="AV1689" s="100"/>
      <c r="AW1689" s="100"/>
      <c r="AX1689" s="100"/>
      <c r="AY1689" s="100"/>
      <c r="AZ1689" s="100"/>
      <c r="BA1689" s="100"/>
      <c r="BB1689" s="100"/>
      <c r="BC1689" s="100"/>
      <c r="BD1689" s="100"/>
      <c r="BE1689" s="100"/>
      <c r="BF1689" s="100"/>
      <c r="BG1689" s="100"/>
      <c r="BH1689" s="100"/>
      <c r="BI1689" s="100"/>
      <c r="BJ1689" s="100"/>
      <c r="BK1689" s="100"/>
      <c r="BL1689" s="100"/>
      <c r="BM1689" s="100"/>
      <c r="BN1689" s="100"/>
      <c r="BO1689" s="100"/>
      <c r="BP1689" s="100"/>
      <c r="BQ1689" s="13"/>
    </row>
    <row r="1690">
      <c r="A1690" s="95"/>
      <c r="B1690" s="96"/>
      <c r="C1690" s="95"/>
      <c r="D1690" s="97"/>
      <c r="E1690" s="98"/>
      <c r="F1690" s="85"/>
      <c r="G1690" s="13"/>
      <c r="H1690" s="13"/>
      <c r="I1690" s="13"/>
      <c r="J1690" s="13"/>
      <c r="K1690" s="13"/>
      <c r="L1690" s="85"/>
      <c r="M1690" s="85"/>
      <c r="N1690" s="85"/>
      <c r="O1690" s="85"/>
      <c r="P1690" s="13"/>
      <c r="Q1690" s="13"/>
      <c r="R1690" s="13"/>
      <c r="S1690" s="85"/>
      <c r="T1690" s="85"/>
      <c r="U1690" s="85"/>
      <c r="V1690" s="86"/>
      <c r="W1690" s="87"/>
      <c r="X1690" s="87"/>
      <c r="Y1690" s="85"/>
      <c r="Z1690" s="85"/>
      <c r="AA1690" s="87"/>
      <c r="AB1690" s="85"/>
      <c r="AC1690" s="85"/>
      <c r="AD1690" s="85"/>
      <c r="AE1690" s="85"/>
      <c r="AF1690" s="85"/>
      <c r="AG1690" s="85"/>
      <c r="AH1690" s="85"/>
      <c r="AI1690" s="85"/>
      <c r="AJ1690" s="85"/>
      <c r="AK1690" s="85"/>
      <c r="AL1690" s="85"/>
      <c r="AM1690" s="88"/>
      <c r="AN1690" s="89"/>
      <c r="AO1690" s="90"/>
      <c r="AP1690" s="90"/>
      <c r="AQ1690" s="90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</row>
    <row r="1691">
      <c r="A1691" s="95"/>
      <c r="B1691" s="96"/>
      <c r="C1691" s="95"/>
      <c r="D1691" s="97"/>
      <c r="E1691" s="98"/>
      <c r="F1691" s="85"/>
      <c r="G1691" s="13"/>
      <c r="H1691" s="13"/>
      <c r="I1691" s="13"/>
      <c r="J1691" s="13"/>
      <c r="K1691" s="13"/>
      <c r="L1691" s="85"/>
      <c r="M1691" s="85"/>
      <c r="N1691" s="85"/>
      <c r="O1691" s="85"/>
      <c r="P1691" s="13"/>
      <c r="Q1691" s="13"/>
      <c r="R1691" s="13"/>
      <c r="S1691" s="85"/>
      <c r="T1691" s="85"/>
      <c r="U1691" s="85"/>
      <c r="V1691" s="86"/>
      <c r="W1691" s="87"/>
      <c r="X1691" s="87"/>
      <c r="Y1691" s="85"/>
      <c r="Z1691" s="85"/>
      <c r="AA1691" s="87"/>
      <c r="AB1691" s="85"/>
      <c r="AC1691" s="85"/>
      <c r="AD1691" s="85"/>
      <c r="AE1691" s="85"/>
      <c r="AF1691" s="85"/>
      <c r="AG1691" s="85"/>
      <c r="AH1691" s="85"/>
      <c r="AI1691" s="85"/>
      <c r="AJ1691" s="85"/>
      <c r="AK1691" s="85"/>
      <c r="AL1691" s="85"/>
      <c r="AM1691" s="88"/>
      <c r="AN1691" s="89"/>
      <c r="AO1691" s="90"/>
      <c r="AP1691" s="90"/>
      <c r="AQ1691" s="90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</row>
    <row r="1692">
      <c r="A1692" s="95"/>
      <c r="B1692" s="96"/>
      <c r="C1692" s="95"/>
      <c r="D1692" s="97"/>
      <c r="E1692" s="98"/>
      <c r="F1692" s="85"/>
      <c r="G1692" s="13"/>
      <c r="H1692" s="13"/>
      <c r="I1692" s="13"/>
      <c r="J1692" s="13"/>
      <c r="K1692" s="13"/>
      <c r="L1692" s="85"/>
      <c r="M1692" s="85"/>
      <c r="N1692" s="85"/>
      <c r="O1692" s="85"/>
      <c r="P1692" s="13"/>
      <c r="Q1692" s="13"/>
      <c r="R1692" s="13"/>
      <c r="S1692" s="85"/>
      <c r="T1692" s="85"/>
      <c r="U1692" s="85"/>
      <c r="V1692" s="86"/>
      <c r="W1692" s="87"/>
      <c r="X1692" s="87"/>
      <c r="Y1692" s="85"/>
      <c r="Z1692" s="85"/>
      <c r="AA1692" s="87"/>
      <c r="AB1692" s="85"/>
      <c r="AC1692" s="85"/>
      <c r="AD1692" s="85"/>
      <c r="AE1692" s="85"/>
      <c r="AF1692" s="85"/>
      <c r="AG1692" s="85"/>
      <c r="AH1692" s="85"/>
      <c r="AI1692" s="85"/>
      <c r="AJ1692" s="85"/>
      <c r="AK1692" s="85"/>
      <c r="AL1692" s="85"/>
      <c r="AM1692" s="88"/>
      <c r="AN1692" s="89"/>
      <c r="AO1692" s="90"/>
      <c r="AP1692" s="90"/>
      <c r="AQ1692" s="90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0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65.71"/>
    <col customWidth="1" min="2" max="2" width="20.14"/>
    <col min="8" max="8" width="14.43" outlineLevel="1"/>
  </cols>
  <sheetData>
    <row r="1">
      <c r="A1" s="101" t="s">
        <v>2925</v>
      </c>
      <c r="B1" s="101" t="s">
        <v>2926</v>
      </c>
      <c r="C1" s="101" t="s">
        <v>2927</v>
      </c>
      <c r="D1" s="101" t="s">
        <v>2928</v>
      </c>
      <c r="E1" s="101" t="s">
        <v>2929</v>
      </c>
      <c r="F1" s="101" t="s">
        <v>2930</v>
      </c>
      <c r="G1" s="101" t="s">
        <v>2931</v>
      </c>
      <c r="H1" s="101" t="s">
        <v>2932</v>
      </c>
      <c r="I1" s="101" t="s">
        <v>2933</v>
      </c>
      <c r="J1" s="101" t="s">
        <v>2934</v>
      </c>
      <c r="K1" s="101" t="s">
        <v>2935</v>
      </c>
      <c r="L1" s="101" t="s">
        <v>2936</v>
      </c>
      <c r="M1" s="101" t="s">
        <v>2937</v>
      </c>
    </row>
    <row r="2">
      <c r="A2" s="101" t="s">
        <v>2938</v>
      </c>
      <c r="B2" s="101" t="s">
        <v>2939</v>
      </c>
      <c r="D2" s="13"/>
      <c r="E2" s="13"/>
      <c r="F2" s="13"/>
      <c r="G2" s="102">
        <v>1.0</v>
      </c>
      <c r="H2" s="101" t="s">
        <v>2940</v>
      </c>
      <c r="I2" s="102">
        <v>353.4</v>
      </c>
      <c r="J2" s="102">
        <v>434.68</v>
      </c>
      <c r="K2" s="101" t="s">
        <v>2941</v>
      </c>
      <c r="L2" s="102">
        <v>23.0</v>
      </c>
      <c r="M2" s="13"/>
    </row>
    <row r="3">
      <c r="A3" s="101" t="s">
        <v>2938</v>
      </c>
      <c r="B3" s="101" t="s">
        <v>2939</v>
      </c>
      <c r="D3" s="13"/>
      <c r="E3" s="13"/>
      <c r="F3" s="13"/>
      <c r="G3" s="102">
        <v>2.0</v>
      </c>
      <c r="H3" s="101" t="s">
        <v>2942</v>
      </c>
      <c r="I3" s="102">
        <v>353.4</v>
      </c>
      <c r="J3" s="102">
        <v>434.68</v>
      </c>
      <c r="K3" s="101" t="s">
        <v>2941</v>
      </c>
      <c r="L3" s="102">
        <v>23.0</v>
      </c>
      <c r="M3" s="13"/>
    </row>
    <row r="4">
      <c r="A4" s="101" t="s">
        <v>2943</v>
      </c>
      <c r="B4" s="101">
        <v>1775.0</v>
      </c>
      <c r="C4" s="13"/>
      <c r="D4" s="13"/>
      <c r="E4" s="13"/>
      <c r="F4" s="13"/>
      <c r="G4" s="102">
        <v>1.0</v>
      </c>
      <c r="H4" s="101" t="s">
        <v>2940</v>
      </c>
      <c r="I4" s="102">
        <v>8.29</v>
      </c>
      <c r="J4" s="102">
        <v>10.2</v>
      </c>
      <c r="K4" s="101" t="s">
        <v>2941</v>
      </c>
      <c r="L4" s="102">
        <v>23.0</v>
      </c>
      <c r="M4" s="13"/>
    </row>
    <row r="5">
      <c r="A5" s="101" t="s">
        <v>2943</v>
      </c>
      <c r="B5" s="101">
        <v>1775.0</v>
      </c>
      <c r="C5" s="13"/>
      <c r="D5" s="13"/>
      <c r="E5" s="13"/>
      <c r="F5" s="13"/>
      <c r="G5" s="102">
        <v>2.0</v>
      </c>
      <c r="H5" s="101" t="s">
        <v>2942</v>
      </c>
      <c r="I5" s="102">
        <v>8.3</v>
      </c>
      <c r="J5" s="102">
        <v>10.21</v>
      </c>
      <c r="K5" s="101" t="s">
        <v>2941</v>
      </c>
      <c r="L5" s="102">
        <v>23.0</v>
      </c>
      <c r="M5" s="13"/>
    </row>
    <row r="6">
      <c r="A6" s="101" t="s">
        <v>2944</v>
      </c>
      <c r="B6" s="101" t="s">
        <v>2945</v>
      </c>
      <c r="D6" s="13"/>
      <c r="E6" s="13"/>
      <c r="F6" s="13"/>
      <c r="G6" s="102">
        <v>1.0</v>
      </c>
      <c r="H6" s="103" t="s">
        <v>2940</v>
      </c>
      <c r="I6" s="102">
        <v>2.03</v>
      </c>
      <c r="J6" s="102">
        <v>2.5</v>
      </c>
      <c r="K6" s="101" t="s">
        <v>2941</v>
      </c>
      <c r="L6" s="102">
        <v>23.0</v>
      </c>
      <c r="M6" s="13"/>
    </row>
    <row r="7">
      <c r="A7" s="101" t="s">
        <v>2944</v>
      </c>
      <c r="B7" s="101" t="s">
        <v>2945</v>
      </c>
      <c r="D7" s="13"/>
      <c r="E7" s="13"/>
      <c r="F7" s="13"/>
      <c r="G7" s="102">
        <v>2.0</v>
      </c>
      <c r="H7" s="101" t="s">
        <v>2942</v>
      </c>
      <c r="I7" s="102">
        <v>1.0</v>
      </c>
      <c r="J7" s="102">
        <v>1.23</v>
      </c>
      <c r="K7" s="101" t="s">
        <v>2941</v>
      </c>
      <c r="L7" s="102">
        <v>23.0</v>
      </c>
      <c r="M7" s="13"/>
    </row>
    <row r="8">
      <c r="A8" s="101" t="s">
        <v>2946</v>
      </c>
      <c r="B8" s="101" t="s">
        <v>2947</v>
      </c>
      <c r="D8" s="13"/>
      <c r="E8" s="13"/>
      <c r="F8" s="13"/>
      <c r="G8" s="102">
        <v>1.0</v>
      </c>
      <c r="H8" s="101" t="s">
        <v>2940</v>
      </c>
      <c r="I8" s="102">
        <v>6.5</v>
      </c>
      <c r="J8" s="102">
        <v>8.0</v>
      </c>
      <c r="K8" s="101" t="s">
        <v>2941</v>
      </c>
      <c r="L8" s="102">
        <v>23.0</v>
      </c>
      <c r="M8" s="13"/>
    </row>
    <row r="9">
      <c r="A9" s="101" t="s">
        <v>2946</v>
      </c>
      <c r="B9" s="101" t="s">
        <v>2947</v>
      </c>
      <c r="D9" s="13"/>
      <c r="E9" s="13"/>
      <c r="F9" s="13"/>
      <c r="G9" s="102">
        <v>2.0</v>
      </c>
      <c r="H9" s="101" t="s">
        <v>2942</v>
      </c>
      <c r="I9" s="102">
        <v>6.0</v>
      </c>
      <c r="J9" s="102">
        <v>7.38</v>
      </c>
      <c r="K9" s="101" t="s">
        <v>2941</v>
      </c>
      <c r="L9" s="102">
        <v>23.0</v>
      </c>
      <c r="M9" s="13"/>
    </row>
    <row r="10">
      <c r="A10" s="101" t="s">
        <v>2948</v>
      </c>
      <c r="B10" s="101">
        <v>1799.0</v>
      </c>
      <c r="C10" s="13"/>
      <c r="D10" s="13"/>
      <c r="E10" s="13"/>
      <c r="F10" s="13"/>
      <c r="G10" s="102">
        <v>1.0</v>
      </c>
      <c r="H10" s="101" t="s">
        <v>2940</v>
      </c>
      <c r="I10" s="102">
        <v>4.73</v>
      </c>
      <c r="J10" s="102">
        <v>5.82</v>
      </c>
      <c r="K10" s="101" t="s">
        <v>2941</v>
      </c>
      <c r="L10" s="102">
        <v>23.0</v>
      </c>
      <c r="M10" s="13"/>
    </row>
    <row r="11">
      <c r="A11" s="101" t="s">
        <v>2948</v>
      </c>
      <c r="B11" s="101">
        <v>1799.0</v>
      </c>
      <c r="C11" s="13"/>
      <c r="D11" s="13"/>
      <c r="E11" s="13"/>
      <c r="F11" s="13"/>
      <c r="G11" s="102">
        <v>2.0</v>
      </c>
      <c r="H11" s="101" t="s">
        <v>2942</v>
      </c>
      <c r="I11" s="102">
        <v>4.73</v>
      </c>
      <c r="J11" s="102">
        <v>5.82</v>
      </c>
      <c r="K11" s="101" t="s">
        <v>2941</v>
      </c>
      <c r="L11" s="102">
        <v>23.0</v>
      </c>
      <c r="M11" s="13"/>
    </row>
    <row r="12">
      <c r="A12" s="101" t="s">
        <v>2949</v>
      </c>
      <c r="B12" s="101">
        <v>820.0</v>
      </c>
      <c r="C12" s="13"/>
      <c r="D12" s="13"/>
      <c r="E12" s="13"/>
      <c r="F12" s="13"/>
      <c r="G12" s="102">
        <v>1.0</v>
      </c>
      <c r="H12" s="101" t="s">
        <v>2940</v>
      </c>
      <c r="I12" s="102">
        <v>1.14</v>
      </c>
      <c r="J12" s="102">
        <v>1.4</v>
      </c>
      <c r="K12" s="101" t="s">
        <v>2941</v>
      </c>
      <c r="L12" s="102">
        <v>23.0</v>
      </c>
      <c r="M12" s="13"/>
    </row>
    <row r="13">
      <c r="A13" s="101" t="s">
        <v>2949</v>
      </c>
      <c r="B13" s="101">
        <v>820.0</v>
      </c>
      <c r="C13" s="13"/>
      <c r="D13" s="13"/>
      <c r="E13" s="13"/>
      <c r="F13" s="13"/>
      <c r="G13" s="102">
        <v>2.0</v>
      </c>
      <c r="H13" s="101" t="s">
        <v>2942</v>
      </c>
      <c r="I13" s="102">
        <v>0.9</v>
      </c>
      <c r="J13" s="102">
        <v>1.11</v>
      </c>
      <c r="K13" s="101" t="s">
        <v>2941</v>
      </c>
      <c r="L13" s="102">
        <v>23.0</v>
      </c>
      <c r="M13" s="13"/>
    </row>
    <row r="14">
      <c r="A14" s="101" t="s">
        <v>2950</v>
      </c>
      <c r="B14" s="101" t="s">
        <v>2951</v>
      </c>
      <c r="C14" s="13"/>
      <c r="D14" s="13"/>
      <c r="E14" s="13"/>
      <c r="F14" s="13"/>
      <c r="G14" s="102">
        <v>1.0</v>
      </c>
      <c r="H14" s="101" t="s">
        <v>2940</v>
      </c>
      <c r="I14" s="102">
        <v>1.22</v>
      </c>
      <c r="J14" s="102">
        <v>1.5</v>
      </c>
      <c r="K14" s="101" t="s">
        <v>2941</v>
      </c>
      <c r="L14" s="102">
        <v>23.0</v>
      </c>
      <c r="M14" s="13"/>
    </row>
    <row r="15">
      <c r="A15" s="101" t="s">
        <v>2950</v>
      </c>
      <c r="B15" s="101" t="s">
        <v>2951</v>
      </c>
      <c r="C15" s="13"/>
      <c r="D15" s="13"/>
      <c r="E15" s="13"/>
      <c r="F15" s="13"/>
      <c r="G15" s="102">
        <v>2.0</v>
      </c>
      <c r="H15" s="101" t="s">
        <v>2942</v>
      </c>
      <c r="I15" s="102">
        <v>1.0</v>
      </c>
      <c r="J15" s="102">
        <v>1.23</v>
      </c>
      <c r="K15" s="101" t="s">
        <v>2941</v>
      </c>
      <c r="L15" s="102">
        <v>23.0</v>
      </c>
      <c r="M15" s="13"/>
    </row>
    <row r="16">
      <c r="A16" s="101" t="s">
        <v>2952</v>
      </c>
      <c r="B16" s="101" t="s">
        <v>2953</v>
      </c>
      <c r="C16" s="13"/>
      <c r="D16" s="13"/>
      <c r="E16" s="13"/>
      <c r="F16" s="13"/>
      <c r="G16" s="102">
        <v>1.0</v>
      </c>
      <c r="H16" s="101" t="s">
        <v>2940</v>
      </c>
      <c r="I16" s="102">
        <v>0.89</v>
      </c>
      <c r="J16" s="102">
        <v>1.09</v>
      </c>
      <c r="K16" s="101" t="s">
        <v>2941</v>
      </c>
      <c r="L16" s="102">
        <v>23.0</v>
      </c>
      <c r="M16" s="13"/>
    </row>
    <row r="17">
      <c r="A17" s="101" t="s">
        <v>2952</v>
      </c>
      <c r="B17" s="101" t="s">
        <v>2953</v>
      </c>
      <c r="C17" s="13"/>
      <c r="D17" s="13"/>
      <c r="E17" s="13"/>
      <c r="F17" s="13"/>
      <c r="G17" s="102">
        <v>2.0</v>
      </c>
      <c r="H17" s="101" t="s">
        <v>2942</v>
      </c>
      <c r="I17" s="102">
        <v>0.7</v>
      </c>
      <c r="J17" s="102">
        <v>0.86</v>
      </c>
      <c r="K17" s="101" t="s">
        <v>2941</v>
      </c>
      <c r="L17" s="102">
        <v>23.0</v>
      </c>
      <c r="M17" s="13"/>
    </row>
    <row r="18">
      <c r="A18" s="101" t="s">
        <v>2954</v>
      </c>
      <c r="B18" s="101">
        <v>1351.0</v>
      </c>
      <c r="C18" s="13"/>
      <c r="D18" s="13"/>
      <c r="E18" s="13"/>
      <c r="F18" s="13"/>
      <c r="G18" s="102">
        <v>1.0</v>
      </c>
      <c r="H18" s="101" t="s">
        <v>2940</v>
      </c>
      <c r="I18" s="102">
        <v>26.95</v>
      </c>
      <c r="J18" s="102">
        <v>33.15</v>
      </c>
      <c r="K18" s="101" t="s">
        <v>2941</v>
      </c>
      <c r="L18" s="102">
        <v>23.0</v>
      </c>
      <c r="M18" s="13"/>
    </row>
    <row r="19">
      <c r="A19" s="101" t="s">
        <v>2954</v>
      </c>
      <c r="B19" s="101">
        <v>1351.0</v>
      </c>
      <c r="C19" s="13"/>
      <c r="D19" s="13"/>
      <c r="E19" s="13"/>
      <c r="F19" s="13"/>
      <c r="G19" s="102">
        <v>2.0</v>
      </c>
      <c r="H19" s="101" t="s">
        <v>2942</v>
      </c>
      <c r="I19" s="102">
        <v>26.95</v>
      </c>
      <c r="J19" s="102">
        <v>33.15</v>
      </c>
      <c r="K19" s="101" t="s">
        <v>2941</v>
      </c>
      <c r="L19" s="102">
        <v>23.0</v>
      </c>
      <c r="M19" s="13"/>
    </row>
    <row r="20">
      <c r="A20" s="101" t="s">
        <v>2955</v>
      </c>
      <c r="B20" s="101" t="s">
        <v>2956</v>
      </c>
      <c r="D20" s="13"/>
      <c r="E20" s="13"/>
      <c r="F20" s="13"/>
      <c r="G20" s="102">
        <v>1.0</v>
      </c>
      <c r="H20" s="101" t="s">
        <v>2940</v>
      </c>
      <c r="I20" s="102">
        <v>1.06</v>
      </c>
      <c r="J20" s="102">
        <v>1.3</v>
      </c>
      <c r="K20" s="101" t="s">
        <v>2941</v>
      </c>
      <c r="L20" s="102">
        <v>23.0</v>
      </c>
      <c r="M20" s="13"/>
    </row>
    <row r="21">
      <c r="A21" s="101" t="s">
        <v>2955</v>
      </c>
      <c r="B21" s="101" t="s">
        <v>2956</v>
      </c>
      <c r="D21" s="13"/>
      <c r="E21" s="13"/>
      <c r="F21" s="13"/>
      <c r="G21" s="102">
        <v>2.0</v>
      </c>
      <c r="H21" s="101" t="s">
        <v>2942</v>
      </c>
      <c r="I21" s="102">
        <v>1.06</v>
      </c>
      <c r="J21" s="102">
        <v>1.3</v>
      </c>
      <c r="K21" s="101" t="s">
        <v>2941</v>
      </c>
      <c r="L21" s="102">
        <v>23.0</v>
      </c>
      <c r="M21" s="13"/>
    </row>
    <row r="22">
      <c r="A22" s="101" t="s">
        <v>2957</v>
      </c>
      <c r="B22" s="101" t="s">
        <v>2958</v>
      </c>
      <c r="D22" s="13"/>
      <c r="E22" s="13"/>
      <c r="F22" s="13"/>
      <c r="G22" s="102">
        <v>1.0</v>
      </c>
      <c r="H22" s="101" t="s">
        <v>2940</v>
      </c>
      <c r="I22" s="102">
        <v>0.98</v>
      </c>
      <c r="J22" s="102">
        <v>1.21</v>
      </c>
      <c r="K22" s="101" t="s">
        <v>2941</v>
      </c>
      <c r="L22" s="102">
        <v>23.0</v>
      </c>
      <c r="M22" s="13"/>
    </row>
    <row r="23">
      <c r="A23" s="101" t="s">
        <v>2957</v>
      </c>
      <c r="B23" s="101" t="s">
        <v>2958</v>
      </c>
      <c r="D23" s="13"/>
      <c r="E23" s="13"/>
      <c r="F23" s="13"/>
      <c r="G23" s="102">
        <v>2.0</v>
      </c>
      <c r="H23" s="101" t="s">
        <v>2942</v>
      </c>
      <c r="I23" s="102">
        <v>0.8</v>
      </c>
      <c r="J23" s="102">
        <v>0.98</v>
      </c>
      <c r="K23" s="101" t="s">
        <v>2941</v>
      </c>
      <c r="L23" s="102">
        <v>23.0</v>
      </c>
      <c r="M23" s="13"/>
    </row>
    <row r="24">
      <c r="A24" s="101" t="s">
        <v>2959</v>
      </c>
      <c r="B24" s="101">
        <v>1718.0</v>
      </c>
      <c r="C24" s="13"/>
      <c r="D24" s="13"/>
      <c r="E24" s="13"/>
      <c r="F24" s="13"/>
      <c r="G24" s="102">
        <v>1.0</v>
      </c>
      <c r="H24" s="101" t="s">
        <v>2940</v>
      </c>
      <c r="I24" s="102">
        <v>36.34</v>
      </c>
      <c r="J24" s="102">
        <v>44.7</v>
      </c>
      <c r="K24" s="101" t="s">
        <v>2941</v>
      </c>
      <c r="L24" s="102">
        <v>23.0</v>
      </c>
      <c r="M24" s="13"/>
    </row>
    <row r="25">
      <c r="A25" s="101" t="s">
        <v>2959</v>
      </c>
      <c r="B25" s="101">
        <v>1718.0</v>
      </c>
      <c r="C25" s="13"/>
      <c r="D25" s="13"/>
      <c r="E25" s="13"/>
      <c r="F25" s="13"/>
      <c r="G25" s="102">
        <v>2.0</v>
      </c>
      <c r="H25" s="101" t="s">
        <v>2942</v>
      </c>
      <c r="I25" s="102">
        <v>36.3</v>
      </c>
      <c r="J25" s="102">
        <v>44.65</v>
      </c>
      <c r="K25" s="101" t="s">
        <v>2941</v>
      </c>
      <c r="L25" s="102">
        <v>23.0</v>
      </c>
      <c r="M25" s="13"/>
    </row>
    <row r="26">
      <c r="A26" s="101" t="s">
        <v>2960</v>
      </c>
      <c r="B26" s="101">
        <v>42210.0</v>
      </c>
      <c r="C26" s="13"/>
      <c r="D26" s="13"/>
      <c r="E26" s="13"/>
      <c r="F26" s="13"/>
      <c r="G26" s="102">
        <v>1.0</v>
      </c>
      <c r="H26" s="101" t="s">
        <v>2940</v>
      </c>
      <c r="I26" s="102">
        <v>14.15</v>
      </c>
      <c r="J26" s="102">
        <v>17.4</v>
      </c>
      <c r="K26" s="101" t="s">
        <v>2941</v>
      </c>
      <c r="L26" s="102">
        <v>23.0</v>
      </c>
      <c r="M26" s="13"/>
    </row>
    <row r="27">
      <c r="A27" s="101" t="s">
        <v>2960</v>
      </c>
      <c r="B27" s="101">
        <v>42210.0</v>
      </c>
      <c r="C27" s="13"/>
      <c r="D27" s="13"/>
      <c r="E27" s="13"/>
      <c r="F27" s="13"/>
      <c r="G27" s="102">
        <v>2.0</v>
      </c>
      <c r="H27" s="101" t="s">
        <v>2942</v>
      </c>
      <c r="I27" s="102">
        <v>11.3</v>
      </c>
      <c r="J27" s="102">
        <v>13.9</v>
      </c>
      <c r="K27" s="101" t="s">
        <v>2941</v>
      </c>
      <c r="L27" s="102">
        <v>23.0</v>
      </c>
      <c r="M27" s="13"/>
    </row>
    <row r="28">
      <c r="A28" s="101" t="s">
        <v>2961</v>
      </c>
      <c r="B28" s="101">
        <v>42211.0</v>
      </c>
      <c r="C28" s="13"/>
      <c r="D28" s="13"/>
      <c r="E28" s="13"/>
      <c r="F28" s="13"/>
      <c r="G28" s="102">
        <v>1.0</v>
      </c>
      <c r="H28" s="101" t="s">
        <v>2940</v>
      </c>
      <c r="I28" s="102">
        <v>19.8</v>
      </c>
      <c r="J28" s="102">
        <v>24.35</v>
      </c>
      <c r="K28" s="101" t="s">
        <v>2941</v>
      </c>
      <c r="L28" s="102">
        <v>23.0</v>
      </c>
      <c r="M28" s="13"/>
    </row>
    <row r="29">
      <c r="A29" s="101" t="s">
        <v>2961</v>
      </c>
      <c r="B29" s="101">
        <v>42211.0</v>
      </c>
      <c r="C29" s="13"/>
      <c r="D29" s="13"/>
      <c r="E29" s="13"/>
      <c r="F29" s="13"/>
      <c r="G29" s="102">
        <v>2.0</v>
      </c>
      <c r="H29" s="101" t="s">
        <v>2942</v>
      </c>
      <c r="I29" s="102">
        <v>19.8</v>
      </c>
      <c r="J29" s="102">
        <v>24.35</v>
      </c>
      <c r="K29" s="101" t="s">
        <v>2941</v>
      </c>
      <c r="L29" s="102">
        <v>23.0</v>
      </c>
      <c r="M29" s="13"/>
    </row>
    <row r="30">
      <c r="A30" s="101" t="s">
        <v>2962</v>
      </c>
      <c r="B30" s="101" t="s">
        <v>2963</v>
      </c>
      <c r="D30" s="13"/>
      <c r="E30" s="13"/>
      <c r="F30" s="13"/>
      <c r="G30" s="102">
        <v>1.0</v>
      </c>
      <c r="H30" s="101" t="s">
        <v>2940</v>
      </c>
      <c r="I30" s="102">
        <v>6.67</v>
      </c>
      <c r="J30" s="102">
        <v>8.2</v>
      </c>
      <c r="K30" s="101" t="s">
        <v>2941</v>
      </c>
      <c r="L30" s="102">
        <v>23.0</v>
      </c>
      <c r="M30" s="13"/>
    </row>
    <row r="31">
      <c r="A31" s="101" t="s">
        <v>2962</v>
      </c>
      <c r="B31" s="101" t="s">
        <v>2963</v>
      </c>
      <c r="D31" s="13"/>
      <c r="E31" s="13"/>
      <c r="F31" s="13"/>
      <c r="G31" s="102">
        <v>2.0</v>
      </c>
      <c r="H31" s="101" t="s">
        <v>2942</v>
      </c>
      <c r="I31" s="102">
        <v>5.3</v>
      </c>
      <c r="J31" s="102">
        <v>6.52</v>
      </c>
      <c r="K31" s="101" t="s">
        <v>2941</v>
      </c>
      <c r="L31" s="102">
        <v>23.0</v>
      </c>
      <c r="M31" s="13"/>
    </row>
    <row r="32">
      <c r="A32" s="101" t="s">
        <v>2964</v>
      </c>
      <c r="B32" s="101">
        <v>1719.0</v>
      </c>
      <c r="C32" s="13"/>
      <c r="D32" s="13"/>
      <c r="E32" s="13"/>
      <c r="F32" s="13"/>
      <c r="G32" s="102">
        <v>1.0</v>
      </c>
      <c r="H32" s="101" t="s">
        <v>2940</v>
      </c>
      <c r="I32" s="102">
        <v>7.64</v>
      </c>
      <c r="J32" s="102">
        <v>9.4</v>
      </c>
      <c r="K32" s="101" t="s">
        <v>2941</v>
      </c>
      <c r="L32" s="102">
        <v>23.0</v>
      </c>
      <c r="M32" s="13"/>
    </row>
    <row r="33">
      <c r="A33" s="101" t="s">
        <v>2964</v>
      </c>
      <c r="B33" s="101">
        <v>1719.0</v>
      </c>
      <c r="C33" s="13"/>
      <c r="D33" s="13"/>
      <c r="E33" s="13"/>
      <c r="F33" s="13"/>
      <c r="G33" s="102">
        <v>2.0</v>
      </c>
      <c r="H33" s="101" t="s">
        <v>2942</v>
      </c>
      <c r="I33" s="102">
        <v>7.6</v>
      </c>
      <c r="J33" s="102">
        <v>9.35</v>
      </c>
      <c r="K33" s="101" t="s">
        <v>2941</v>
      </c>
      <c r="L33" s="102">
        <v>23.0</v>
      </c>
      <c r="M33" s="13"/>
    </row>
    <row r="34">
      <c r="A34" s="101" t="s">
        <v>2965</v>
      </c>
      <c r="B34" s="101" t="s">
        <v>2966</v>
      </c>
      <c r="D34" s="13"/>
      <c r="E34" s="13"/>
      <c r="F34" s="13"/>
      <c r="G34" s="102">
        <v>1.0</v>
      </c>
      <c r="H34" s="101" t="s">
        <v>2940</v>
      </c>
      <c r="I34" s="102">
        <v>6.5</v>
      </c>
      <c r="J34" s="102">
        <v>8.0</v>
      </c>
      <c r="K34" s="101" t="s">
        <v>2941</v>
      </c>
      <c r="L34" s="102">
        <v>23.0</v>
      </c>
      <c r="M34" s="13"/>
    </row>
    <row r="35">
      <c r="A35" s="101" t="s">
        <v>2965</v>
      </c>
      <c r="B35" s="101" t="s">
        <v>2966</v>
      </c>
      <c r="D35" s="13"/>
      <c r="E35" s="13"/>
      <c r="F35" s="13"/>
      <c r="G35" s="102">
        <v>2.0</v>
      </c>
      <c r="H35" s="101" t="s">
        <v>2942</v>
      </c>
      <c r="I35" s="102">
        <v>5.0</v>
      </c>
      <c r="J35" s="102">
        <v>6.15</v>
      </c>
      <c r="K35" s="101" t="s">
        <v>2941</v>
      </c>
      <c r="L35" s="102">
        <v>23.0</v>
      </c>
      <c r="M35" s="13"/>
    </row>
    <row r="36">
      <c r="A36" s="101" t="s">
        <v>2967</v>
      </c>
      <c r="B36" s="101">
        <v>1716.0</v>
      </c>
      <c r="C36" s="13"/>
      <c r="D36" s="13"/>
      <c r="E36" s="13"/>
      <c r="F36" s="13"/>
      <c r="G36" s="102">
        <v>1.0</v>
      </c>
      <c r="H36" s="101" t="s">
        <v>2940</v>
      </c>
      <c r="I36" s="102">
        <v>4.07</v>
      </c>
      <c r="J36" s="102">
        <v>5.01</v>
      </c>
      <c r="K36" s="101" t="s">
        <v>2941</v>
      </c>
      <c r="L36" s="102">
        <v>23.0</v>
      </c>
      <c r="M36" s="13"/>
    </row>
    <row r="37">
      <c r="A37" s="101" t="s">
        <v>2967</v>
      </c>
      <c r="B37" s="101">
        <v>1716.0</v>
      </c>
      <c r="C37" s="13"/>
      <c r="D37" s="13"/>
      <c r="E37" s="13"/>
      <c r="F37" s="13"/>
      <c r="G37" s="102">
        <v>2.0</v>
      </c>
      <c r="H37" s="101" t="s">
        <v>2942</v>
      </c>
      <c r="I37" s="102">
        <v>4.1</v>
      </c>
      <c r="J37" s="102">
        <v>5.04</v>
      </c>
      <c r="K37" s="101" t="s">
        <v>2941</v>
      </c>
      <c r="L37" s="102">
        <v>23.0</v>
      </c>
      <c r="M37" s="13"/>
    </row>
    <row r="38">
      <c r="A38" s="101" t="s">
        <v>2968</v>
      </c>
      <c r="B38" s="101">
        <v>42117.0</v>
      </c>
      <c r="C38" s="13"/>
      <c r="D38" s="13"/>
      <c r="E38" s="13"/>
      <c r="F38" s="13"/>
      <c r="G38" s="102">
        <v>1.0</v>
      </c>
      <c r="H38" s="101" t="s">
        <v>2940</v>
      </c>
      <c r="I38" s="102">
        <v>9.35</v>
      </c>
      <c r="J38" s="102">
        <v>11.5</v>
      </c>
      <c r="K38" s="101" t="s">
        <v>2941</v>
      </c>
      <c r="L38" s="102">
        <v>23.0</v>
      </c>
      <c r="M38" s="13"/>
    </row>
    <row r="39">
      <c r="A39" s="101" t="s">
        <v>2968</v>
      </c>
      <c r="B39" s="101">
        <v>42117.0</v>
      </c>
      <c r="C39" s="13"/>
      <c r="D39" s="13"/>
      <c r="E39" s="13"/>
      <c r="F39" s="13"/>
      <c r="G39" s="102">
        <v>2.0</v>
      </c>
      <c r="H39" s="101" t="s">
        <v>2942</v>
      </c>
      <c r="I39" s="102">
        <v>9.08</v>
      </c>
      <c r="J39" s="102">
        <v>11.17</v>
      </c>
      <c r="K39" s="101" t="s">
        <v>2941</v>
      </c>
      <c r="L39" s="102">
        <v>23.0</v>
      </c>
      <c r="M39" s="13"/>
    </row>
    <row r="40">
      <c r="A40" s="101" t="s">
        <v>2969</v>
      </c>
      <c r="B40" s="101">
        <v>887.0</v>
      </c>
      <c r="C40" s="13"/>
      <c r="D40" s="13"/>
      <c r="E40" s="13"/>
      <c r="F40" s="13"/>
      <c r="G40" s="102">
        <v>1.0</v>
      </c>
      <c r="H40" s="101" t="s">
        <v>2940</v>
      </c>
      <c r="I40" s="102">
        <v>0.92</v>
      </c>
      <c r="J40" s="102">
        <v>1.13</v>
      </c>
      <c r="K40" s="101" t="s">
        <v>2941</v>
      </c>
      <c r="L40" s="102">
        <v>23.0</v>
      </c>
      <c r="M40" s="13"/>
    </row>
    <row r="41">
      <c r="A41" s="101" t="s">
        <v>2969</v>
      </c>
      <c r="B41" s="101">
        <v>887.0</v>
      </c>
      <c r="C41" s="13"/>
      <c r="D41" s="13"/>
      <c r="E41" s="13"/>
      <c r="F41" s="13"/>
      <c r="G41" s="102">
        <v>2.0</v>
      </c>
      <c r="H41" s="101" t="s">
        <v>2942</v>
      </c>
      <c r="I41" s="102">
        <v>0.92</v>
      </c>
      <c r="J41" s="102">
        <v>1.13</v>
      </c>
      <c r="K41" s="101" t="s">
        <v>2941</v>
      </c>
      <c r="L41" s="102">
        <v>23.0</v>
      </c>
      <c r="M41" s="13"/>
    </row>
    <row r="42">
      <c r="A42" s="101" t="s">
        <v>2970</v>
      </c>
      <c r="B42" s="101">
        <v>42817.0</v>
      </c>
      <c r="C42" s="13"/>
      <c r="D42" s="13"/>
      <c r="E42" s="13"/>
      <c r="F42" s="13"/>
      <c r="G42" s="102">
        <v>1.0</v>
      </c>
      <c r="H42" s="101" t="s">
        <v>2940</v>
      </c>
      <c r="I42" s="102">
        <v>40.97</v>
      </c>
      <c r="J42" s="102">
        <v>50.39</v>
      </c>
      <c r="K42" s="101" t="s">
        <v>2941</v>
      </c>
      <c r="L42" s="102">
        <v>23.0</v>
      </c>
      <c r="M42" s="13"/>
    </row>
    <row r="43">
      <c r="A43" s="101" t="s">
        <v>2970</v>
      </c>
      <c r="B43" s="101">
        <v>42817.0</v>
      </c>
      <c r="C43" s="13"/>
      <c r="D43" s="13"/>
      <c r="E43" s="13"/>
      <c r="F43" s="13"/>
      <c r="G43" s="102">
        <v>2.0</v>
      </c>
      <c r="H43" s="101" t="s">
        <v>2942</v>
      </c>
      <c r="I43" s="102">
        <v>40.97</v>
      </c>
      <c r="J43" s="102">
        <v>50.39</v>
      </c>
      <c r="K43" s="101" t="s">
        <v>2941</v>
      </c>
      <c r="L43" s="102">
        <v>23.0</v>
      </c>
      <c r="M43" s="13"/>
    </row>
    <row r="44">
      <c r="A44" s="101" t="s">
        <v>2971</v>
      </c>
      <c r="B44" s="101">
        <v>42907.0</v>
      </c>
      <c r="C44" s="13"/>
      <c r="D44" s="13"/>
      <c r="E44" s="13"/>
      <c r="F44" s="13"/>
      <c r="G44" s="102">
        <v>1.0</v>
      </c>
      <c r="H44" s="101" t="s">
        <v>2940</v>
      </c>
      <c r="I44" s="102">
        <v>42.28</v>
      </c>
      <c r="J44" s="102">
        <v>52.0</v>
      </c>
      <c r="K44" s="101" t="s">
        <v>2941</v>
      </c>
      <c r="L44" s="102">
        <v>23.0</v>
      </c>
      <c r="M44" s="13"/>
    </row>
    <row r="45">
      <c r="A45" s="101" t="s">
        <v>2971</v>
      </c>
      <c r="B45" s="101">
        <v>42907.0</v>
      </c>
      <c r="C45" s="13"/>
      <c r="D45" s="13"/>
      <c r="E45" s="13"/>
      <c r="F45" s="13"/>
      <c r="G45" s="102">
        <v>2.0</v>
      </c>
      <c r="H45" s="101" t="s">
        <v>2942</v>
      </c>
      <c r="I45" s="102">
        <v>42.23</v>
      </c>
      <c r="J45" s="102">
        <v>51.94</v>
      </c>
      <c r="K45" s="101" t="s">
        <v>2941</v>
      </c>
      <c r="L45" s="102">
        <v>23.0</v>
      </c>
      <c r="M45" s="13"/>
    </row>
    <row r="46">
      <c r="A46" s="101" t="s">
        <v>2972</v>
      </c>
      <c r="B46" s="101">
        <v>42909.0</v>
      </c>
      <c r="C46" s="13"/>
      <c r="D46" s="13"/>
      <c r="E46" s="13"/>
      <c r="F46" s="13"/>
      <c r="G46" s="102">
        <v>1.0</v>
      </c>
      <c r="H46" s="101" t="s">
        <v>2940</v>
      </c>
      <c r="I46" s="102">
        <v>40.94</v>
      </c>
      <c r="J46" s="102">
        <v>50.36</v>
      </c>
      <c r="K46" s="101" t="s">
        <v>2941</v>
      </c>
      <c r="L46" s="102">
        <v>23.0</v>
      </c>
      <c r="M46" s="13"/>
    </row>
    <row r="47">
      <c r="A47" s="101" t="s">
        <v>2972</v>
      </c>
      <c r="B47" s="101">
        <v>42909.0</v>
      </c>
      <c r="C47" s="13"/>
      <c r="D47" s="13"/>
      <c r="E47" s="13"/>
      <c r="F47" s="13"/>
      <c r="G47" s="102">
        <v>2.0</v>
      </c>
      <c r="H47" s="101" t="s">
        <v>2942</v>
      </c>
      <c r="I47" s="102">
        <v>40.94</v>
      </c>
      <c r="J47" s="102">
        <v>50.36</v>
      </c>
      <c r="K47" s="101" t="s">
        <v>2941</v>
      </c>
      <c r="L47" s="102">
        <v>23.0</v>
      </c>
      <c r="M47" s="13"/>
    </row>
    <row r="48">
      <c r="A48" s="101" t="s">
        <v>2973</v>
      </c>
      <c r="B48" s="101">
        <v>342.0</v>
      </c>
      <c r="C48" s="13"/>
      <c r="D48" s="13"/>
      <c r="E48" s="13"/>
      <c r="F48" s="13"/>
      <c r="G48" s="102">
        <v>1.0</v>
      </c>
      <c r="H48" s="101" t="s">
        <v>2940</v>
      </c>
      <c r="I48" s="102">
        <v>40.94</v>
      </c>
      <c r="J48" s="102">
        <v>50.36</v>
      </c>
      <c r="K48" s="101" t="s">
        <v>2941</v>
      </c>
      <c r="L48" s="102">
        <v>23.0</v>
      </c>
      <c r="M48" s="13"/>
    </row>
    <row r="49">
      <c r="A49" s="101" t="s">
        <v>2973</v>
      </c>
      <c r="B49" s="101">
        <v>342.0</v>
      </c>
      <c r="C49" s="13"/>
      <c r="D49" s="13"/>
      <c r="E49" s="13"/>
      <c r="F49" s="13"/>
      <c r="G49" s="102">
        <v>2.0</v>
      </c>
      <c r="H49" s="101" t="s">
        <v>2942</v>
      </c>
      <c r="I49" s="102">
        <v>40.94</v>
      </c>
      <c r="J49" s="102">
        <v>50.36</v>
      </c>
      <c r="K49" s="101" t="s">
        <v>2941</v>
      </c>
      <c r="L49" s="102">
        <v>23.0</v>
      </c>
      <c r="M49" s="13"/>
    </row>
    <row r="50">
      <c r="A50" s="101" t="s">
        <v>2974</v>
      </c>
      <c r="B50" s="101">
        <v>42826.0</v>
      </c>
      <c r="C50" s="13"/>
      <c r="D50" s="13"/>
      <c r="E50" s="13"/>
      <c r="F50" s="13"/>
      <c r="G50" s="102">
        <v>1.0</v>
      </c>
      <c r="H50" s="101" t="s">
        <v>2940</v>
      </c>
      <c r="I50" s="102">
        <v>81.89</v>
      </c>
      <c r="J50" s="102">
        <v>100.72</v>
      </c>
      <c r="K50" s="101" t="s">
        <v>2941</v>
      </c>
      <c r="L50" s="102">
        <v>23.0</v>
      </c>
      <c r="M50" s="13"/>
    </row>
    <row r="51">
      <c r="A51" s="101" t="s">
        <v>2974</v>
      </c>
      <c r="B51" s="101">
        <v>42826.0</v>
      </c>
      <c r="C51" s="13"/>
      <c r="D51" s="13"/>
      <c r="E51" s="13"/>
      <c r="F51" s="13"/>
      <c r="G51" s="102">
        <v>2.0</v>
      </c>
      <c r="H51" s="101" t="s">
        <v>2942</v>
      </c>
      <c r="I51" s="102">
        <v>81.89</v>
      </c>
      <c r="J51" s="102">
        <v>100.72</v>
      </c>
      <c r="K51" s="101" t="s">
        <v>2941</v>
      </c>
      <c r="L51" s="102">
        <v>23.0</v>
      </c>
      <c r="M51" s="13"/>
    </row>
    <row r="52">
      <c r="A52" s="101" t="s">
        <v>2975</v>
      </c>
      <c r="B52" s="101">
        <v>1688.0</v>
      </c>
      <c r="C52" s="13"/>
      <c r="D52" s="13"/>
      <c r="E52" s="13"/>
      <c r="F52" s="13"/>
      <c r="G52" s="102">
        <v>1.0</v>
      </c>
      <c r="H52" s="101" t="s">
        <v>2940</v>
      </c>
      <c r="I52" s="102">
        <v>56.1</v>
      </c>
      <c r="J52" s="102">
        <v>69.0</v>
      </c>
      <c r="K52" s="101" t="s">
        <v>2941</v>
      </c>
      <c r="L52" s="102">
        <v>23.0</v>
      </c>
      <c r="M52" s="13"/>
    </row>
    <row r="53">
      <c r="A53" s="101" t="s">
        <v>2975</v>
      </c>
      <c r="B53" s="101">
        <v>1688.0</v>
      </c>
      <c r="C53" s="13"/>
      <c r="D53" s="13"/>
      <c r="E53" s="13"/>
      <c r="F53" s="13"/>
      <c r="G53" s="102">
        <v>2.0</v>
      </c>
      <c r="H53" s="101" t="s">
        <v>2942</v>
      </c>
      <c r="I53" s="102">
        <v>56.13</v>
      </c>
      <c r="J53" s="102">
        <v>69.04</v>
      </c>
      <c r="K53" s="101" t="s">
        <v>2941</v>
      </c>
      <c r="L53" s="102">
        <v>23.0</v>
      </c>
      <c r="M53" s="13"/>
    </row>
    <row r="54">
      <c r="A54" s="101" t="s">
        <v>2976</v>
      </c>
      <c r="B54" s="101">
        <v>589.0</v>
      </c>
      <c r="C54" s="13"/>
      <c r="D54" s="13"/>
      <c r="E54" s="13"/>
      <c r="F54" s="13"/>
      <c r="G54" s="102">
        <v>1.0</v>
      </c>
      <c r="H54" s="101" t="s">
        <v>2940</v>
      </c>
      <c r="I54" s="102">
        <v>60.98</v>
      </c>
      <c r="J54" s="102">
        <v>75.01</v>
      </c>
      <c r="K54" s="101" t="s">
        <v>2941</v>
      </c>
      <c r="L54" s="102">
        <v>23.0</v>
      </c>
      <c r="M54" s="13"/>
    </row>
    <row r="55">
      <c r="A55" s="101" t="s">
        <v>2976</v>
      </c>
      <c r="B55" s="101">
        <v>589.0</v>
      </c>
      <c r="C55" s="13"/>
      <c r="D55" s="13"/>
      <c r="E55" s="13"/>
      <c r="F55" s="13"/>
      <c r="G55" s="102">
        <v>2.0</v>
      </c>
      <c r="H55" s="101" t="s">
        <v>2942</v>
      </c>
      <c r="I55" s="102">
        <v>59.85</v>
      </c>
      <c r="J55" s="102">
        <v>73.62</v>
      </c>
      <c r="K55" s="101" t="s">
        <v>2941</v>
      </c>
      <c r="L55" s="102">
        <v>23.0</v>
      </c>
      <c r="M55" s="13"/>
    </row>
    <row r="56">
      <c r="A56" s="101" t="s">
        <v>2977</v>
      </c>
      <c r="B56" s="101">
        <v>42743.0</v>
      </c>
      <c r="C56" s="13"/>
      <c r="D56" s="13"/>
      <c r="E56" s="13"/>
      <c r="F56" s="13"/>
      <c r="G56" s="102">
        <v>1.0</v>
      </c>
      <c r="H56" s="101" t="s">
        <v>2940</v>
      </c>
      <c r="I56" s="102">
        <v>39.02</v>
      </c>
      <c r="J56" s="102">
        <v>47.99</v>
      </c>
      <c r="K56" s="101" t="s">
        <v>2941</v>
      </c>
      <c r="L56" s="102">
        <v>23.0</v>
      </c>
      <c r="M56" s="13"/>
    </row>
    <row r="57">
      <c r="A57" s="101" t="s">
        <v>2977</v>
      </c>
      <c r="B57" s="101">
        <v>42743.0</v>
      </c>
      <c r="C57" s="13"/>
      <c r="D57" s="13"/>
      <c r="E57" s="13"/>
      <c r="F57" s="13"/>
      <c r="G57" s="102">
        <v>2.0</v>
      </c>
      <c r="H57" s="101" t="s">
        <v>2942</v>
      </c>
      <c r="I57" s="102">
        <v>38.53</v>
      </c>
      <c r="J57" s="102">
        <v>47.39</v>
      </c>
      <c r="K57" s="101" t="s">
        <v>2941</v>
      </c>
      <c r="L57" s="102">
        <v>23.0</v>
      </c>
      <c r="M57" s="13"/>
    </row>
    <row r="58">
      <c r="A58" s="101" t="s">
        <v>2978</v>
      </c>
      <c r="B58" s="101">
        <v>42756.0</v>
      </c>
      <c r="C58" s="13"/>
      <c r="D58" s="13"/>
      <c r="E58" s="13"/>
      <c r="F58" s="13"/>
      <c r="G58" s="102">
        <v>1.0</v>
      </c>
      <c r="H58" s="101" t="s">
        <v>2940</v>
      </c>
      <c r="I58" s="102">
        <v>40.13</v>
      </c>
      <c r="J58" s="102">
        <v>49.36</v>
      </c>
      <c r="K58" s="101" t="s">
        <v>2941</v>
      </c>
      <c r="L58" s="102">
        <v>23.0</v>
      </c>
      <c r="M58" s="13"/>
    </row>
    <row r="59">
      <c r="A59" s="101" t="s">
        <v>2978</v>
      </c>
      <c r="B59" s="101">
        <v>42756.0</v>
      </c>
      <c r="C59" s="13"/>
      <c r="D59" s="13"/>
      <c r="E59" s="13"/>
      <c r="F59" s="13"/>
      <c r="G59" s="102">
        <v>2.0</v>
      </c>
      <c r="H59" s="101" t="s">
        <v>2942</v>
      </c>
      <c r="I59" s="102">
        <v>40.13</v>
      </c>
      <c r="J59" s="102">
        <v>49.36</v>
      </c>
      <c r="K59" s="101" t="s">
        <v>2941</v>
      </c>
      <c r="L59" s="102">
        <v>23.0</v>
      </c>
      <c r="M59" s="13"/>
    </row>
    <row r="60">
      <c r="A60" s="101" t="s">
        <v>2979</v>
      </c>
      <c r="B60" s="101">
        <v>42745.0</v>
      </c>
      <c r="C60" s="13"/>
      <c r="D60" s="13"/>
      <c r="E60" s="13"/>
      <c r="F60" s="13"/>
      <c r="G60" s="102">
        <v>1.0</v>
      </c>
      <c r="H60" s="101" t="s">
        <v>2940</v>
      </c>
      <c r="I60" s="102">
        <v>39.02</v>
      </c>
      <c r="J60" s="102">
        <v>47.99</v>
      </c>
      <c r="K60" s="101" t="s">
        <v>2941</v>
      </c>
      <c r="L60" s="102">
        <v>23.0</v>
      </c>
      <c r="M60" s="13"/>
    </row>
    <row r="61">
      <c r="A61" s="101" t="s">
        <v>2979</v>
      </c>
      <c r="B61" s="101">
        <v>42745.0</v>
      </c>
      <c r="C61" s="13"/>
      <c r="D61" s="13"/>
      <c r="E61" s="13"/>
      <c r="F61" s="13"/>
      <c r="G61" s="102">
        <v>2.0</v>
      </c>
      <c r="H61" s="101" t="s">
        <v>2942</v>
      </c>
      <c r="I61" s="102">
        <v>38.74</v>
      </c>
      <c r="J61" s="102">
        <v>47.65</v>
      </c>
      <c r="K61" s="101" t="s">
        <v>2941</v>
      </c>
      <c r="L61" s="102">
        <v>23.0</v>
      </c>
      <c r="M61" s="13"/>
    </row>
    <row r="62">
      <c r="A62" s="101" t="s">
        <v>2980</v>
      </c>
      <c r="B62" s="101">
        <v>42744.0</v>
      </c>
      <c r="C62" s="13"/>
      <c r="D62" s="13"/>
      <c r="E62" s="13"/>
      <c r="F62" s="13"/>
      <c r="G62" s="102">
        <v>1.0</v>
      </c>
      <c r="H62" s="101" t="s">
        <v>2940</v>
      </c>
      <c r="I62" s="102">
        <v>39.02</v>
      </c>
      <c r="J62" s="102">
        <v>47.99</v>
      </c>
      <c r="K62" s="101" t="s">
        <v>2941</v>
      </c>
      <c r="L62" s="102">
        <v>23.0</v>
      </c>
      <c r="M62" s="13"/>
    </row>
    <row r="63">
      <c r="A63" s="101" t="s">
        <v>2980</v>
      </c>
      <c r="B63" s="101">
        <v>42744.0</v>
      </c>
      <c r="C63" s="13"/>
      <c r="D63" s="13"/>
      <c r="E63" s="13"/>
      <c r="F63" s="13"/>
      <c r="G63" s="102">
        <v>2.0</v>
      </c>
      <c r="H63" s="101" t="s">
        <v>2942</v>
      </c>
      <c r="I63" s="102">
        <v>38.74</v>
      </c>
      <c r="J63" s="102">
        <v>47.65</v>
      </c>
      <c r="K63" s="101" t="s">
        <v>2941</v>
      </c>
      <c r="L63" s="102">
        <v>23.0</v>
      </c>
      <c r="M63" s="13"/>
    </row>
    <row r="64">
      <c r="A64" s="101" t="s">
        <v>2981</v>
      </c>
      <c r="B64" s="101">
        <v>42751.0</v>
      </c>
      <c r="C64" s="13"/>
      <c r="D64" s="13"/>
      <c r="E64" s="13"/>
      <c r="F64" s="13"/>
      <c r="G64" s="102">
        <v>1.0</v>
      </c>
      <c r="H64" s="101" t="s">
        <v>2940</v>
      </c>
      <c r="I64" s="102">
        <v>54.07</v>
      </c>
      <c r="J64" s="102">
        <v>66.5</v>
      </c>
      <c r="K64" s="101" t="s">
        <v>2941</v>
      </c>
      <c r="L64" s="102">
        <v>23.0</v>
      </c>
      <c r="M64" s="13"/>
    </row>
    <row r="65">
      <c r="A65" s="101" t="s">
        <v>2981</v>
      </c>
      <c r="B65" s="101">
        <v>42751.0</v>
      </c>
      <c r="C65" s="13"/>
      <c r="D65" s="13"/>
      <c r="E65" s="13"/>
      <c r="F65" s="13"/>
      <c r="G65" s="102">
        <v>2.0</v>
      </c>
      <c r="H65" s="101" t="s">
        <v>2942</v>
      </c>
      <c r="I65" s="102">
        <v>53.94</v>
      </c>
      <c r="J65" s="102">
        <v>66.35</v>
      </c>
      <c r="K65" s="101" t="s">
        <v>2941</v>
      </c>
      <c r="L65" s="102">
        <v>23.0</v>
      </c>
      <c r="M65" s="13"/>
    </row>
    <row r="66">
      <c r="A66" s="101" t="s">
        <v>2982</v>
      </c>
      <c r="B66" s="101">
        <v>42740.0</v>
      </c>
      <c r="C66" s="13"/>
      <c r="D66" s="13"/>
      <c r="E66" s="13"/>
      <c r="F66" s="13"/>
      <c r="G66" s="102">
        <v>1.0</v>
      </c>
      <c r="H66" s="101" t="s">
        <v>2940</v>
      </c>
      <c r="I66" s="102">
        <v>39.02</v>
      </c>
      <c r="J66" s="102">
        <v>47.99</v>
      </c>
      <c r="K66" s="101" t="s">
        <v>2941</v>
      </c>
      <c r="L66" s="102">
        <v>23.0</v>
      </c>
      <c r="M66" s="13"/>
    </row>
    <row r="67">
      <c r="A67" s="101" t="s">
        <v>2982</v>
      </c>
      <c r="B67" s="101">
        <v>42740.0</v>
      </c>
      <c r="C67" s="13"/>
      <c r="D67" s="13"/>
      <c r="E67" s="13"/>
      <c r="F67" s="13"/>
      <c r="G67" s="102">
        <v>2.0</v>
      </c>
      <c r="H67" s="101" t="s">
        <v>2942</v>
      </c>
      <c r="I67" s="102">
        <v>38.74</v>
      </c>
      <c r="J67" s="102">
        <v>47.65</v>
      </c>
      <c r="K67" s="101" t="s">
        <v>2941</v>
      </c>
      <c r="L67" s="102">
        <v>23.0</v>
      </c>
      <c r="M67" s="13"/>
    </row>
    <row r="68">
      <c r="A68" s="101" t="s">
        <v>2983</v>
      </c>
      <c r="B68" s="101">
        <v>42753.0</v>
      </c>
      <c r="C68" s="13"/>
      <c r="D68" s="13"/>
      <c r="E68" s="13"/>
      <c r="F68" s="13"/>
      <c r="G68" s="102">
        <v>1.0</v>
      </c>
      <c r="H68" s="101" t="s">
        <v>2940</v>
      </c>
      <c r="I68" s="102">
        <v>39.92</v>
      </c>
      <c r="J68" s="102">
        <v>49.1</v>
      </c>
      <c r="K68" s="101" t="s">
        <v>2941</v>
      </c>
      <c r="L68" s="102">
        <v>23.0</v>
      </c>
      <c r="M68" s="13"/>
    </row>
    <row r="69">
      <c r="A69" s="101" t="s">
        <v>2983</v>
      </c>
      <c r="B69" s="101">
        <v>42753.0</v>
      </c>
      <c r="C69" s="13"/>
      <c r="D69" s="13"/>
      <c r="E69" s="13"/>
      <c r="F69" s="13"/>
      <c r="G69" s="102">
        <v>2.0</v>
      </c>
      <c r="H69" s="101" t="s">
        <v>2942</v>
      </c>
      <c r="I69" s="102">
        <v>39.92</v>
      </c>
      <c r="J69" s="102">
        <v>49.1</v>
      </c>
      <c r="K69" s="101" t="s">
        <v>2941</v>
      </c>
      <c r="L69" s="102">
        <v>23.0</v>
      </c>
      <c r="M69" s="13"/>
    </row>
    <row r="70">
      <c r="A70" s="101" t="s">
        <v>2984</v>
      </c>
      <c r="B70" s="101">
        <v>42742.0</v>
      </c>
      <c r="C70" s="13"/>
      <c r="D70" s="13"/>
      <c r="E70" s="13"/>
      <c r="F70" s="13"/>
      <c r="G70" s="102">
        <v>1.0</v>
      </c>
      <c r="H70" s="101" t="s">
        <v>2940</v>
      </c>
      <c r="I70" s="102">
        <v>51.79</v>
      </c>
      <c r="J70" s="102">
        <v>63.7</v>
      </c>
      <c r="K70" s="101" t="s">
        <v>2941</v>
      </c>
      <c r="L70" s="102">
        <v>23.0</v>
      </c>
      <c r="M70" s="13"/>
    </row>
    <row r="71">
      <c r="A71" s="101" t="s">
        <v>2984</v>
      </c>
      <c r="B71" s="101">
        <v>42742.0</v>
      </c>
      <c r="C71" s="13"/>
      <c r="D71" s="13"/>
      <c r="E71" s="13"/>
      <c r="F71" s="13"/>
      <c r="G71" s="102">
        <v>2.0</v>
      </c>
      <c r="H71" s="101" t="s">
        <v>2942</v>
      </c>
      <c r="I71" s="102">
        <v>51.79</v>
      </c>
      <c r="J71" s="102">
        <v>63.7</v>
      </c>
      <c r="K71" s="101" t="s">
        <v>2941</v>
      </c>
      <c r="L71" s="102">
        <v>23.0</v>
      </c>
      <c r="M71" s="13"/>
    </row>
    <row r="72">
      <c r="A72" s="101" t="s">
        <v>2985</v>
      </c>
      <c r="B72" s="101">
        <v>42752.0</v>
      </c>
      <c r="C72" s="13"/>
      <c r="D72" s="13"/>
      <c r="E72" s="13"/>
      <c r="F72" s="13"/>
      <c r="G72" s="102">
        <v>1.0</v>
      </c>
      <c r="H72" s="101" t="s">
        <v>2940</v>
      </c>
      <c r="I72" s="102">
        <v>39.92</v>
      </c>
      <c r="J72" s="102">
        <v>49.1</v>
      </c>
      <c r="K72" s="101" t="s">
        <v>2941</v>
      </c>
      <c r="L72" s="102">
        <v>23.0</v>
      </c>
      <c r="M72" s="13"/>
    </row>
    <row r="73">
      <c r="A73" s="101" t="s">
        <v>2985</v>
      </c>
      <c r="B73" s="101">
        <v>42752.0</v>
      </c>
      <c r="C73" s="13"/>
      <c r="D73" s="13"/>
      <c r="E73" s="13"/>
      <c r="F73" s="13"/>
      <c r="G73" s="102">
        <v>2.0</v>
      </c>
      <c r="H73" s="101" t="s">
        <v>2942</v>
      </c>
      <c r="I73" s="102">
        <v>39.92</v>
      </c>
      <c r="J73" s="102">
        <v>49.1</v>
      </c>
      <c r="K73" s="101" t="s">
        <v>2941</v>
      </c>
      <c r="L73" s="102">
        <v>23.0</v>
      </c>
      <c r="M73" s="13"/>
    </row>
    <row r="74">
      <c r="A74" s="101" t="s">
        <v>2986</v>
      </c>
      <c r="B74" s="101">
        <v>42741.0</v>
      </c>
      <c r="C74" s="13"/>
      <c r="D74" s="13"/>
      <c r="E74" s="13"/>
      <c r="F74" s="13"/>
      <c r="G74" s="102">
        <v>1.0</v>
      </c>
      <c r="H74" s="101" t="s">
        <v>2940</v>
      </c>
      <c r="I74" s="102">
        <v>39.02</v>
      </c>
      <c r="J74" s="102">
        <v>47.99</v>
      </c>
      <c r="K74" s="101" t="s">
        <v>2941</v>
      </c>
      <c r="L74" s="102">
        <v>23.0</v>
      </c>
      <c r="M74" s="13"/>
    </row>
    <row r="75">
      <c r="A75" s="101" t="s">
        <v>2986</v>
      </c>
      <c r="B75" s="101">
        <v>42741.0</v>
      </c>
      <c r="C75" s="13"/>
      <c r="D75" s="13"/>
      <c r="E75" s="13"/>
      <c r="F75" s="13"/>
      <c r="G75" s="102">
        <v>2.0</v>
      </c>
      <c r="H75" s="101" t="s">
        <v>2942</v>
      </c>
      <c r="I75" s="102">
        <v>38.53</v>
      </c>
      <c r="J75" s="102">
        <v>47.39</v>
      </c>
      <c r="K75" s="101" t="s">
        <v>2941</v>
      </c>
      <c r="L75" s="102">
        <v>23.0</v>
      </c>
      <c r="M75" s="13"/>
    </row>
    <row r="76">
      <c r="A76" s="101" t="s">
        <v>2987</v>
      </c>
      <c r="B76" s="101">
        <v>1375.0</v>
      </c>
      <c r="C76" s="13"/>
      <c r="D76" s="13"/>
      <c r="E76" s="13"/>
      <c r="F76" s="13"/>
      <c r="G76" s="102">
        <v>1.0</v>
      </c>
      <c r="H76" s="101" t="s">
        <v>2940</v>
      </c>
      <c r="I76" s="102">
        <v>65.85</v>
      </c>
      <c r="J76" s="102">
        <v>81.0</v>
      </c>
      <c r="K76" s="101" t="s">
        <v>2941</v>
      </c>
      <c r="L76" s="102">
        <v>23.0</v>
      </c>
      <c r="M76" s="13"/>
    </row>
    <row r="77">
      <c r="A77" s="101" t="s">
        <v>2987</v>
      </c>
      <c r="B77" s="101">
        <v>1375.0</v>
      </c>
      <c r="C77" s="13"/>
      <c r="D77" s="13"/>
      <c r="E77" s="13"/>
      <c r="F77" s="13"/>
      <c r="G77" s="102">
        <v>2.0</v>
      </c>
      <c r="H77" s="101" t="s">
        <v>2942</v>
      </c>
      <c r="I77" s="102">
        <v>65.97</v>
      </c>
      <c r="J77" s="102">
        <v>81.14</v>
      </c>
      <c r="K77" s="101" t="s">
        <v>2941</v>
      </c>
      <c r="L77" s="102">
        <v>23.0</v>
      </c>
      <c r="M77" s="13"/>
    </row>
    <row r="78">
      <c r="A78" s="101" t="s">
        <v>2988</v>
      </c>
      <c r="B78" s="101">
        <v>42759.0</v>
      </c>
      <c r="C78" s="13"/>
      <c r="D78" s="13"/>
      <c r="E78" s="13"/>
      <c r="F78" s="13"/>
      <c r="G78" s="102">
        <v>1.0</v>
      </c>
      <c r="H78" s="101" t="s">
        <v>2940</v>
      </c>
      <c r="I78" s="102">
        <v>66.51</v>
      </c>
      <c r="J78" s="102">
        <v>81.81</v>
      </c>
      <c r="K78" s="101" t="s">
        <v>2941</v>
      </c>
      <c r="L78" s="102">
        <v>23.0</v>
      </c>
      <c r="M78" s="13"/>
    </row>
    <row r="79">
      <c r="A79" s="101" t="s">
        <v>2988</v>
      </c>
      <c r="B79" s="101">
        <v>42759.0</v>
      </c>
      <c r="C79" s="13"/>
      <c r="D79" s="13"/>
      <c r="E79" s="13"/>
      <c r="F79" s="13"/>
      <c r="G79" s="102">
        <v>2.0</v>
      </c>
      <c r="H79" s="101" t="s">
        <v>2942</v>
      </c>
      <c r="I79" s="102">
        <v>66.51</v>
      </c>
      <c r="J79" s="102">
        <v>81.81</v>
      </c>
      <c r="K79" s="101" t="s">
        <v>2941</v>
      </c>
      <c r="L79" s="102">
        <v>23.0</v>
      </c>
      <c r="M79" s="13"/>
    </row>
    <row r="80">
      <c r="A80" s="101" t="s">
        <v>2989</v>
      </c>
      <c r="B80" s="101">
        <v>42747.0</v>
      </c>
      <c r="C80" s="13"/>
      <c r="D80" s="13"/>
      <c r="E80" s="13"/>
      <c r="F80" s="13"/>
      <c r="G80" s="102">
        <v>1.0</v>
      </c>
      <c r="H80" s="101" t="s">
        <v>2940</v>
      </c>
      <c r="I80" s="102">
        <v>63.41</v>
      </c>
      <c r="J80" s="102">
        <v>77.99</v>
      </c>
      <c r="K80" s="101" t="s">
        <v>2941</v>
      </c>
      <c r="L80" s="102">
        <v>23.0</v>
      </c>
      <c r="M80" s="13"/>
    </row>
    <row r="81">
      <c r="A81" s="101" t="s">
        <v>2989</v>
      </c>
      <c r="B81" s="101">
        <v>42747.0</v>
      </c>
      <c r="C81" s="13"/>
      <c r="D81" s="13"/>
      <c r="E81" s="13"/>
      <c r="F81" s="13"/>
      <c r="G81" s="102">
        <v>2.0</v>
      </c>
      <c r="H81" s="101" t="s">
        <v>2942</v>
      </c>
      <c r="I81" s="102">
        <v>62.95</v>
      </c>
      <c r="J81" s="102">
        <v>77.43</v>
      </c>
      <c r="K81" s="101" t="s">
        <v>2941</v>
      </c>
      <c r="L81" s="102">
        <v>23.0</v>
      </c>
      <c r="M81" s="13"/>
    </row>
    <row r="82">
      <c r="A82" s="101" t="s">
        <v>2990</v>
      </c>
      <c r="B82" s="101">
        <v>1374.0</v>
      </c>
      <c r="C82" s="13"/>
      <c r="D82" s="13"/>
      <c r="E82" s="13"/>
      <c r="F82" s="13"/>
      <c r="G82" s="102">
        <v>1.0</v>
      </c>
      <c r="H82" s="101" t="s">
        <v>2940</v>
      </c>
      <c r="I82" s="102">
        <v>65.04</v>
      </c>
      <c r="J82" s="102">
        <v>80.0</v>
      </c>
      <c r="K82" s="101" t="s">
        <v>2941</v>
      </c>
      <c r="L82" s="102">
        <v>23.0</v>
      </c>
      <c r="M82" s="13"/>
    </row>
    <row r="83">
      <c r="A83" s="101" t="s">
        <v>2990</v>
      </c>
      <c r="B83" s="101">
        <v>1374.0</v>
      </c>
      <c r="C83" s="13"/>
      <c r="D83" s="13"/>
      <c r="E83" s="13"/>
      <c r="F83" s="13"/>
      <c r="G83" s="102">
        <v>2.0</v>
      </c>
      <c r="H83" s="101" t="s">
        <v>2942</v>
      </c>
      <c r="I83" s="102">
        <v>65.03</v>
      </c>
      <c r="J83" s="102">
        <v>79.99</v>
      </c>
      <c r="K83" s="101" t="s">
        <v>2941</v>
      </c>
      <c r="L83" s="102">
        <v>23.0</v>
      </c>
      <c r="M83" s="13"/>
    </row>
    <row r="84">
      <c r="A84" s="101" t="s">
        <v>2991</v>
      </c>
      <c r="B84" s="101">
        <v>42746.0</v>
      </c>
      <c r="C84" s="13"/>
      <c r="D84" s="13"/>
      <c r="E84" s="13"/>
      <c r="F84" s="13"/>
      <c r="G84" s="102">
        <v>1.0</v>
      </c>
      <c r="H84" s="101" t="s">
        <v>2940</v>
      </c>
      <c r="I84" s="102">
        <v>63.41</v>
      </c>
      <c r="J84" s="102">
        <v>77.99</v>
      </c>
      <c r="K84" s="101" t="s">
        <v>2941</v>
      </c>
      <c r="L84" s="102">
        <v>23.0</v>
      </c>
      <c r="M84" s="13"/>
    </row>
    <row r="85">
      <c r="A85" s="101" t="s">
        <v>2991</v>
      </c>
      <c r="B85" s="101">
        <v>42746.0</v>
      </c>
      <c r="C85" s="13"/>
      <c r="D85" s="13"/>
      <c r="E85" s="13"/>
      <c r="F85" s="13"/>
      <c r="G85" s="102">
        <v>2.0</v>
      </c>
      <c r="H85" s="101" t="s">
        <v>2942</v>
      </c>
      <c r="I85" s="102">
        <v>62.95</v>
      </c>
      <c r="J85" s="102">
        <v>77.43</v>
      </c>
      <c r="K85" s="101" t="s">
        <v>2941</v>
      </c>
      <c r="L85" s="102">
        <v>23.0</v>
      </c>
      <c r="M85" s="13"/>
    </row>
    <row r="86">
      <c r="A86" s="101" t="s">
        <v>2992</v>
      </c>
      <c r="B86" s="101">
        <v>1104.0</v>
      </c>
      <c r="C86" s="13"/>
      <c r="D86" s="13"/>
      <c r="E86" s="13"/>
      <c r="F86" s="13"/>
      <c r="G86" s="102">
        <v>1.0</v>
      </c>
      <c r="H86" s="101" t="s">
        <v>2940</v>
      </c>
      <c r="I86" s="102">
        <v>65.04</v>
      </c>
      <c r="J86" s="102">
        <v>80.0</v>
      </c>
      <c r="K86" s="101" t="s">
        <v>2941</v>
      </c>
      <c r="L86" s="102">
        <v>23.0</v>
      </c>
      <c r="M86" s="13"/>
    </row>
    <row r="87">
      <c r="A87" s="101" t="s">
        <v>2992</v>
      </c>
      <c r="B87" s="101">
        <v>1104.0</v>
      </c>
      <c r="C87" s="13"/>
      <c r="D87" s="13"/>
      <c r="E87" s="13"/>
      <c r="F87" s="13"/>
      <c r="G87" s="102">
        <v>2.0</v>
      </c>
      <c r="H87" s="101" t="s">
        <v>2942</v>
      </c>
      <c r="I87" s="102">
        <v>65.11</v>
      </c>
      <c r="J87" s="102">
        <v>80.09</v>
      </c>
      <c r="K87" s="101" t="s">
        <v>2941</v>
      </c>
      <c r="L87" s="102">
        <v>23.0</v>
      </c>
      <c r="M87" s="13"/>
    </row>
    <row r="88">
      <c r="A88" s="101" t="s">
        <v>2993</v>
      </c>
      <c r="B88" s="101" t="s">
        <v>2994</v>
      </c>
      <c r="D88" s="13"/>
      <c r="E88" s="13"/>
      <c r="F88" s="13"/>
      <c r="G88" s="102">
        <v>1.0</v>
      </c>
      <c r="H88" s="101" t="s">
        <v>2940</v>
      </c>
      <c r="I88" s="102">
        <v>88.21</v>
      </c>
      <c r="J88" s="102">
        <v>108.5</v>
      </c>
      <c r="K88" s="101" t="s">
        <v>2941</v>
      </c>
      <c r="L88" s="102">
        <v>23.0</v>
      </c>
      <c r="M88" s="13"/>
    </row>
    <row r="89">
      <c r="A89" s="101" t="s">
        <v>2993</v>
      </c>
      <c r="B89" s="101" t="s">
        <v>2994</v>
      </c>
      <c r="D89" s="13"/>
      <c r="E89" s="13"/>
      <c r="F89" s="13"/>
      <c r="G89" s="102">
        <v>2.0</v>
      </c>
      <c r="H89" s="101" t="s">
        <v>2942</v>
      </c>
      <c r="I89" s="102">
        <v>88.18</v>
      </c>
      <c r="J89" s="102">
        <v>108.46</v>
      </c>
      <c r="K89" s="101" t="s">
        <v>2941</v>
      </c>
      <c r="L89" s="102">
        <v>23.0</v>
      </c>
      <c r="M89" s="13"/>
    </row>
    <row r="90">
      <c r="A90" s="101" t="s">
        <v>2995</v>
      </c>
      <c r="B90" s="101">
        <v>42748.0</v>
      </c>
      <c r="C90" s="13"/>
      <c r="D90" s="13"/>
      <c r="E90" s="13"/>
      <c r="F90" s="13"/>
      <c r="G90" s="102">
        <v>1.0</v>
      </c>
      <c r="H90" s="101" t="s">
        <v>2940</v>
      </c>
      <c r="I90" s="102">
        <v>63.41</v>
      </c>
      <c r="J90" s="102">
        <v>77.99</v>
      </c>
      <c r="K90" s="101" t="s">
        <v>2941</v>
      </c>
      <c r="L90" s="102">
        <v>23.0</v>
      </c>
      <c r="M90" s="13"/>
    </row>
    <row r="91">
      <c r="A91" s="101" t="s">
        <v>2995</v>
      </c>
      <c r="B91" s="101">
        <v>42748.0</v>
      </c>
      <c r="C91" s="13"/>
      <c r="D91" s="13"/>
      <c r="E91" s="13"/>
      <c r="F91" s="13"/>
      <c r="G91" s="102">
        <v>2.0</v>
      </c>
      <c r="H91" s="101" t="s">
        <v>2942</v>
      </c>
      <c r="I91" s="102">
        <v>61.93</v>
      </c>
      <c r="J91" s="102">
        <v>76.17</v>
      </c>
      <c r="K91" s="101" t="s">
        <v>2941</v>
      </c>
      <c r="L91" s="102">
        <v>23.0</v>
      </c>
      <c r="M91" s="13"/>
    </row>
    <row r="92">
      <c r="A92" s="101" t="s">
        <v>2996</v>
      </c>
      <c r="B92" s="101">
        <v>1376.0</v>
      </c>
      <c r="C92" s="13"/>
      <c r="D92" s="13"/>
      <c r="E92" s="13"/>
      <c r="F92" s="13"/>
      <c r="G92" s="102">
        <v>1.0</v>
      </c>
      <c r="H92" s="101" t="s">
        <v>2940</v>
      </c>
      <c r="I92" s="102">
        <v>65.85</v>
      </c>
      <c r="J92" s="102">
        <v>81.0</v>
      </c>
      <c r="K92" s="101" t="s">
        <v>2941</v>
      </c>
      <c r="L92" s="102">
        <v>23.0</v>
      </c>
      <c r="M92" s="13"/>
    </row>
    <row r="93">
      <c r="A93" s="101" t="s">
        <v>2996</v>
      </c>
      <c r="B93" s="101">
        <v>1376.0</v>
      </c>
      <c r="C93" s="13"/>
      <c r="D93" s="13"/>
      <c r="E93" s="13"/>
      <c r="F93" s="13"/>
      <c r="G93" s="102">
        <v>2.0</v>
      </c>
      <c r="H93" s="101" t="s">
        <v>2942</v>
      </c>
      <c r="I93" s="102">
        <v>65.97</v>
      </c>
      <c r="J93" s="102">
        <v>81.14</v>
      </c>
      <c r="K93" s="101" t="s">
        <v>2941</v>
      </c>
      <c r="L93" s="102">
        <v>23.0</v>
      </c>
      <c r="M93" s="13"/>
    </row>
    <row r="94">
      <c r="A94" s="101" t="s">
        <v>2997</v>
      </c>
      <c r="B94" s="101">
        <v>42750.0</v>
      </c>
      <c r="C94" s="13"/>
      <c r="D94" s="13"/>
      <c r="E94" s="13"/>
      <c r="F94" s="13"/>
      <c r="G94" s="102">
        <v>1.0</v>
      </c>
      <c r="H94" s="101" t="s">
        <v>2940</v>
      </c>
      <c r="I94" s="102">
        <v>77.24</v>
      </c>
      <c r="J94" s="102">
        <v>95.01</v>
      </c>
      <c r="K94" s="101" t="s">
        <v>2941</v>
      </c>
      <c r="L94" s="102">
        <v>23.0</v>
      </c>
      <c r="M94" s="13"/>
    </row>
    <row r="95">
      <c r="A95" s="101" t="s">
        <v>2997</v>
      </c>
      <c r="B95" s="101">
        <v>42750.0</v>
      </c>
      <c r="C95" s="13"/>
      <c r="D95" s="13"/>
      <c r="E95" s="13"/>
      <c r="F95" s="13"/>
      <c r="G95" s="102">
        <v>2.0</v>
      </c>
      <c r="H95" s="101" t="s">
        <v>2942</v>
      </c>
      <c r="I95" s="102">
        <v>76.37</v>
      </c>
      <c r="J95" s="102">
        <v>93.94</v>
      </c>
      <c r="K95" s="101" t="s">
        <v>2941</v>
      </c>
      <c r="L95" s="102">
        <v>23.0</v>
      </c>
      <c r="M95" s="13"/>
    </row>
    <row r="96">
      <c r="A96" s="101" t="s">
        <v>2998</v>
      </c>
      <c r="B96" s="101">
        <v>42749.0</v>
      </c>
      <c r="C96" s="13"/>
      <c r="D96" s="13"/>
      <c r="E96" s="13"/>
      <c r="F96" s="13"/>
      <c r="G96" s="102">
        <v>1.0</v>
      </c>
      <c r="H96" s="101" t="s">
        <v>2940</v>
      </c>
      <c r="I96" s="102">
        <v>78.05</v>
      </c>
      <c r="J96" s="102">
        <v>96.0</v>
      </c>
      <c r="K96" s="101" t="s">
        <v>2941</v>
      </c>
      <c r="L96" s="102">
        <v>23.0</v>
      </c>
      <c r="M96" s="13"/>
    </row>
    <row r="97">
      <c r="A97" s="101" t="s">
        <v>2998</v>
      </c>
      <c r="B97" s="101">
        <v>42749.0</v>
      </c>
      <c r="C97" s="13"/>
      <c r="D97" s="13"/>
      <c r="E97" s="13"/>
      <c r="F97" s="13"/>
      <c r="G97" s="102">
        <v>2.0</v>
      </c>
      <c r="H97" s="101" t="s">
        <v>2942</v>
      </c>
      <c r="I97" s="102">
        <v>77.27</v>
      </c>
      <c r="J97" s="102">
        <v>95.04</v>
      </c>
      <c r="K97" s="101" t="s">
        <v>2941</v>
      </c>
      <c r="L97" s="102">
        <v>23.0</v>
      </c>
      <c r="M97" s="13"/>
    </row>
    <row r="98">
      <c r="A98" s="101" t="s">
        <v>2999</v>
      </c>
      <c r="B98" s="101">
        <v>42784.0</v>
      </c>
      <c r="C98" s="13"/>
      <c r="D98" s="13"/>
      <c r="E98" s="13"/>
      <c r="F98" s="13"/>
      <c r="G98" s="102">
        <v>1.0</v>
      </c>
      <c r="H98" s="101" t="s">
        <v>2940</v>
      </c>
      <c r="I98" s="102">
        <v>40.65</v>
      </c>
      <c r="J98" s="102">
        <v>50.0</v>
      </c>
      <c r="K98" s="101" t="s">
        <v>2941</v>
      </c>
      <c r="L98" s="102">
        <v>23.0</v>
      </c>
      <c r="M98" s="13"/>
    </row>
    <row r="99">
      <c r="A99" s="101" t="s">
        <v>2999</v>
      </c>
      <c r="B99" s="101">
        <v>42784.0</v>
      </c>
      <c r="C99" s="13"/>
      <c r="D99" s="13"/>
      <c r="E99" s="13"/>
      <c r="F99" s="13"/>
      <c r="G99" s="102">
        <v>2.0</v>
      </c>
      <c r="H99" s="101" t="s">
        <v>2942</v>
      </c>
      <c r="I99" s="102">
        <v>40.0</v>
      </c>
      <c r="J99" s="102">
        <v>49.2</v>
      </c>
      <c r="K99" s="101" t="s">
        <v>2941</v>
      </c>
      <c r="L99" s="102">
        <v>23.0</v>
      </c>
      <c r="M99" s="13"/>
    </row>
    <row r="100">
      <c r="A100" s="101" t="s">
        <v>3000</v>
      </c>
      <c r="B100" s="101">
        <v>42795.0</v>
      </c>
      <c r="C100" s="13"/>
      <c r="D100" s="13"/>
      <c r="E100" s="13"/>
      <c r="F100" s="13"/>
      <c r="G100" s="102">
        <v>1.0</v>
      </c>
      <c r="H100" s="101" t="s">
        <v>2940</v>
      </c>
      <c r="I100" s="102">
        <v>40.65</v>
      </c>
      <c r="J100" s="102">
        <v>50.0</v>
      </c>
      <c r="K100" s="101" t="s">
        <v>2941</v>
      </c>
      <c r="L100" s="102">
        <v>23.0</v>
      </c>
      <c r="M100" s="13"/>
    </row>
    <row r="101">
      <c r="A101" s="101" t="s">
        <v>3000</v>
      </c>
      <c r="B101" s="101">
        <v>42795.0</v>
      </c>
      <c r="C101" s="13"/>
      <c r="D101" s="13"/>
      <c r="E101" s="13"/>
      <c r="F101" s="13"/>
      <c r="G101" s="102">
        <v>2.0</v>
      </c>
      <c r="H101" s="101" t="s">
        <v>2942</v>
      </c>
      <c r="I101" s="102">
        <v>38.61</v>
      </c>
      <c r="J101" s="102">
        <v>47.49</v>
      </c>
      <c r="K101" s="101" t="s">
        <v>2941</v>
      </c>
      <c r="L101" s="102">
        <v>23.0</v>
      </c>
      <c r="M101" s="13"/>
    </row>
    <row r="102">
      <c r="A102" s="101" t="s">
        <v>3001</v>
      </c>
      <c r="B102" s="101">
        <v>42786.0</v>
      </c>
      <c r="C102" s="13"/>
      <c r="D102" s="13"/>
      <c r="E102" s="13"/>
      <c r="F102" s="13"/>
      <c r="G102" s="102">
        <v>1.0</v>
      </c>
      <c r="H102" s="101" t="s">
        <v>2940</v>
      </c>
      <c r="I102" s="102">
        <v>40.65</v>
      </c>
      <c r="J102" s="102">
        <v>50.0</v>
      </c>
      <c r="K102" s="101" t="s">
        <v>2941</v>
      </c>
      <c r="L102" s="102">
        <v>23.0</v>
      </c>
      <c r="M102" s="13"/>
    </row>
    <row r="103">
      <c r="A103" s="101" t="s">
        <v>3001</v>
      </c>
      <c r="B103" s="101">
        <v>42786.0</v>
      </c>
      <c r="C103" s="13"/>
      <c r="D103" s="13"/>
      <c r="E103" s="13"/>
      <c r="F103" s="13"/>
      <c r="G103" s="102">
        <v>2.0</v>
      </c>
      <c r="H103" s="101" t="s">
        <v>2942</v>
      </c>
      <c r="I103" s="102">
        <v>39.79</v>
      </c>
      <c r="J103" s="102">
        <v>48.94</v>
      </c>
      <c r="K103" s="101" t="s">
        <v>2941</v>
      </c>
      <c r="L103" s="102">
        <v>23.0</v>
      </c>
      <c r="M103" s="13"/>
    </row>
    <row r="104">
      <c r="A104" s="101" t="s">
        <v>3002</v>
      </c>
      <c r="B104" s="101">
        <v>42797.0</v>
      </c>
      <c r="C104" s="13"/>
      <c r="D104" s="13"/>
      <c r="E104" s="13"/>
      <c r="F104" s="13"/>
      <c r="G104" s="102">
        <v>1.0</v>
      </c>
      <c r="H104" s="101" t="s">
        <v>2940</v>
      </c>
      <c r="I104" s="102">
        <v>40.65</v>
      </c>
      <c r="J104" s="102">
        <v>50.0</v>
      </c>
      <c r="K104" s="101" t="s">
        <v>2941</v>
      </c>
      <c r="L104" s="102">
        <v>23.0</v>
      </c>
      <c r="M104" s="13"/>
    </row>
    <row r="105">
      <c r="A105" s="101" t="s">
        <v>3002</v>
      </c>
      <c r="B105" s="101">
        <v>42797.0</v>
      </c>
      <c r="C105" s="13"/>
      <c r="D105" s="13"/>
      <c r="E105" s="13"/>
      <c r="F105" s="13"/>
      <c r="G105" s="102">
        <v>2.0</v>
      </c>
      <c r="H105" s="101" t="s">
        <v>2942</v>
      </c>
      <c r="I105" s="102">
        <v>38.39</v>
      </c>
      <c r="J105" s="102">
        <v>47.22</v>
      </c>
      <c r="K105" s="101" t="s">
        <v>2941</v>
      </c>
      <c r="L105" s="102">
        <v>23.0</v>
      </c>
      <c r="M105" s="13"/>
    </row>
    <row r="106">
      <c r="A106" s="101" t="s">
        <v>3003</v>
      </c>
      <c r="B106" s="101">
        <v>42785.0</v>
      </c>
      <c r="C106" s="13"/>
      <c r="D106" s="13"/>
      <c r="E106" s="13"/>
      <c r="F106" s="13"/>
      <c r="G106" s="102">
        <v>1.0</v>
      </c>
      <c r="H106" s="101" t="s">
        <v>2940</v>
      </c>
      <c r="I106" s="102">
        <v>40.65</v>
      </c>
      <c r="J106" s="102">
        <v>50.0</v>
      </c>
      <c r="K106" s="101" t="s">
        <v>2941</v>
      </c>
      <c r="L106" s="102">
        <v>23.0</v>
      </c>
      <c r="M106" s="13"/>
    </row>
    <row r="107">
      <c r="A107" s="101" t="s">
        <v>3003</v>
      </c>
      <c r="B107" s="101">
        <v>42785.0</v>
      </c>
      <c r="C107" s="13"/>
      <c r="D107" s="13"/>
      <c r="E107" s="13"/>
      <c r="F107" s="13"/>
      <c r="G107" s="102">
        <v>2.0</v>
      </c>
      <c r="H107" s="101" t="s">
        <v>2942</v>
      </c>
      <c r="I107" s="102">
        <v>39.79</v>
      </c>
      <c r="J107" s="102">
        <v>48.94</v>
      </c>
      <c r="K107" s="101" t="s">
        <v>2941</v>
      </c>
      <c r="L107" s="102">
        <v>23.0</v>
      </c>
      <c r="M107" s="13"/>
    </row>
    <row r="108">
      <c r="A108" s="101" t="s">
        <v>3004</v>
      </c>
      <c r="B108" s="101">
        <v>385.0</v>
      </c>
      <c r="C108" s="13"/>
      <c r="D108" s="13"/>
      <c r="E108" s="13"/>
      <c r="F108" s="13"/>
      <c r="G108" s="102">
        <v>1.0</v>
      </c>
      <c r="H108" s="101" t="s">
        <v>2940</v>
      </c>
      <c r="I108" s="102">
        <v>27.72</v>
      </c>
      <c r="J108" s="102">
        <v>34.1</v>
      </c>
      <c r="K108" s="101" t="s">
        <v>2941</v>
      </c>
      <c r="L108" s="102">
        <v>23.0</v>
      </c>
      <c r="M108" s="13"/>
    </row>
    <row r="109">
      <c r="A109" s="101" t="s">
        <v>3004</v>
      </c>
      <c r="B109" s="101">
        <v>385.0</v>
      </c>
      <c r="C109" s="13"/>
      <c r="D109" s="13"/>
      <c r="E109" s="13"/>
      <c r="F109" s="13"/>
      <c r="G109" s="102">
        <v>2.0</v>
      </c>
      <c r="H109" s="101" t="s">
        <v>2942</v>
      </c>
      <c r="I109" s="102">
        <v>27.7</v>
      </c>
      <c r="J109" s="102">
        <v>34.07</v>
      </c>
      <c r="K109" s="101" t="s">
        <v>2941</v>
      </c>
      <c r="L109" s="102">
        <v>23.0</v>
      </c>
      <c r="M109" s="13"/>
    </row>
    <row r="110">
      <c r="A110" s="101" t="s">
        <v>3005</v>
      </c>
      <c r="B110" s="101">
        <v>1397.0</v>
      </c>
      <c r="C110" s="13"/>
      <c r="D110" s="13"/>
      <c r="E110" s="13"/>
      <c r="F110" s="13"/>
      <c r="G110" s="102">
        <v>1.0</v>
      </c>
      <c r="H110" s="101" t="s">
        <v>2940</v>
      </c>
      <c r="I110" s="102">
        <v>2.6</v>
      </c>
      <c r="J110" s="102">
        <v>3.2</v>
      </c>
      <c r="K110" s="101" t="s">
        <v>2941</v>
      </c>
      <c r="L110" s="102">
        <v>23.0</v>
      </c>
      <c r="M110" s="13"/>
    </row>
    <row r="111">
      <c r="A111" s="101" t="s">
        <v>3005</v>
      </c>
      <c r="B111" s="101">
        <v>1397.0</v>
      </c>
      <c r="C111" s="13"/>
      <c r="D111" s="13"/>
      <c r="E111" s="13"/>
      <c r="F111" s="13"/>
      <c r="G111" s="102">
        <v>2.0</v>
      </c>
      <c r="H111" s="101" t="s">
        <v>2942</v>
      </c>
      <c r="I111" s="102">
        <v>2.1</v>
      </c>
      <c r="J111" s="102">
        <v>2.58</v>
      </c>
      <c r="K111" s="101" t="s">
        <v>2941</v>
      </c>
      <c r="L111" s="102">
        <v>23.0</v>
      </c>
      <c r="M111" s="13"/>
    </row>
    <row r="112">
      <c r="A112" s="101" t="s">
        <v>3006</v>
      </c>
      <c r="B112" s="101">
        <v>66.0</v>
      </c>
      <c r="C112" s="13"/>
      <c r="D112" s="13"/>
      <c r="E112" s="13"/>
      <c r="F112" s="13"/>
      <c r="G112" s="102">
        <v>1.0</v>
      </c>
      <c r="H112" s="101" t="s">
        <v>2940</v>
      </c>
      <c r="I112" s="102">
        <v>5.12</v>
      </c>
      <c r="J112" s="102">
        <v>6.3</v>
      </c>
      <c r="K112" s="101" t="s">
        <v>2941</v>
      </c>
      <c r="L112" s="102">
        <v>23.0</v>
      </c>
      <c r="M112" s="13"/>
    </row>
    <row r="113">
      <c r="A113" s="101" t="s">
        <v>3006</v>
      </c>
      <c r="B113" s="101">
        <v>66.0</v>
      </c>
      <c r="C113" s="13"/>
      <c r="D113" s="13"/>
      <c r="E113" s="13"/>
      <c r="F113" s="13"/>
      <c r="G113" s="102">
        <v>2.0</v>
      </c>
      <c r="H113" s="101" t="s">
        <v>2942</v>
      </c>
      <c r="I113" s="102">
        <v>4.1</v>
      </c>
      <c r="J113" s="102">
        <v>5.04</v>
      </c>
      <c r="K113" s="101" t="s">
        <v>2941</v>
      </c>
      <c r="L113" s="102">
        <v>23.0</v>
      </c>
      <c r="M113" s="13"/>
    </row>
    <row r="114">
      <c r="A114" s="101" t="s">
        <v>3007</v>
      </c>
      <c r="B114" s="101" t="s">
        <v>3008</v>
      </c>
      <c r="D114" s="13"/>
      <c r="E114" s="13"/>
      <c r="F114" s="13"/>
      <c r="G114" s="102">
        <v>1.0</v>
      </c>
      <c r="H114" s="101" t="s">
        <v>2940</v>
      </c>
      <c r="I114" s="102">
        <v>20.0</v>
      </c>
      <c r="J114" s="102">
        <v>24.6</v>
      </c>
      <c r="K114" s="101" t="s">
        <v>2941</v>
      </c>
      <c r="L114" s="102">
        <v>23.0</v>
      </c>
      <c r="M114" s="13"/>
    </row>
    <row r="115">
      <c r="A115" s="101" t="s">
        <v>3007</v>
      </c>
      <c r="B115" s="101" t="s">
        <v>3008</v>
      </c>
      <c r="D115" s="13"/>
      <c r="E115" s="13"/>
      <c r="F115" s="13"/>
      <c r="G115" s="102">
        <v>2.0</v>
      </c>
      <c r="H115" s="101" t="s">
        <v>2942</v>
      </c>
      <c r="I115" s="102">
        <v>16.0</v>
      </c>
      <c r="J115" s="102">
        <v>19.68</v>
      </c>
      <c r="K115" s="101" t="s">
        <v>2941</v>
      </c>
      <c r="L115" s="102">
        <v>23.0</v>
      </c>
      <c r="M115" s="13"/>
    </row>
    <row r="116">
      <c r="A116" s="101" t="s">
        <v>3009</v>
      </c>
      <c r="B116" s="101">
        <v>42150.0</v>
      </c>
      <c r="C116" s="13"/>
      <c r="D116" s="13"/>
      <c r="E116" s="13"/>
      <c r="F116" s="13"/>
      <c r="G116" s="102">
        <v>1.0</v>
      </c>
      <c r="H116" s="101" t="s">
        <v>2940</v>
      </c>
      <c r="I116" s="102">
        <v>5.37</v>
      </c>
      <c r="J116" s="102">
        <v>6.61</v>
      </c>
      <c r="K116" s="101" t="s">
        <v>2941</v>
      </c>
      <c r="L116" s="102">
        <v>23.0</v>
      </c>
      <c r="M116" s="13"/>
    </row>
    <row r="117">
      <c r="A117" s="101" t="s">
        <v>3009</v>
      </c>
      <c r="B117" s="101">
        <v>42150.0</v>
      </c>
      <c r="C117" s="13"/>
      <c r="D117" s="13"/>
      <c r="E117" s="13"/>
      <c r="F117" s="13"/>
      <c r="G117" s="102">
        <v>2.0</v>
      </c>
      <c r="H117" s="101" t="s">
        <v>2942</v>
      </c>
      <c r="I117" s="102">
        <v>4.3</v>
      </c>
      <c r="J117" s="102">
        <v>5.29</v>
      </c>
      <c r="K117" s="101" t="s">
        <v>2941</v>
      </c>
      <c r="L117" s="102">
        <v>23.0</v>
      </c>
      <c r="M117" s="13"/>
    </row>
    <row r="118">
      <c r="A118" s="101" t="s">
        <v>3010</v>
      </c>
      <c r="B118" s="101">
        <v>807.0</v>
      </c>
      <c r="C118" s="13"/>
      <c r="D118" s="13"/>
      <c r="E118" s="13"/>
      <c r="F118" s="13"/>
      <c r="G118" s="102">
        <v>1.0</v>
      </c>
      <c r="H118" s="101" t="s">
        <v>2940</v>
      </c>
      <c r="I118" s="102">
        <v>0.81</v>
      </c>
      <c r="J118" s="102">
        <v>1.0</v>
      </c>
      <c r="K118" s="101" t="s">
        <v>2941</v>
      </c>
      <c r="L118" s="102">
        <v>23.0</v>
      </c>
      <c r="M118" s="13"/>
    </row>
    <row r="119">
      <c r="A119" s="101" t="s">
        <v>3010</v>
      </c>
      <c r="B119" s="101">
        <v>807.0</v>
      </c>
      <c r="C119" s="13"/>
      <c r="D119" s="13"/>
      <c r="E119" s="13"/>
      <c r="F119" s="13"/>
      <c r="G119" s="102">
        <v>2.0</v>
      </c>
      <c r="H119" s="101" t="s">
        <v>2942</v>
      </c>
      <c r="I119" s="102">
        <v>0.55</v>
      </c>
      <c r="J119" s="102">
        <v>0.68</v>
      </c>
      <c r="K119" s="101" t="s">
        <v>2941</v>
      </c>
      <c r="L119" s="102">
        <v>23.0</v>
      </c>
      <c r="M119" s="13"/>
    </row>
    <row r="120">
      <c r="A120" s="101" t="s">
        <v>3011</v>
      </c>
      <c r="B120" s="101" t="s">
        <v>3012</v>
      </c>
      <c r="D120" s="13"/>
      <c r="E120" s="13"/>
      <c r="F120" s="13"/>
      <c r="G120" s="102">
        <v>1.0</v>
      </c>
      <c r="H120" s="101" t="s">
        <v>2940</v>
      </c>
      <c r="I120" s="102">
        <v>10.41</v>
      </c>
      <c r="J120" s="102">
        <v>12.8</v>
      </c>
      <c r="K120" s="101" t="s">
        <v>2941</v>
      </c>
      <c r="L120" s="102">
        <v>23.0</v>
      </c>
      <c r="M120" s="13"/>
    </row>
    <row r="121">
      <c r="A121" s="101" t="s">
        <v>3011</v>
      </c>
      <c r="B121" s="101" t="s">
        <v>3012</v>
      </c>
      <c r="D121" s="13"/>
      <c r="E121" s="13"/>
      <c r="F121" s="13"/>
      <c r="G121" s="102">
        <v>2.0</v>
      </c>
      <c r="H121" s="101" t="s">
        <v>2942</v>
      </c>
      <c r="I121" s="102">
        <v>8.3</v>
      </c>
      <c r="J121" s="102">
        <v>10.21</v>
      </c>
      <c r="K121" s="101" t="s">
        <v>2941</v>
      </c>
      <c r="L121" s="102">
        <v>23.0</v>
      </c>
      <c r="M121" s="13"/>
    </row>
    <row r="122">
      <c r="A122" s="101" t="s">
        <v>3013</v>
      </c>
      <c r="B122" s="101" t="s">
        <v>3014</v>
      </c>
      <c r="D122" s="13"/>
      <c r="E122" s="13"/>
      <c r="F122" s="13"/>
      <c r="G122" s="102">
        <v>1.0</v>
      </c>
      <c r="H122" s="101" t="s">
        <v>2940</v>
      </c>
      <c r="I122" s="102">
        <v>9.35</v>
      </c>
      <c r="J122" s="102">
        <v>11.5</v>
      </c>
      <c r="K122" s="101" t="s">
        <v>2941</v>
      </c>
      <c r="L122" s="102">
        <v>23.0</v>
      </c>
      <c r="M122" s="13"/>
    </row>
    <row r="123">
      <c r="A123" s="101" t="s">
        <v>3013</v>
      </c>
      <c r="B123" s="101" t="s">
        <v>3014</v>
      </c>
      <c r="D123" s="13"/>
      <c r="E123" s="13"/>
      <c r="F123" s="13"/>
      <c r="G123" s="102">
        <v>2.0</v>
      </c>
      <c r="H123" s="101" t="s">
        <v>2942</v>
      </c>
      <c r="I123" s="102">
        <v>7.5</v>
      </c>
      <c r="J123" s="102">
        <v>9.23</v>
      </c>
      <c r="K123" s="101" t="s">
        <v>2941</v>
      </c>
      <c r="L123" s="102">
        <v>23.0</v>
      </c>
      <c r="M123" s="13"/>
    </row>
    <row r="124">
      <c r="A124" s="101" t="s">
        <v>3015</v>
      </c>
      <c r="B124" s="101">
        <v>435.0</v>
      </c>
      <c r="C124" s="13"/>
      <c r="D124" s="13"/>
      <c r="E124" s="13"/>
      <c r="F124" s="13"/>
      <c r="G124" s="102">
        <v>1.0</v>
      </c>
      <c r="H124" s="101" t="s">
        <v>2940</v>
      </c>
      <c r="I124" s="102">
        <v>13.98</v>
      </c>
      <c r="J124" s="102">
        <v>17.2</v>
      </c>
      <c r="K124" s="101" t="s">
        <v>2941</v>
      </c>
      <c r="L124" s="102">
        <v>23.0</v>
      </c>
      <c r="M124" s="13"/>
    </row>
    <row r="125">
      <c r="A125" s="101" t="s">
        <v>3015</v>
      </c>
      <c r="B125" s="101">
        <v>435.0</v>
      </c>
      <c r="C125" s="13"/>
      <c r="D125" s="13"/>
      <c r="E125" s="13"/>
      <c r="F125" s="13"/>
      <c r="G125" s="102">
        <v>2.0</v>
      </c>
      <c r="H125" s="101" t="s">
        <v>2942</v>
      </c>
      <c r="I125" s="102">
        <v>14.0</v>
      </c>
      <c r="J125" s="102">
        <v>17.22</v>
      </c>
      <c r="K125" s="101" t="s">
        <v>2941</v>
      </c>
      <c r="L125" s="102">
        <v>23.0</v>
      </c>
      <c r="M125" s="13"/>
    </row>
    <row r="126">
      <c r="A126" s="101" t="s">
        <v>3016</v>
      </c>
      <c r="B126" s="101">
        <v>42720.0</v>
      </c>
      <c r="C126" s="13"/>
      <c r="D126" s="13"/>
      <c r="E126" s="13"/>
      <c r="F126" s="13"/>
      <c r="G126" s="102">
        <v>1.0</v>
      </c>
      <c r="H126" s="101" t="s">
        <v>2940</v>
      </c>
      <c r="I126" s="102">
        <v>9.35</v>
      </c>
      <c r="J126" s="102">
        <v>11.5</v>
      </c>
      <c r="K126" s="101" t="s">
        <v>2941</v>
      </c>
      <c r="L126" s="102">
        <v>23.0</v>
      </c>
      <c r="M126" s="13"/>
    </row>
    <row r="127">
      <c r="A127" s="101" t="s">
        <v>3016</v>
      </c>
      <c r="B127" s="101">
        <v>42720.0</v>
      </c>
      <c r="C127" s="13"/>
      <c r="D127" s="13"/>
      <c r="E127" s="13"/>
      <c r="F127" s="13"/>
      <c r="G127" s="102">
        <v>2.0</v>
      </c>
      <c r="H127" s="101" t="s">
        <v>2942</v>
      </c>
      <c r="I127" s="102">
        <v>7.5</v>
      </c>
      <c r="J127" s="102">
        <v>9.23</v>
      </c>
      <c r="K127" s="101" t="s">
        <v>2941</v>
      </c>
      <c r="L127" s="102">
        <v>23.0</v>
      </c>
      <c r="M127" s="13"/>
    </row>
    <row r="128">
      <c r="A128" s="101" t="s">
        <v>3017</v>
      </c>
      <c r="B128" s="101">
        <v>42717.0</v>
      </c>
      <c r="C128" s="13"/>
      <c r="D128" s="13"/>
      <c r="E128" s="13"/>
      <c r="F128" s="13"/>
      <c r="G128" s="102">
        <v>1.0</v>
      </c>
      <c r="H128" s="101" t="s">
        <v>2940</v>
      </c>
      <c r="I128" s="102">
        <v>8.62</v>
      </c>
      <c r="J128" s="102">
        <v>10.6</v>
      </c>
      <c r="K128" s="101" t="s">
        <v>2941</v>
      </c>
      <c r="L128" s="102">
        <v>23.0</v>
      </c>
      <c r="M128" s="13"/>
    </row>
    <row r="129">
      <c r="A129" s="101" t="s">
        <v>3017</v>
      </c>
      <c r="B129" s="101">
        <v>42717.0</v>
      </c>
      <c r="C129" s="13"/>
      <c r="D129" s="13"/>
      <c r="E129" s="13"/>
      <c r="F129" s="13"/>
      <c r="G129" s="102">
        <v>2.0</v>
      </c>
      <c r="H129" s="101" t="s">
        <v>2942</v>
      </c>
      <c r="I129" s="102">
        <v>6.9</v>
      </c>
      <c r="J129" s="102">
        <v>8.49</v>
      </c>
      <c r="K129" s="101" t="s">
        <v>2941</v>
      </c>
      <c r="L129" s="102">
        <v>23.0</v>
      </c>
      <c r="M129" s="13"/>
    </row>
    <row r="130">
      <c r="A130" s="101" t="s">
        <v>3018</v>
      </c>
      <c r="B130" s="101" t="s">
        <v>3019</v>
      </c>
      <c r="D130" s="13"/>
      <c r="E130" s="13"/>
      <c r="F130" s="13"/>
      <c r="G130" s="102">
        <v>1.0</v>
      </c>
      <c r="H130" s="101" t="s">
        <v>2940</v>
      </c>
      <c r="I130" s="102">
        <v>17.4</v>
      </c>
      <c r="J130" s="102">
        <v>21.4</v>
      </c>
      <c r="K130" s="101" t="s">
        <v>2941</v>
      </c>
      <c r="L130" s="102">
        <v>23.0</v>
      </c>
      <c r="M130" s="13"/>
    </row>
    <row r="131">
      <c r="A131" s="101" t="s">
        <v>3018</v>
      </c>
      <c r="B131" s="101" t="s">
        <v>3019</v>
      </c>
      <c r="D131" s="13"/>
      <c r="E131" s="13"/>
      <c r="F131" s="13"/>
      <c r="G131" s="102">
        <v>2.0</v>
      </c>
      <c r="H131" s="101" t="s">
        <v>2942</v>
      </c>
      <c r="I131" s="102">
        <v>13.9</v>
      </c>
      <c r="J131" s="102">
        <v>17.1</v>
      </c>
      <c r="K131" s="101" t="s">
        <v>2941</v>
      </c>
      <c r="L131" s="102">
        <v>23.0</v>
      </c>
      <c r="M131" s="13"/>
    </row>
    <row r="132">
      <c r="A132" s="101" t="s">
        <v>3020</v>
      </c>
      <c r="B132" s="101" t="s">
        <v>3021</v>
      </c>
      <c r="D132" s="13"/>
      <c r="E132" s="13"/>
      <c r="F132" s="13"/>
      <c r="G132" s="102">
        <v>1.0</v>
      </c>
      <c r="H132" s="101" t="s">
        <v>2940</v>
      </c>
      <c r="I132" s="102">
        <v>12.6</v>
      </c>
      <c r="J132" s="102">
        <v>15.5</v>
      </c>
      <c r="K132" s="101" t="s">
        <v>2941</v>
      </c>
      <c r="L132" s="102">
        <v>23.0</v>
      </c>
      <c r="M132" s="13"/>
    </row>
    <row r="133">
      <c r="A133" s="101" t="s">
        <v>3020</v>
      </c>
      <c r="B133" s="101" t="s">
        <v>3021</v>
      </c>
      <c r="D133" s="13"/>
      <c r="E133" s="13"/>
      <c r="F133" s="13"/>
      <c r="G133" s="102">
        <v>2.0</v>
      </c>
      <c r="H133" s="101" t="s">
        <v>2942</v>
      </c>
      <c r="I133" s="102">
        <v>10.1</v>
      </c>
      <c r="J133" s="102">
        <v>12.42</v>
      </c>
      <c r="K133" s="101" t="s">
        <v>2941</v>
      </c>
      <c r="L133" s="102">
        <v>23.0</v>
      </c>
      <c r="M133" s="13"/>
    </row>
    <row r="134">
      <c r="A134" s="101" t="s">
        <v>3022</v>
      </c>
      <c r="B134" s="101">
        <v>42716.0</v>
      </c>
      <c r="C134" s="13"/>
      <c r="D134" s="13"/>
      <c r="E134" s="13"/>
      <c r="F134" s="13"/>
      <c r="G134" s="102">
        <v>1.0</v>
      </c>
      <c r="H134" s="101" t="s">
        <v>2940</v>
      </c>
      <c r="I134" s="102">
        <v>9.35</v>
      </c>
      <c r="J134" s="102">
        <v>11.5</v>
      </c>
      <c r="K134" s="101" t="s">
        <v>2941</v>
      </c>
      <c r="L134" s="102">
        <v>23.0</v>
      </c>
      <c r="M134" s="13"/>
    </row>
    <row r="135">
      <c r="A135" s="101" t="s">
        <v>3022</v>
      </c>
      <c r="B135" s="101">
        <v>42716.0</v>
      </c>
      <c r="C135" s="13"/>
      <c r="D135" s="13"/>
      <c r="E135" s="13"/>
      <c r="F135" s="13"/>
      <c r="G135" s="102">
        <v>2.0</v>
      </c>
      <c r="H135" s="101" t="s">
        <v>2942</v>
      </c>
      <c r="I135" s="102">
        <v>7.5</v>
      </c>
      <c r="J135" s="102">
        <v>9.23</v>
      </c>
      <c r="K135" s="101" t="s">
        <v>2941</v>
      </c>
      <c r="L135" s="102">
        <v>23.0</v>
      </c>
      <c r="M135" s="13"/>
    </row>
    <row r="136">
      <c r="A136" s="101" t="s">
        <v>3023</v>
      </c>
      <c r="B136" s="101" t="s">
        <v>3024</v>
      </c>
      <c r="D136" s="13"/>
      <c r="E136" s="13"/>
      <c r="F136" s="13"/>
      <c r="G136" s="102">
        <v>1.0</v>
      </c>
      <c r="H136" s="101" t="s">
        <v>2940</v>
      </c>
      <c r="I136" s="102">
        <v>12.6</v>
      </c>
      <c r="J136" s="102">
        <v>15.5</v>
      </c>
      <c r="K136" s="101" t="s">
        <v>2941</v>
      </c>
      <c r="L136" s="102">
        <v>23.0</v>
      </c>
      <c r="M136" s="13"/>
    </row>
    <row r="137">
      <c r="A137" s="101" t="s">
        <v>3023</v>
      </c>
      <c r="B137" s="101" t="s">
        <v>3024</v>
      </c>
      <c r="D137" s="13"/>
      <c r="E137" s="13"/>
      <c r="F137" s="13"/>
      <c r="G137" s="102">
        <v>2.0</v>
      </c>
      <c r="H137" s="101" t="s">
        <v>2942</v>
      </c>
      <c r="I137" s="102">
        <v>10.1</v>
      </c>
      <c r="J137" s="102">
        <v>12.42</v>
      </c>
      <c r="K137" s="101" t="s">
        <v>2941</v>
      </c>
      <c r="L137" s="102">
        <v>23.0</v>
      </c>
      <c r="M137" s="13"/>
    </row>
    <row r="138">
      <c r="A138" s="101" t="s">
        <v>3025</v>
      </c>
      <c r="B138" s="101">
        <v>698.0</v>
      </c>
      <c r="C138" s="13"/>
      <c r="D138" s="13"/>
      <c r="E138" s="13"/>
      <c r="F138" s="13"/>
      <c r="G138" s="102">
        <v>1.0</v>
      </c>
      <c r="H138" s="101" t="s">
        <v>2940</v>
      </c>
      <c r="I138" s="102">
        <v>10.0</v>
      </c>
      <c r="J138" s="102">
        <v>12.3</v>
      </c>
      <c r="K138" s="101" t="s">
        <v>2941</v>
      </c>
      <c r="L138" s="102">
        <v>23.0</v>
      </c>
      <c r="M138" s="13"/>
    </row>
    <row r="139">
      <c r="A139" s="101" t="s">
        <v>3025</v>
      </c>
      <c r="B139" s="101">
        <v>698.0</v>
      </c>
      <c r="C139" s="13"/>
      <c r="D139" s="13"/>
      <c r="E139" s="13"/>
      <c r="F139" s="13"/>
      <c r="G139" s="102">
        <v>2.0</v>
      </c>
      <c r="H139" s="101" t="s">
        <v>2942</v>
      </c>
      <c r="I139" s="102">
        <v>10.0</v>
      </c>
      <c r="J139" s="102">
        <v>12.3</v>
      </c>
      <c r="K139" s="101" t="s">
        <v>2941</v>
      </c>
      <c r="L139" s="102">
        <v>23.0</v>
      </c>
      <c r="M139" s="13"/>
    </row>
    <row r="140">
      <c r="A140" s="101" t="s">
        <v>3026</v>
      </c>
      <c r="B140" s="101">
        <v>42725.0</v>
      </c>
      <c r="C140" s="13"/>
      <c r="D140" s="13"/>
      <c r="E140" s="13"/>
      <c r="F140" s="13"/>
      <c r="G140" s="102">
        <v>1.0</v>
      </c>
      <c r="H140" s="101" t="s">
        <v>2940</v>
      </c>
      <c r="I140" s="102">
        <v>9.35</v>
      </c>
      <c r="J140" s="102">
        <v>11.5</v>
      </c>
      <c r="K140" s="101" t="s">
        <v>2941</v>
      </c>
      <c r="L140" s="102">
        <v>23.0</v>
      </c>
      <c r="M140" s="13"/>
    </row>
    <row r="141">
      <c r="A141" s="101" t="s">
        <v>3026</v>
      </c>
      <c r="B141" s="101">
        <v>42725.0</v>
      </c>
      <c r="C141" s="13"/>
      <c r="D141" s="13"/>
      <c r="E141" s="13"/>
      <c r="F141" s="13"/>
      <c r="G141" s="102">
        <v>2.0</v>
      </c>
      <c r="H141" s="101" t="s">
        <v>2942</v>
      </c>
      <c r="I141" s="102">
        <v>7.5</v>
      </c>
      <c r="J141" s="102">
        <v>9.23</v>
      </c>
      <c r="K141" s="101" t="s">
        <v>2941</v>
      </c>
      <c r="L141" s="102">
        <v>23.0</v>
      </c>
      <c r="M141" s="13"/>
    </row>
    <row r="142">
      <c r="A142" s="101" t="s">
        <v>3027</v>
      </c>
      <c r="B142" s="101">
        <v>42724.0</v>
      </c>
      <c r="C142" s="13"/>
      <c r="D142" s="13"/>
      <c r="E142" s="13"/>
      <c r="F142" s="13"/>
      <c r="G142" s="102">
        <v>1.0</v>
      </c>
      <c r="H142" s="101" t="s">
        <v>2940</v>
      </c>
      <c r="I142" s="102">
        <v>8.62</v>
      </c>
      <c r="J142" s="102">
        <v>10.6</v>
      </c>
      <c r="K142" s="101" t="s">
        <v>2941</v>
      </c>
      <c r="L142" s="102">
        <v>23.0</v>
      </c>
      <c r="M142" s="13"/>
    </row>
    <row r="143">
      <c r="A143" s="101" t="s">
        <v>3027</v>
      </c>
      <c r="B143" s="101">
        <v>42724.0</v>
      </c>
      <c r="C143" s="13"/>
      <c r="D143" s="13"/>
      <c r="E143" s="13"/>
      <c r="F143" s="13"/>
      <c r="G143" s="102">
        <v>2.0</v>
      </c>
      <c r="H143" s="101" t="s">
        <v>2942</v>
      </c>
      <c r="I143" s="102">
        <v>6.9</v>
      </c>
      <c r="J143" s="102">
        <v>8.49</v>
      </c>
      <c r="K143" s="101" t="s">
        <v>2941</v>
      </c>
      <c r="L143" s="102">
        <v>23.0</v>
      </c>
      <c r="M143" s="13"/>
    </row>
    <row r="144">
      <c r="A144" s="101" t="s">
        <v>3028</v>
      </c>
      <c r="B144" s="101">
        <v>1625.0</v>
      </c>
      <c r="C144" s="13"/>
      <c r="D144" s="13"/>
      <c r="E144" s="13"/>
      <c r="F144" s="13"/>
      <c r="G144" s="102">
        <v>1.0</v>
      </c>
      <c r="H144" s="101" t="s">
        <v>2940</v>
      </c>
      <c r="I144" s="102">
        <v>13.5</v>
      </c>
      <c r="J144" s="102">
        <v>16.61</v>
      </c>
      <c r="K144" s="101" t="s">
        <v>2941</v>
      </c>
      <c r="L144" s="102">
        <v>23.0</v>
      </c>
      <c r="M144" s="13"/>
    </row>
    <row r="145">
      <c r="A145" s="101" t="s">
        <v>3028</v>
      </c>
      <c r="B145" s="101">
        <v>1625.0</v>
      </c>
      <c r="C145" s="13"/>
      <c r="D145" s="13"/>
      <c r="E145" s="13"/>
      <c r="F145" s="13"/>
      <c r="G145" s="102">
        <v>2.0</v>
      </c>
      <c r="H145" s="101" t="s">
        <v>2942</v>
      </c>
      <c r="I145" s="102">
        <v>13.5</v>
      </c>
      <c r="J145" s="102">
        <v>16.61</v>
      </c>
      <c r="K145" s="101" t="s">
        <v>2941</v>
      </c>
      <c r="L145" s="102">
        <v>23.0</v>
      </c>
      <c r="M145" s="13"/>
    </row>
    <row r="146">
      <c r="A146" s="101" t="s">
        <v>3029</v>
      </c>
      <c r="B146" s="101">
        <v>42723.0</v>
      </c>
      <c r="C146" s="13"/>
      <c r="D146" s="13"/>
      <c r="E146" s="13"/>
      <c r="F146" s="13"/>
      <c r="G146" s="102">
        <v>1.0</v>
      </c>
      <c r="H146" s="101" t="s">
        <v>2940</v>
      </c>
      <c r="I146" s="102">
        <v>9.35</v>
      </c>
      <c r="J146" s="102">
        <v>11.5</v>
      </c>
      <c r="K146" s="101" t="s">
        <v>2941</v>
      </c>
      <c r="L146" s="102">
        <v>23.0</v>
      </c>
      <c r="M146" s="13"/>
    </row>
    <row r="147">
      <c r="A147" s="101" t="s">
        <v>3029</v>
      </c>
      <c r="B147" s="101">
        <v>42723.0</v>
      </c>
      <c r="C147" s="13"/>
      <c r="D147" s="13"/>
      <c r="E147" s="13"/>
      <c r="F147" s="13"/>
      <c r="G147" s="102">
        <v>2.0</v>
      </c>
      <c r="H147" s="101" t="s">
        <v>2942</v>
      </c>
      <c r="I147" s="102">
        <v>7.5</v>
      </c>
      <c r="J147" s="102">
        <v>9.23</v>
      </c>
      <c r="K147" s="101" t="s">
        <v>2941</v>
      </c>
      <c r="L147" s="102">
        <v>23.0</v>
      </c>
      <c r="M147" s="13"/>
    </row>
    <row r="148">
      <c r="A148" s="101" t="s">
        <v>3030</v>
      </c>
      <c r="B148" s="101">
        <v>800.0</v>
      </c>
      <c r="C148" s="13"/>
      <c r="D148" s="13"/>
      <c r="E148" s="13"/>
      <c r="F148" s="13"/>
      <c r="G148" s="102">
        <v>1.0</v>
      </c>
      <c r="H148" s="101" t="s">
        <v>2940</v>
      </c>
      <c r="I148" s="102">
        <v>13.5</v>
      </c>
      <c r="J148" s="102">
        <v>16.61</v>
      </c>
      <c r="K148" s="101" t="s">
        <v>2941</v>
      </c>
      <c r="L148" s="102">
        <v>23.0</v>
      </c>
      <c r="M148" s="13"/>
    </row>
    <row r="149">
      <c r="A149" s="101" t="s">
        <v>3030</v>
      </c>
      <c r="B149" s="101">
        <v>800.0</v>
      </c>
      <c r="C149" s="13"/>
      <c r="D149" s="13"/>
      <c r="E149" s="13"/>
      <c r="F149" s="13"/>
      <c r="G149" s="102">
        <v>2.0</v>
      </c>
      <c r="H149" s="101" t="s">
        <v>2942</v>
      </c>
      <c r="I149" s="102">
        <v>13.5</v>
      </c>
      <c r="J149" s="102">
        <v>16.61</v>
      </c>
      <c r="K149" s="101" t="s">
        <v>2941</v>
      </c>
      <c r="L149" s="102">
        <v>23.0</v>
      </c>
      <c r="M149" s="13"/>
    </row>
    <row r="150">
      <c r="A150" s="101" t="s">
        <v>3031</v>
      </c>
      <c r="B150" s="101">
        <v>42727.0</v>
      </c>
      <c r="C150" s="13"/>
      <c r="D150" s="13"/>
      <c r="E150" s="13"/>
      <c r="F150" s="13"/>
      <c r="G150" s="102">
        <v>1.0</v>
      </c>
      <c r="H150" s="101" t="s">
        <v>2940</v>
      </c>
      <c r="I150" s="102">
        <v>10.0</v>
      </c>
      <c r="J150" s="102">
        <v>12.3</v>
      </c>
      <c r="K150" s="101" t="s">
        <v>2941</v>
      </c>
      <c r="L150" s="102">
        <v>23.0</v>
      </c>
      <c r="M150" s="13"/>
    </row>
    <row r="151">
      <c r="A151" s="101" t="s">
        <v>3031</v>
      </c>
      <c r="B151" s="101">
        <v>42727.0</v>
      </c>
      <c r="C151" s="13"/>
      <c r="D151" s="13"/>
      <c r="E151" s="13"/>
      <c r="F151" s="13"/>
      <c r="G151" s="102">
        <v>2.0</v>
      </c>
      <c r="H151" s="101" t="s">
        <v>2942</v>
      </c>
      <c r="I151" s="102">
        <v>8.0</v>
      </c>
      <c r="J151" s="102">
        <v>9.84</v>
      </c>
      <c r="K151" s="101" t="s">
        <v>2941</v>
      </c>
      <c r="L151" s="102">
        <v>23.0</v>
      </c>
      <c r="M151" s="13"/>
    </row>
    <row r="152">
      <c r="A152" s="101" t="s">
        <v>3032</v>
      </c>
      <c r="B152" s="101">
        <v>1522.0</v>
      </c>
      <c r="C152" s="13"/>
      <c r="D152" s="13"/>
      <c r="E152" s="13"/>
      <c r="F152" s="13"/>
      <c r="G152" s="102">
        <v>1.0</v>
      </c>
      <c r="H152" s="101" t="s">
        <v>2940</v>
      </c>
      <c r="I152" s="102">
        <v>10.33</v>
      </c>
      <c r="J152" s="102">
        <v>12.71</v>
      </c>
      <c r="K152" s="101" t="s">
        <v>2941</v>
      </c>
      <c r="L152" s="102">
        <v>23.0</v>
      </c>
      <c r="M152" s="13"/>
    </row>
    <row r="153">
      <c r="A153" s="101" t="s">
        <v>3032</v>
      </c>
      <c r="B153" s="101">
        <v>1522.0</v>
      </c>
      <c r="C153" s="13"/>
      <c r="D153" s="13"/>
      <c r="E153" s="13"/>
      <c r="F153" s="13"/>
      <c r="G153" s="102">
        <v>2.0</v>
      </c>
      <c r="H153" s="101" t="s">
        <v>2942</v>
      </c>
      <c r="I153" s="102">
        <v>10.3</v>
      </c>
      <c r="J153" s="102">
        <v>12.67</v>
      </c>
      <c r="K153" s="101" t="s">
        <v>2941</v>
      </c>
      <c r="L153" s="102">
        <v>23.0</v>
      </c>
      <c r="M153" s="13"/>
    </row>
    <row r="154">
      <c r="A154" s="101" t="s">
        <v>3033</v>
      </c>
      <c r="B154" s="101">
        <v>42726.0</v>
      </c>
      <c r="C154" s="13"/>
      <c r="D154" s="13"/>
      <c r="E154" s="13"/>
      <c r="F154" s="13"/>
      <c r="G154" s="102">
        <v>1.0</v>
      </c>
      <c r="H154" s="101" t="s">
        <v>2940</v>
      </c>
      <c r="I154" s="102">
        <v>9.27</v>
      </c>
      <c r="J154" s="102">
        <v>11.4</v>
      </c>
      <c r="K154" s="101" t="s">
        <v>2941</v>
      </c>
      <c r="L154" s="102">
        <v>23.0</v>
      </c>
      <c r="M154" s="13"/>
    </row>
    <row r="155">
      <c r="A155" s="101" t="s">
        <v>3033</v>
      </c>
      <c r="B155" s="101">
        <v>42726.0</v>
      </c>
      <c r="C155" s="13"/>
      <c r="D155" s="13"/>
      <c r="E155" s="13"/>
      <c r="F155" s="13"/>
      <c r="G155" s="102">
        <v>2.0</v>
      </c>
      <c r="H155" s="101" t="s">
        <v>2942</v>
      </c>
      <c r="I155" s="102">
        <v>7.4</v>
      </c>
      <c r="J155" s="102">
        <v>9.1</v>
      </c>
      <c r="K155" s="101" t="s">
        <v>2941</v>
      </c>
      <c r="L155" s="102">
        <v>23.0</v>
      </c>
      <c r="M155" s="13"/>
    </row>
    <row r="156">
      <c r="A156" s="101" t="s">
        <v>3034</v>
      </c>
      <c r="B156" s="101" t="s">
        <v>3035</v>
      </c>
      <c r="D156" s="13"/>
      <c r="E156" s="13"/>
      <c r="F156" s="13"/>
      <c r="G156" s="102">
        <v>1.0</v>
      </c>
      <c r="H156" s="101" t="s">
        <v>2940</v>
      </c>
      <c r="I156" s="102">
        <v>12.6</v>
      </c>
      <c r="J156" s="102">
        <v>15.5</v>
      </c>
      <c r="K156" s="101" t="s">
        <v>2941</v>
      </c>
      <c r="L156" s="102">
        <v>23.0</v>
      </c>
      <c r="M156" s="13"/>
    </row>
    <row r="157">
      <c r="A157" s="101" t="s">
        <v>3034</v>
      </c>
      <c r="B157" s="101" t="s">
        <v>3035</v>
      </c>
      <c r="D157" s="13"/>
      <c r="E157" s="13"/>
      <c r="F157" s="13"/>
      <c r="G157" s="102">
        <v>2.0</v>
      </c>
      <c r="H157" s="101" t="s">
        <v>2942</v>
      </c>
      <c r="I157" s="102">
        <v>10.1</v>
      </c>
      <c r="J157" s="102">
        <v>12.42</v>
      </c>
      <c r="K157" s="101" t="s">
        <v>2941</v>
      </c>
      <c r="L157" s="102">
        <v>23.0</v>
      </c>
      <c r="M157" s="13"/>
    </row>
    <row r="158">
      <c r="A158" s="101" t="s">
        <v>3036</v>
      </c>
      <c r="B158" s="101">
        <v>42719.0</v>
      </c>
      <c r="C158" s="13"/>
      <c r="D158" s="13"/>
      <c r="E158" s="13"/>
      <c r="F158" s="13"/>
      <c r="G158" s="102">
        <v>1.0</v>
      </c>
      <c r="H158" s="101" t="s">
        <v>2940</v>
      </c>
      <c r="I158" s="102">
        <v>10.0</v>
      </c>
      <c r="J158" s="102">
        <v>12.3</v>
      </c>
      <c r="K158" s="101" t="s">
        <v>2941</v>
      </c>
      <c r="L158" s="102">
        <v>23.0</v>
      </c>
      <c r="M158" s="13"/>
    </row>
    <row r="159">
      <c r="A159" s="101" t="s">
        <v>3036</v>
      </c>
      <c r="B159" s="101">
        <v>42719.0</v>
      </c>
      <c r="C159" s="13"/>
      <c r="D159" s="13"/>
      <c r="E159" s="13"/>
      <c r="F159" s="13"/>
      <c r="G159" s="102">
        <v>2.0</v>
      </c>
      <c r="H159" s="101" t="s">
        <v>2942</v>
      </c>
      <c r="I159" s="102">
        <v>8.0</v>
      </c>
      <c r="J159" s="102">
        <v>9.84</v>
      </c>
      <c r="K159" s="101" t="s">
        <v>2941</v>
      </c>
      <c r="L159" s="102">
        <v>23.0</v>
      </c>
      <c r="M159" s="13"/>
    </row>
    <row r="160">
      <c r="A160" s="101" t="s">
        <v>3037</v>
      </c>
      <c r="B160" s="101">
        <v>42718.0</v>
      </c>
      <c r="C160" s="13"/>
      <c r="D160" s="13"/>
      <c r="E160" s="13"/>
      <c r="F160" s="13"/>
      <c r="G160" s="102">
        <v>1.0</v>
      </c>
      <c r="H160" s="101" t="s">
        <v>2940</v>
      </c>
      <c r="I160" s="102">
        <v>9.19</v>
      </c>
      <c r="J160" s="102">
        <v>11.3</v>
      </c>
      <c r="K160" s="101" t="s">
        <v>2941</v>
      </c>
      <c r="L160" s="102">
        <v>23.0</v>
      </c>
      <c r="M160" s="13"/>
    </row>
    <row r="161">
      <c r="A161" s="101" t="s">
        <v>3037</v>
      </c>
      <c r="B161" s="101">
        <v>42718.0</v>
      </c>
      <c r="C161" s="13"/>
      <c r="D161" s="13"/>
      <c r="E161" s="13"/>
      <c r="F161" s="13"/>
      <c r="G161" s="102">
        <v>2.0</v>
      </c>
      <c r="H161" s="101" t="s">
        <v>2942</v>
      </c>
      <c r="I161" s="102">
        <v>7.3</v>
      </c>
      <c r="J161" s="102">
        <v>8.98</v>
      </c>
      <c r="K161" s="101" t="s">
        <v>2941</v>
      </c>
      <c r="L161" s="102">
        <v>23.0</v>
      </c>
      <c r="M161" s="13"/>
    </row>
    <row r="162">
      <c r="A162" s="101" t="s">
        <v>3038</v>
      </c>
      <c r="B162" s="101">
        <v>660.0</v>
      </c>
      <c r="C162" s="13"/>
      <c r="D162" s="13"/>
      <c r="E162" s="13"/>
      <c r="F162" s="13"/>
      <c r="G162" s="102">
        <v>1.0</v>
      </c>
      <c r="H162" s="101" t="s">
        <v>2940</v>
      </c>
      <c r="I162" s="102">
        <v>24.07</v>
      </c>
      <c r="J162" s="102">
        <v>29.61</v>
      </c>
      <c r="K162" s="101" t="s">
        <v>2941</v>
      </c>
      <c r="L162" s="102">
        <v>23.0</v>
      </c>
      <c r="M162" s="13"/>
    </row>
    <row r="163">
      <c r="A163" s="101" t="s">
        <v>3038</v>
      </c>
      <c r="B163" s="101">
        <v>660.0</v>
      </c>
      <c r="C163" s="13"/>
      <c r="D163" s="13"/>
      <c r="E163" s="13"/>
      <c r="F163" s="13"/>
      <c r="G163" s="102">
        <v>2.0</v>
      </c>
      <c r="H163" s="101" t="s">
        <v>2942</v>
      </c>
      <c r="I163" s="102">
        <v>24.1</v>
      </c>
      <c r="J163" s="102">
        <v>29.64</v>
      </c>
      <c r="K163" s="101" t="s">
        <v>2941</v>
      </c>
      <c r="L163" s="102">
        <v>23.0</v>
      </c>
      <c r="M163" s="13"/>
    </row>
    <row r="164">
      <c r="A164" s="101" t="s">
        <v>3039</v>
      </c>
      <c r="B164" s="101">
        <v>1506.0</v>
      </c>
      <c r="C164" s="13"/>
      <c r="D164" s="13"/>
      <c r="E164" s="13"/>
      <c r="F164" s="13"/>
      <c r="G164" s="102">
        <v>1.0</v>
      </c>
      <c r="H164" s="101" t="s">
        <v>2940</v>
      </c>
      <c r="I164" s="102">
        <v>12.4</v>
      </c>
      <c r="J164" s="102">
        <v>15.25</v>
      </c>
      <c r="K164" s="101" t="s">
        <v>2941</v>
      </c>
      <c r="L164" s="102">
        <v>23.0</v>
      </c>
      <c r="M164" s="13"/>
    </row>
    <row r="165">
      <c r="A165" s="101" t="s">
        <v>3039</v>
      </c>
      <c r="B165" s="101">
        <v>1506.0</v>
      </c>
      <c r="C165" s="13"/>
      <c r="D165" s="13"/>
      <c r="E165" s="13"/>
      <c r="F165" s="13"/>
      <c r="G165" s="102">
        <v>2.0</v>
      </c>
      <c r="H165" s="101" t="s">
        <v>2942</v>
      </c>
      <c r="I165" s="102">
        <v>12.4</v>
      </c>
      <c r="J165" s="102">
        <v>15.25</v>
      </c>
      <c r="K165" s="101" t="s">
        <v>2941</v>
      </c>
      <c r="L165" s="102">
        <v>23.0</v>
      </c>
      <c r="M165" s="13"/>
    </row>
    <row r="166">
      <c r="A166" s="101" t="s">
        <v>3040</v>
      </c>
      <c r="B166" s="101">
        <v>42161.0</v>
      </c>
      <c r="C166" s="13"/>
      <c r="D166" s="13"/>
      <c r="E166" s="13"/>
      <c r="F166" s="13"/>
      <c r="G166" s="102">
        <v>1.0</v>
      </c>
      <c r="H166" s="101" t="s">
        <v>2940</v>
      </c>
      <c r="I166" s="102">
        <v>8.2</v>
      </c>
      <c r="J166" s="102">
        <v>10.09</v>
      </c>
      <c r="K166" s="101" t="s">
        <v>2941</v>
      </c>
      <c r="L166" s="102">
        <v>23.0</v>
      </c>
      <c r="M166" s="13"/>
    </row>
    <row r="167">
      <c r="A167" s="101" t="s">
        <v>3040</v>
      </c>
      <c r="B167" s="101">
        <v>42161.0</v>
      </c>
      <c r="C167" s="13"/>
      <c r="D167" s="13"/>
      <c r="E167" s="13"/>
      <c r="F167" s="13"/>
      <c r="G167" s="102">
        <v>2.0</v>
      </c>
      <c r="H167" s="101" t="s">
        <v>2942</v>
      </c>
      <c r="I167" s="102">
        <v>8.2</v>
      </c>
      <c r="J167" s="102">
        <v>10.09</v>
      </c>
      <c r="K167" s="101" t="s">
        <v>2941</v>
      </c>
      <c r="L167" s="102">
        <v>23.0</v>
      </c>
      <c r="M167" s="13"/>
    </row>
    <row r="168">
      <c r="A168" s="101" t="s">
        <v>3041</v>
      </c>
      <c r="B168" s="101" t="s">
        <v>3042</v>
      </c>
      <c r="D168" s="13"/>
      <c r="E168" s="13"/>
      <c r="F168" s="13"/>
      <c r="G168" s="102">
        <v>1.0</v>
      </c>
      <c r="H168" s="101" t="s">
        <v>2940</v>
      </c>
      <c r="I168" s="102">
        <v>38.21</v>
      </c>
      <c r="J168" s="102">
        <v>47.0</v>
      </c>
      <c r="K168" s="101" t="s">
        <v>2941</v>
      </c>
      <c r="L168" s="102">
        <v>23.0</v>
      </c>
      <c r="M168" s="13"/>
    </row>
    <row r="169">
      <c r="A169" s="101" t="s">
        <v>3041</v>
      </c>
      <c r="B169" s="101" t="s">
        <v>3042</v>
      </c>
      <c r="D169" s="13"/>
      <c r="E169" s="13"/>
      <c r="F169" s="13"/>
      <c r="G169" s="102">
        <v>2.0</v>
      </c>
      <c r="H169" s="101" t="s">
        <v>2942</v>
      </c>
      <c r="I169" s="102">
        <v>30.6</v>
      </c>
      <c r="J169" s="102">
        <v>37.64</v>
      </c>
      <c r="K169" s="101" t="s">
        <v>2941</v>
      </c>
      <c r="L169" s="102">
        <v>23.0</v>
      </c>
      <c r="M169" s="13"/>
    </row>
    <row r="170">
      <c r="A170" s="101" t="s">
        <v>3043</v>
      </c>
      <c r="B170" s="101" t="s">
        <v>3044</v>
      </c>
      <c r="D170" s="13"/>
      <c r="E170" s="13"/>
      <c r="F170" s="13"/>
      <c r="G170" s="102">
        <v>1.0</v>
      </c>
      <c r="H170" s="101" t="s">
        <v>2940</v>
      </c>
      <c r="I170" s="102">
        <v>38.21</v>
      </c>
      <c r="J170" s="102">
        <v>47.0</v>
      </c>
      <c r="K170" s="101" t="s">
        <v>2941</v>
      </c>
      <c r="L170" s="102">
        <v>23.0</v>
      </c>
      <c r="M170" s="13"/>
    </row>
    <row r="171">
      <c r="A171" s="101" t="s">
        <v>3043</v>
      </c>
      <c r="B171" s="101" t="s">
        <v>3044</v>
      </c>
      <c r="D171" s="13"/>
      <c r="E171" s="13"/>
      <c r="F171" s="13"/>
      <c r="G171" s="102">
        <v>2.0</v>
      </c>
      <c r="H171" s="101" t="s">
        <v>2942</v>
      </c>
      <c r="I171" s="102">
        <v>30.6</v>
      </c>
      <c r="J171" s="102">
        <v>37.64</v>
      </c>
      <c r="K171" s="101" t="s">
        <v>2941</v>
      </c>
      <c r="L171" s="102">
        <v>23.0</v>
      </c>
      <c r="M171" s="13"/>
    </row>
    <row r="172">
      <c r="A172" s="101" t="s">
        <v>3045</v>
      </c>
      <c r="B172" s="101" t="s">
        <v>3046</v>
      </c>
      <c r="D172" s="13"/>
      <c r="E172" s="13"/>
      <c r="F172" s="13"/>
      <c r="G172" s="102">
        <v>1.0</v>
      </c>
      <c r="H172" s="101" t="s">
        <v>2940</v>
      </c>
      <c r="I172" s="102">
        <v>24.47</v>
      </c>
      <c r="J172" s="102">
        <v>30.1</v>
      </c>
      <c r="K172" s="101" t="s">
        <v>2941</v>
      </c>
      <c r="L172" s="102">
        <v>23.0</v>
      </c>
      <c r="M172" s="13"/>
    </row>
    <row r="173">
      <c r="A173" s="101" t="s">
        <v>3045</v>
      </c>
      <c r="B173" s="101" t="s">
        <v>3046</v>
      </c>
      <c r="D173" s="13"/>
      <c r="E173" s="13"/>
      <c r="F173" s="13"/>
      <c r="G173" s="102">
        <v>2.0</v>
      </c>
      <c r="H173" s="101" t="s">
        <v>2942</v>
      </c>
      <c r="I173" s="102">
        <v>19.6</v>
      </c>
      <c r="J173" s="102">
        <v>24.11</v>
      </c>
      <c r="K173" s="101" t="s">
        <v>2941</v>
      </c>
      <c r="L173" s="102">
        <v>23.0</v>
      </c>
      <c r="M173" s="13"/>
    </row>
    <row r="174">
      <c r="A174" s="101" t="s">
        <v>3047</v>
      </c>
      <c r="B174" s="101">
        <v>67.0</v>
      </c>
      <c r="C174" s="13"/>
      <c r="D174" s="13"/>
      <c r="E174" s="13"/>
      <c r="F174" s="13"/>
      <c r="G174" s="102">
        <v>1.0</v>
      </c>
      <c r="H174" s="101" t="s">
        <v>2940</v>
      </c>
      <c r="I174" s="102">
        <v>65.2</v>
      </c>
      <c r="J174" s="102">
        <v>80.2</v>
      </c>
      <c r="K174" s="101" t="s">
        <v>2941</v>
      </c>
      <c r="L174" s="102">
        <v>23.0</v>
      </c>
      <c r="M174" s="13"/>
    </row>
    <row r="175">
      <c r="A175" s="101" t="s">
        <v>3047</v>
      </c>
      <c r="B175" s="101">
        <v>67.0</v>
      </c>
      <c r="C175" s="13"/>
      <c r="D175" s="13"/>
      <c r="E175" s="13"/>
      <c r="F175" s="13"/>
      <c r="G175" s="102">
        <v>2.0</v>
      </c>
      <c r="H175" s="101" t="s">
        <v>2942</v>
      </c>
      <c r="I175" s="102">
        <v>65.2</v>
      </c>
      <c r="J175" s="102">
        <v>80.2</v>
      </c>
      <c r="K175" s="101" t="s">
        <v>2941</v>
      </c>
      <c r="L175" s="102">
        <v>23.0</v>
      </c>
      <c r="M175" s="13"/>
    </row>
    <row r="176">
      <c r="A176" s="101" t="s">
        <v>3048</v>
      </c>
      <c r="B176" s="101">
        <v>198.0</v>
      </c>
      <c r="C176" s="13"/>
      <c r="D176" s="13"/>
      <c r="E176" s="13"/>
      <c r="F176" s="13"/>
      <c r="G176" s="102">
        <v>1.0</v>
      </c>
      <c r="H176" s="101" t="s">
        <v>2940</v>
      </c>
      <c r="I176" s="102">
        <v>70.33</v>
      </c>
      <c r="J176" s="102">
        <v>86.51</v>
      </c>
      <c r="K176" s="101" t="s">
        <v>2941</v>
      </c>
      <c r="L176" s="102">
        <v>23.0</v>
      </c>
      <c r="M176" s="13"/>
    </row>
    <row r="177">
      <c r="A177" s="101" t="s">
        <v>3048</v>
      </c>
      <c r="B177" s="101">
        <v>198.0</v>
      </c>
      <c r="C177" s="13"/>
      <c r="D177" s="13"/>
      <c r="E177" s="13"/>
      <c r="F177" s="13"/>
      <c r="G177" s="102">
        <v>2.0</v>
      </c>
      <c r="H177" s="101" t="s">
        <v>2942</v>
      </c>
      <c r="I177" s="102">
        <v>56.3</v>
      </c>
      <c r="J177" s="102">
        <v>69.25</v>
      </c>
      <c r="K177" s="101" t="s">
        <v>2941</v>
      </c>
      <c r="L177" s="102">
        <v>23.0</v>
      </c>
      <c r="M177" s="13"/>
    </row>
    <row r="178">
      <c r="A178" s="101" t="s">
        <v>3049</v>
      </c>
      <c r="B178" s="101">
        <v>42112.0</v>
      </c>
      <c r="C178" s="13"/>
      <c r="D178" s="13"/>
      <c r="E178" s="13"/>
      <c r="F178" s="13"/>
      <c r="G178" s="102">
        <v>1.0</v>
      </c>
      <c r="H178" s="101" t="s">
        <v>2940</v>
      </c>
      <c r="I178" s="102">
        <v>23.0</v>
      </c>
      <c r="J178" s="102">
        <v>28.29</v>
      </c>
      <c r="K178" s="101" t="s">
        <v>2941</v>
      </c>
      <c r="L178" s="102">
        <v>23.0</v>
      </c>
      <c r="M178" s="13"/>
    </row>
    <row r="179">
      <c r="A179" s="101" t="s">
        <v>3049</v>
      </c>
      <c r="B179" s="101">
        <v>42112.0</v>
      </c>
      <c r="C179" s="13"/>
      <c r="D179" s="13"/>
      <c r="E179" s="13"/>
      <c r="F179" s="13"/>
      <c r="G179" s="102">
        <v>2.0</v>
      </c>
      <c r="H179" s="101" t="s">
        <v>2942</v>
      </c>
      <c r="I179" s="102">
        <v>23.0</v>
      </c>
      <c r="J179" s="102">
        <v>28.29</v>
      </c>
      <c r="K179" s="101" t="s">
        <v>2941</v>
      </c>
      <c r="L179" s="102">
        <v>23.0</v>
      </c>
      <c r="M179" s="13"/>
    </row>
    <row r="180">
      <c r="A180" s="101" t="s">
        <v>3050</v>
      </c>
      <c r="B180" s="101">
        <v>42303.0</v>
      </c>
      <c r="C180" s="13"/>
      <c r="D180" s="13"/>
      <c r="E180" s="13"/>
      <c r="F180" s="13"/>
      <c r="G180" s="102">
        <v>1.0</v>
      </c>
      <c r="H180" s="101" t="s">
        <v>2940</v>
      </c>
      <c r="I180" s="102">
        <v>49.02</v>
      </c>
      <c r="J180" s="102">
        <v>60.29</v>
      </c>
      <c r="K180" s="101" t="s">
        <v>2941</v>
      </c>
      <c r="L180" s="102">
        <v>23.0</v>
      </c>
      <c r="M180" s="13"/>
    </row>
    <row r="181">
      <c r="A181" s="101" t="s">
        <v>3050</v>
      </c>
      <c r="B181" s="101">
        <v>42303.0</v>
      </c>
      <c r="C181" s="13"/>
      <c r="D181" s="13"/>
      <c r="E181" s="13"/>
      <c r="F181" s="13"/>
      <c r="G181" s="102">
        <v>2.0</v>
      </c>
      <c r="H181" s="101" t="s">
        <v>2942</v>
      </c>
      <c r="I181" s="102">
        <v>39.2</v>
      </c>
      <c r="J181" s="102">
        <v>48.22</v>
      </c>
      <c r="K181" s="101" t="s">
        <v>2941</v>
      </c>
      <c r="L181" s="102">
        <v>23.0</v>
      </c>
      <c r="M181" s="13"/>
    </row>
    <row r="182">
      <c r="A182" s="101" t="s">
        <v>3051</v>
      </c>
      <c r="B182" s="101">
        <v>42111.0</v>
      </c>
      <c r="C182" s="13"/>
      <c r="D182" s="13"/>
      <c r="E182" s="13"/>
      <c r="F182" s="13"/>
      <c r="G182" s="102">
        <v>1.0</v>
      </c>
      <c r="H182" s="101" t="s">
        <v>2940</v>
      </c>
      <c r="I182" s="102">
        <v>39.3</v>
      </c>
      <c r="J182" s="102">
        <v>48.34</v>
      </c>
      <c r="K182" s="101" t="s">
        <v>2941</v>
      </c>
      <c r="L182" s="102">
        <v>23.0</v>
      </c>
      <c r="M182" s="13"/>
    </row>
    <row r="183">
      <c r="A183" s="101" t="s">
        <v>3051</v>
      </c>
      <c r="B183" s="101">
        <v>42111.0</v>
      </c>
      <c r="C183" s="13"/>
      <c r="D183" s="13"/>
      <c r="E183" s="13"/>
      <c r="F183" s="13"/>
      <c r="G183" s="102">
        <v>2.0</v>
      </c>
      <c r="H183" s="101" t="s">
        <v>2942</v>
      </c>
      <c r="I183" s="102">
        <v>39.3</v>
      </c>
      <c r="J183" s="102">
        <v>48.34</v>
      </c>
      <c r="K183" s="101" t="s">
        <v>2941</v>
      </c>
      <c r="L183" s="102">
        <v>23.0</v>
      </c>
      <c r="M183" s="13"/>
    </row>
    <row r="184">
      <c r="A184" s="101" t="s">
        <v>3052</v>
      </c>
      <c r="B184" s="101">
        <v>42302.0</v>
      </c>
      <c r="C184" s="13"/>
      <c r="D184" s="13"/>
      <c r="E184" s="13"/>
      <c r="F184" s="13"/>
      <c r="G184" s="102">
        <v>1.0</v>
      </c>
      <c r="H184" s="101" t="s">
        <v>2940</v>
      </c>
      <c r="I184" s="102">
        <v>27.4</v>
      </c>
      <c r="J184" s="102">
        <v>33.7</v>
      </c>
      <c r="K184" s="101" t="s">
        <v>2941</v>
      </c>
      <c r="L184" s="102">
        <v>23.0</v>
      </c>
      <c r="M184" s="13"/>
    </row>
    <row r="185">
      <c r="A185" s="101" t="s">
        <v>3052</v>
      </c>
      <c r="B185" s="101">
        <v>42302.0</v>
      </c>
      <c r="C185" s="13"/>
      <c r="D185" s="13"/>
      <c r="E185" s="13"/>
      <c r="F185" s="13"/>
      <c r="G185" s="102">
        <v>2.0</v>
      </c>
      <c r="H185" s="101" t="s">
        <v>2942</v>
      </c>
      <c r="I185" s="102">
        <v>21.9</v>
      </c>
      <c r="J185" s="102">
        <v>26.94</v>
      </c>
      <c r="K185" s="101" t="s">
        <v>2941</v>
      </c>
      <c r="L185" s="102">
        <v>23.0</v>
      </c>
      <c r="M185" s="13"/>
    </row>
    <row r="186">
      <c r="A186" s="101" t="s">
        <v>3053</v>
      </c>
      <c r="B186" s="101">
        <v>42613.0</v>
      </c>
      <c r="C186" s="13"/>
      <c r="D186" s="13"/>
      <c r="E186" s="13"/>
      <c r="F186" s="13"/>
      <c r="G186" s="102">
        <v>1.0</v>
      </c>
      <c r="H186" s="101" t="s">
        <v>2940</v>
      </c>
      <c r="I186" s="102">
        <v>69.11</v>
      </c>
      <c r="J186" s="102">
        <v>85.01</v>
      </c>
      <c r="K186" s="101" t="s">
        <v>2941</v>
      </c>
      <c r="L186" s="102">
        <v>23.0</v>
      </c>
      <c r="M186" s="13"/>
    </row>
    <row r="187">
      <c r="A187" s="101" t="s">
        <v>3053</v>
      </c>
      <c r="B187" s="101">
        <v>42613.0</v>
      </c>
      <c r="C187" s="13"/>
      <c r="D187" s="13"/>
      <c r="E187" s="13"/>
      <c r="F187" s="13"/>
      <c r="G187" s="102">
        <v>2.0</v>
      </c>
      <c r="H187" s="101" t="s">
        <v>2942</v>
      </c>
      <c r="I187" s="102">
        <v>68.82</v>
      </c>
      <c r="J187" s="102">
        <v>84.65</v>
      </c>
      <c r="K187" s="101" t="s">
        <v>2941</v>
      </c>
      <c r="L187" s="102">
        <v>23.0</v>
      </c>
      <c r="M187" s="13"/>
    </row>
    <row r="188">
      <c r="A188" s="101" t="s">
        <v>3054</v>
      </c>
      <c r="B188" s="101">
        <v>42109.0</v>
      </c>
      <c r="C188" s="13"/>
      <c r="D188" s="13"/>
      <c r="E188" s="13"/>
      <c r="F188" s="13"/>
      <c r="G188" s="102">
        <v>1.0</v>
      </c>
      <c r="H188" s="101" t="s">
        <v>2940</v>
      </c>
      <c r="I188" s="102">
        <v>20.73</v>
      </c>
      <c r="J188" s="102">
        <v>25.5</v>
      </c>
      <c r="K188" s="101" t="s">
        <v>2941</v>
      </c>
      <c r="L188" s="102">
        <v>23.0</v>
      </c>
      <c r="M188" s="13"/>
    </row>
    <row r="189">
      <c r="A189" s="101" t="s">
        <v>3054</v>
      </c>
      <c r="B189" s="101">
        <v>42109.0</v>
      </c>
      <c r="C189" s="13"/>
      <c r="D189" s="13"/>
      <c r="E189" s="13"/>
      <c r="F189" s="13"/>
      <c r="G189" s="102">
        <v>2.0</v>
      </c>
      <c r="H189" s="101" t="s">
        <v>2942</v>
      </c>
      <c r="I189" s="102">
        <v>16.6</v>
      </c>
      <c r="J189" s="102">
        <v>20.42</v>
      </c>
      <c r="K189" s="101" t="s">
        <v>2941</v>
      </c>
      <c r="L189" s="102">
        <v>23.0</v>
      </c>
      <c r="M189" s="13"/>
    </row>
    <row r="190">
      <c r="A190" s="101" t="s">
        <v>3055</v>
      </c>
      <c r="B190" s="101">
        <v>42301.0</v>
      </c>
      <c r="C190" s="13"/>
      <c r="D190" s="13"/>
      <c r="E190" s="13"/>
      <c r="F190" s="13"/>
      <c r="G190" s="102">
        <v>1.0</v>
      </c>
      <c r="H190" s="101" t="s">
        <v>2940</v>
      </c>
      <c r="I190" s="102">
        <v>25.45</v>
      </c>
      <c r="J190" s="102">
        <v>31.3</v>
      </c>
      <c r="K190" s="101" t="s">
        <v>2941</v>
      </c>
      <c r="L190" s="102">
        <v>23.0</v>
      </c>
      <c r="M190" s="13"/>
    </row>
    <row r="191">
      <c r="A191" s="101" t="s">
        <v>3055</v>
      </c>
      <c r="B191" s="101">
        <v>42301.0</v>
      </c>
      <c r="C191" s="13"/>
      <c r="D191" s="13"/>
      <c r="E191" s="13"/>
      <c r="F191" s="13"/>
      <c r="G191" s="102">
        <v>2.0</v>
      </c>
      <c r="H191" s="101" t="s">
        <v>2942</v>
      </c>
      <c r="I191" s="102">
        <v>20.4</v>
      </c>
      <c r="J191" s="102">
        <v>25.09</v>
      </c>
      <c r="K191" s="101" t="s">
        <v>2941</v>
      </c>
      <c r="L191" s="102">
        <v>23.0</v>
      </c>
      <c r="M191" s="13"/>
    </row>
    <row r="192">
      <c r="A192" s="101" t="s">
        <v>3056</v>
      </c>
      <c r="B192" s="101">
        <v>42107.0</v>
      </c>
      <c r="C192" s="13"/>
      <c r="D192" s="13"/>
      <c r="E192" s="13"/>
      <c r="F192" s="13"/>
      <c r="G192" s="102">
        <v>1.0</v>
      </c>
      <c r="H192" s="101" t="s">
        <v>2940</v>
      </c>
      <c r="I192" s="102">
        <v>21.95</v>
      </c>
      <c r="J192" s="102">
        <v>27.0</v>
      </c>
      <c r="K192" s="101" t="s">
        <v>2941</v>
      </c>
      <c r="L192" s="102">
        <v>23.0</v>
      </c>
      <c r="M192" s="13"/>
    </row>
    <row r="193">
      <c r="A193" s="101" t="s">
        <v>3056</v>
      </c>
      <c r="B193" s="101">
        <v>42107.0</v>
      </c>
      <c r="C193" s="13"/>
      <c r="D193" s="13"/>
      <c r="E193" s="13"/>
      <c r="F193" s="13"/>
      <c r="G193" s="102">
        <v>2.0</v>
      </c>
      <c r="H193" s="101" t="s">
        <v>2942</v>
      </c>
      <c r="I193" s="102">
        <v>17.6</v>
      </c>
      <c r="J193" s="102">
        <v>21.65</v>
      </c>
      <c r="K193" s="101" t="s">
        <v>2941</v>
      </c>
      <c r="L193" s="102">
        <v>23.0</v>
      </c>
      <c r="M193" s="13"/>
    </row>
    <row r="194">
      <c r="A194" s="101" t="s">
        <v>3057</v>
      </c>
      <c r="B194" s="101">
        <v>42108.0</v>
      </c>
      <c r="C194" s="13"/>
      <c r="D194" s="13"/>
      <c r="E194" s="13"/>
      <c r="F194" s="13"/>
      <c r="G194" s="102">
        <v>1.0</v>
      </c>
      <c r="H194" s="101" t="s">
        <v>2940</v>
      </c>
      <c r="I194" s="102">
        <v>35.69</v>
      </c>
      <c r="J194" s="102">
        <v>43.9</v>
      </c>
      <c r="K194" s="101" t="s">
        <v>2941</v>
      </c>
      <c r="L194" s="102">
        <v>23.0</v>
      </c>
      <c r="M194" s="13"/>
    </row>
    <row r="195">
      <c r="A195" s="101" t="s">
        <v>3057</v>
      </c>
      <c r="B195" s="101">
        <v>42108.0</v>
      </c>
      <c r="C195" s="13"/>
      <c r="D195" s="13"/>
      <c r="E195" s="13"/>
      <c r="F195" s="13"/>
      <c r="G195" s="102">
        <v>2.0</v>
      </c>
      <c r="H195" s="101" t="s">
        <v>2942</v>
      </c>
      <c r="I195" s="102">
        <v>28.6</v>
      </c>
      <c r="J195" s="102">
        <v>35.18</v>
      </c>
      <c r="K195" s="101" t="s">
        <v>2941</v>
      </c>
      <c r="L195" s="102">
        <v>23.0</v>
      </c>
      <c r="M195" s="13"/>
    </row>
    <row r="196">
      <c r="A196" s="101" t="s">
        <v>3058</v>
      </c>
      <c r="B196" s="101">
        <v>42105.0</v>
      </c>
      <c r="C196" s="13"/>
      <c r="D196" s="13"/>
      <c r="E196" s="13"/>
      <c r="F196" s="13"/>
      <c r="G196" s="102">
        <v>1.0</v>
      </c>
      <c r="H196" s="101" t="s">
        <v>2940</v>
      </c>
      <c r="I196" s="102">
        <v>26.5</v>
      </c>
      <c r="J196" s="102">
        <v>32.6</v>
      </c>
      <c r="K196" s="101" t="s">
        <v>2941</v>
      </c>
      <c r="L196" s="102">
        <v>23.0</v>
      </c>
      <c r="M196" s="13"/>
    </row>
    <row r="197">
      <c r="A197" s="101" t="s">
        <v>3058</v>
      </c>
      <c r="B197" s="101">
        <v>42105.0</v>
      </c>
      <c r="C197" s="13"/>
      <c r="D197" s="13"/>
      <c r="E197" s="13"/>
      <c r="F197" s="13"/>
      <c r="G197" s="102">
        <v>2.0</v>
      </c>
      <c r="H197" s="101" t="s">
        <v>2942</v>
      </c>
      <c r="I197" s="102">
        <v>26.5</v>
      </c>
      <c r="J197" s="102">
        <v>32.6</v>
      </c>
      <c r="K197" s="101" t="s">
        <v>2941</v>
      </c>
      <c r="L197" s="102">
        <v>23.0</v>
      </c>
      <c r="M197" s="13"/>
    </row>
    <row r="198">
      <c r="A198" s="101" t="s">
        <v>3059</v>
      </c>
      <c r="B198" s="101">
        <v>422.0</v>
      </c>
      <c r="C198" s="13"/>
      <c r="D198" s="13"/>
      <c r="E198" s="13"/>
      <c r="F198" s="13"/>
      <c r="G198" s="102">
        <v>1.0</v>
      </c>
      <c r="H198" s="101" t="s">
        <v>2940</v>
      </c>
      <c r="I198" s="102">
        <v>6.1</v>
      </c>
      <c r="J198" s="102">
        <v>7.5</v>
      </c>
      <c r="K198" s="101" t="s">
        <v>2941</v>
      </c>
      <c r="L198" s="102">
        <v>23.0</v>
      </c>
      <c r="M198" s="13"/>
    </row>
    <row r="199">
      <c r="A199" s="101" t="s">
        <v>3059</v>
      </c>
      <c r="B199" s="101">
        <v>422.0</v>
      </c>
      <c r="C199" s="13"/>
      <c r="D199" s="13"/>
      <c r="E199" s="13"/>
      <c r="F199" s="13"/>
      <c r="G199" s="102">
        <v>2.0</v>
      </c>
      <c r="H199" s="101" t="s">
        <v>2942</v>
      </c>
      <c r="I199" s="102">
        <v>6.1</v>
      </c>
      <c r="J199" s="102">
        <v>7.5</v>
      </c>
      <c r="K199" s="101" t="s">
        <v>2941</v>
      </c>
      <c r="L199" s="102">
        <v>23.0</v>
      </c>
      <c r="M199" s="13"/>
    </row>
    <row r="200">
      <c r="A200" s="101" t="s">
        <v>3060</v>
      </c>
      <c r="B200" s="101">
        <v>1314.0</v>
      </c>
      <c r="C200" s="13"/>
      <c r="D200" s="13"/>
      <c r="E200" s="13"/>
      <c r="F200" s="13"/>
      <c r="G200" s="102">
        <v>1.0</v>
      </c>
      <c r="H200" s="101" t="s">
        <v>2940</v>
      </c>
      <c r="I200" s="102">
        <v>33.58</v>
      </c>
      <c r="J200" s="102">
        <v>41.3</v>
      </c>
      <c r="K200" s="101" t="s">
        <v>2941</v>
      </c>
      <c r="L200" s="102">
        <v>23.0</v>
      </c>
      <c r="M200" s="13"/>
    </row>
    <row r="201">
      <c r="A201" s="101" t="s">
        <v>3060</v>
      </c>
      <c r="B201" s="101">
        <v>1314.0</v>
      </c>
      <c r="C201" s="13"/>
      <c r="D201" s="13"/>
      <c r="E201" s="13"/>
      <c r="F201" s="13"/>
      <c r="G201" s="102">
        <v>2.0</v>
      </c>
      <c r="H201" s="101" t="s">
        <v>2942</v>
      </c>
      <c r="I201" s="102">
        <v>33.6</v>
      </c>
      <c r="J201" s="102">
        <v>41.33</v>
      </c>
      <c r="K201" s="101" t="s">
        <v>2941</v>
      </c>
      <c r="L201" s="102">
        <v>23.0</v>
      </c>
      <c r="M201" s="13"/>
    </row>
    <row r="202">
      <c r="A202" s="101" t="s">
        <v>3061</v>
      </c>
      <c r="B202" s="101">
        <v>24214.0</v>
      </c>
      <c r="C202" s="13"/>
      <c r="D202" s="13"/>
      <c r="E202" s="13"/>
      <c r="F202" s="13"/>
      <c r="G202" s="102">
        <v>1.0</v>
      </c>
      <c r="H202" s="101" t="s">
        <v>2940</v>
      </c>
      <c r="I202" s="102">
        <v>2.44</v>
      </c>
      <c r="J202" s="102">
        <v>3.0</v>
      </c>
      <c r="K202" s="101" t="s">
        <v>2941</v>
      </c>
      <c r="L202" s="102">
        <v>23.0</v>
      </c>
      <c r="M202" s="13"/>
    </row>
    <row r="203">
      <c r="A203" s="101" t="s">
        <v>3061</v>
      </c>
      <c r="B203" s="101">
        <v>24214.0</v>
      </c>
      <c r="C203" s="13"/>
      <c r="D203" s="13"/>
      <c r="E203" s="13"/>
      <c r="F203" s="13"/>
      <c r="G203" s="102">
        <v>2.0</v>
      </c>
      <c r="H203" s="101" t="s">
        <v>2942</v>
      </c>
      <c r="I203" s="102">
        <v>2.0</v>
      </c>
      <c r="J203" s="102">
        <v>2.46</v>
      </c>
      <c r="K203" s="101" t="s">
        <v>2941</v>
      </c>
      <c r="L203" s="102">
        <v>23.0</v>
      </c>
      <c r="M203" s="13"/>
    </row>
    <row r="204">
      <c r="A204" s="101" t="s">
        <v>3062</v>
      </c>
      <c r="B204" s="101">
        <v>880.0</v>
      </c>
      <c r="C204" s="13"/>
      <c r="D204" s="13"/>
      <c r="E204" s="13"/>
      <c r="F204" s="13"/>
      <c r="G204" s="102">
        <v>1.0</v>
      </c>
      <c r="H204" s="101" t="s">
        <v>2940</v>
      </c>
      <c r="I204" s="102">
        <v>4.07</v>
      </c>
      <c r="J204" s="102">
        <v>5.01</v>
      </c>
      <c r="K204" s="101" t="s">
        <v>2941</v>
      </c>
      <c r="L204" s="102">
        <v>23.0</v>
      </c>
      <c r="M204" s="13"/>
    </row>
    <row r="205">
      <c r="A205" s="101" t="s">
        <v>3062</v>
      </c>
      <c r="B205" s="101">
        <v>880.0</v>
      </c>
      <c r="C205" s="13"/>
      <c r="D205" s="13"/>
      <c r="E205" s="13"/>
      <c r="F205" s="13"/>
      <c r="G205" s="102">
        <v>2.0</v>
      </c>
      <c r="H205" s="101" t="s">
        <v>2942</v>
      </c>
      <c r="I205" s="102">
        <v>3.99</v>
      </c>
      <c r="J205" s="102">
        <v>4.91</v>
      </c>
      <c r="K205" s="101" t="s">
        <v>2941</v>
      </c>
      <c r="L205" s="102">
        <v>23.0</v>
      </c>
      <c r="M205" s="13"/>
    </row>
    <row r="206">
      <c r="A206" s="101" t="s">
        <v>3063</v>
      </c>
      <c r="B206" s="101">
        <v>42702.0</v>
      </c>
      <c r="C206" s="13"/>
      <c r="D206" s="13"/>
      <c r="E206" s="13"/>
      <c r="F206" s="13"/>
      <c r="G206" s="102">
        <v>1.0</v>
      </c>
      <c r="H206" s="101" t="s">
        <v>2940</v>
      </c>
      <c r="I206" s="102">
        <v>20.24</v>
      </c>
      <c r="J206" s="102">
        <v>24.9</v>
      </c>
      <c r="K206" s="101" t="s">
        <v>2941</v>
      </c>
      <c r="L206" s="102">
        <v>23.0</v>
      </c>
      <c r="M206" s="13"/>
    </row>
    <row r="207">
      <c r="A207" s="101" t="s">
        <v>3063</v>
      </c>
      <c r="B207" s="101">
        <v>42702.0</v>
      </c>
      <c r="C207" s="13"/>
      <c r="D207" s="13"/>
      <c r="E207" s="13"/>
      <c r="F207" s="13"/>
      <c r="G207" s="102">
        <v>2.0</v>
      </c>
      <c r="H207" s="101" t="s">
        <v>2942</v>
      </c>
      <c r="I207" s="102">
        <v>16.2</v>
      </c>
      <c r="J207" s="102">
        <v>19.93</v>
      </c>
      <c r="K207" s="101" t="s">
        <v>2941</v>
      </c>
      <c r="L207" s="102">
        <v>23.0</v>
      </c>
      <c r="M207" s="13"/>
    </row>
    <row r="208">
      <c r="A208" s="101" t="s">
        <v>3064</v>
      </c>
      <c r="B208" s="101">
        <v>1352.0</v>
      </c>
      <c r="C208" s="13"/>
      <c r="D208" s="13"/>
      <c r="E208" s="13"/>
      <c r="F208" s="13"/>
      <c r="G208" s="102">
        <v>1.0</v>
      </c>
      <c r="H208" s="101" t="s">
        <v>2940</v>
      </c>
      <c r="I208" s="102">
        <v>0.41</v>
      </c>
      <c r="J208" s="102">
        <v>0.5</v>
      </c>
      <c r="K208" s="101" t="s">
        <v>2941</v>
      </c>
      <c r="L208" s="102">
        <v>23.0</v>
      </c>
      <c r="M208" s="13"/>
    </row>
    <row r="209">
      <c r="A209" s="101" t="s">
        <v>3064</v>
      </c>
      <c r="B209" s="101">
        <v>1352.0</v>
      </c>
      <c r="C209" s="13"/>
      <c r="D209" s="13"/>
      <c r="E209" s="13"/>
      <c r="F209" s="13"/>
      <c r="G209" s="102">
        <v>2.0</v>
      </c>
      <c r="H209" s="101" t="s">
        <v>2942</v>
      </c>
      <c r="I209" s="102">
        <v>0.39</v>
      </c>
      <c r="J209" s="102">
        <v>0.48</v>
      </c>
      <c r="K209" s="101" t="s">
        <v>2941</v>
      </c>
      <c r="L209" s="102">
        <v>23.0</v>
      </c>
      <c r="M209" s="13"/>
    </row>
    <row r="210">
      <c r="A210" s="101" t="s">
        <v>3065</v>
      </c>
      <c r="B210" s="101" t="s">
        <v>3066</v>
      </c>
      <c r="D210" s="13"/>
      <c r="E210" s="13"/>
      <c r="F210" s="13"/>
      <c r="G210" s="102">
        <v>1.0</v>
      </c>
      <c r="H210" s="101" t="s">
        <v>2940</v>
      </c>
      <c r="I210" s="102">
        <v>1.22</v>
      </c>
      <c r="J210" s="102">
        <v>1.5</v>
      </c>
      <c r="K210" s="101" t="s">
        <v>2941</v>
      </c>
      <c r="L210" s="102">
        <v>23.0</v>
      </c>
      <c r="M210" s="13"/>
    </row>
    <row r="211">
      <c r="A211" s="101" t="s">
        <v>3065</v>
      </c>
      <c r="B211" s="101" t="s">
        <v>3066</v>
      </c>
      <c r="D211" s="13"/>
      <c r="E211" s="13"/>
      <c r="F211" s="13"/>
      <c r="G211" s="102">
        <v>2.0</v>
      </c>
      <c r="H211" s="101" t="s">
        <v>2942</v>
      </c>
      <c r="I211" s="102">
        <v>1.0</v>
      </c>
      <c r="J211" s="102">
        <v>1.23</v>
      </c>
      <c r="K211" s="101" t="s">
        <v>2941</v>
      </c>
      <c r="L211" s="102">
        <v>23.0</v>
      </c>
      <c r="M211" s="13"/>
    </row>
    <row r="212">
      <c r="A212" s="101" t="s">
        <v>3067</v>
      </c>
      <c r="B212" s="101">
        <v>170931.0</v>
      </c>
      <c r="C212" s="13"/>
      <c r="D212" s="13"/>
      <c r="E212" s="13"/>
      <c r="F212" s="13"/>
      <c r="G212" s="102">
        <v>1.0</v>
      </c>
      <c r="H212" s="101" t="s">
        <v>2940</v>
      </c>
      <c r="I212" s="102">
        <v>36.02</v>
      </c>
      <c r="J212" s="102">
        <v>44.3</v>
      </c>
      <c r="K212" s="101" t="s">
        <v>2941</v>
      </c>
      <c r="L212" s="102">
        <v>23.0</v>
      </c>
      <c r="M212" s="13"/>
    </row>
    <row r="213">
      <c r="A213" s="101" t="s">
        <v>3067</v>
      </c>
      <c r="B213" s="101">
        <v>170931.0</v>
      </c>
      <c r="C213" s="13"/>
      <c r="D213" s="13"/>
      <c r="E213" s="13"/>
      <c r="F213" s="13"/>
      <c r="G213" s="102">
        <v>2.0</v>
      </c>
      <c r="H213" s="101" t="s">
        <v>2942</v>
      </c>
      <c r="I213" s="102">
        <v>28.8</v>
      </c>
      <c r="J213" s="102">
        <v>35.42</v>
      </c>
      <c r="K213" s="101" t="s">
        <v>2941</v>
      </c>
      <c r="L213" s="102">
        <v>23.0</v>
      </c>
      <c r="M213" s="13"/>
    </row>
    <row r="214">
      <c r="A214" s="101" t="s">
        <v>3068</v>
      </c>
      <c r="B214" s="101">
        <v>170932.0</v>
      </c>
      <c r="C214" s="13"/>
      <c r="D214" s="13"/>
      <c r="E214" s="13"/>
      <c r="F214" s="13"/>
      <c r="G214" s="102">
        <v>1.0</v>
      </c>
      <c r="H214" s="101" t="s">
        <v>2940</v>
      </c>
      <c r="I214" s="102">
        <v>72.03</v>
      </c>
      <c r="J214" s="102">
        <v>88.6</v>
      </c>
      <c r="K214" s="101" t="s">
        <v>2941</v>
      </c>
      <c r="L214" s="102">
        <v>23.0</v>
      </c>
      <c r="M214" s="13"/>
    </row>
    <row r="215">
      <c r="A215" s="101" t="s">
        <v>3068</v>
      </c>
      <c r="B215" s="101">
        <v>170932.0</v>
      </c>
      <c r="C215" s="13"/>
      <c r="D215" s="13"/>
      <c r="E215" s="13"/>
      <c r="F215" s="13"/>
      <c r="G215" s="102">
        <v>2.0</v>
      </c>
      <c r="H215" s="101" t="s">
        <v>2942</v>
      </c>
      <c r="I215" s="102">
        <v>57.6</v>
      </c>
      <c r="J215" s="102">
        <v>70.85</v>
      </c>
      <c r="K215" s="101" t="s">
        <v>2941</v>
      </c>
      <c r="L215" s="102">
        <v>23.0</v>
      </c>
      <c r="M215" s="13"/>
    </row>
    <row r="216">
      <c r="A216" s="101" t="s">
        <v>3069</v>
      </c>
      <c r="B216" s="101">
        <v>170933.0</v>
      </c>
      <c r="C216" s="13"/>
      <c r="D216" s="13"/>
      <c r="E216" s="13"/>
      <c r="F216" s="13"/>
      <c r="G216" s="102">
        <v>1.0</v>
      </c>
      <c r="H216" s="101" t="s">
        <v>2940</v>
      </c>
      <c r="I216" s="102">
        <v>107.97</v>
      </c>
      <c r="J216" s="102">
        <v>132.8</v>
      </c>
      <c r="K216" s="101" t="s">
        <v>2941</v>
      </c>
      <c r="L216" s="102">
        <v>23.0</v>
      </c>
      <c r="M216" s="13"/>
    </row>
    <row r="217">
      <c r="A217" s="101" t="s">
        <v>3069</v>
      </c>
      <c r="B217" s="101">
        <v>170933.0</v>
      </c>
      <c r="C217" s="13"/>
      <c r="D217" s="13"/>
      <c r="E217" s="13"/>
      <c r="F217" s="13"/>
      <c r="G217" s="102">
        <v>2.0</v>
      </c>
      <c r="H217" s="101" t="s">
        <v>2942</v>
      </c>
      <c r="I217" s="102">
        <v>86.4</v>
      </c>
      <c r="J217" s="102">
        <v>106.27</v>
      </c>
      <c r="K217" s="101" t="s">
        <v>2941</v>
      </c>
      <c r="L217" s="102">
        <v>23.0</v>
      </c>
      <c r="M217" s="13"/>
    </row>
    <row r="218">
      <c r="A218" s="101" t="s">
        <v>3070</v>
      </c>
      <c r="B218" s="101">
        <v>170921.0</v>
      </c>
      <c r="C218" s="13"/>
      <c r="D218" s="13"/>
      <c r="E218" s="13"/>
      <c r="F218" s="13"/>
      <c r="G218" s="102">
        <v>1.0</v>
      </c>
      <c r="H218" s="101" t="s">
        <v>2940</v>
      </c>
      <c r="I218" s="102">
        <v>27.07</v>
      </c>
      <c r="J218" s="102">
        <v>33.3</v>
      </c>
      <c r="K218" s="101" t="s">
        <v>2941</v>
      </c>
      <c r="L218" s="102">
        <v>23.0</v>
      </c>
      <c r="M218" s="13"/>
    </row>
    <row r="219">
      <c r="A219" s="101" t="s">
        <v>3070</v>
      </c>
      <c r="B219" s="101">
        <v>170921.0</v>
      </c>
      <c r="C219" s="13"/>
      <c r="D219" s="13"/>
      <c r="E219" s="13"/>
      <c r="F219" s="13"/>
      <c r="G219" s="102">
        <v>2.0</v>
      </c>
      <c r="H219" s="101" t="s">
        <v>2942</v>
      </c>
      <c r="I219" s="102">
        <v>21.7</v>
      </c>
      <c r="J219" s="102">
        <v>26.69</v>
      </c>
      <c r="K219" s="101" t="s">
        <v>2941</v>
      </c>
      <c r="L219" s="102">
        <v>23.0</v>
      </c>
      <c r="M219" s="13"/>
    </row>
    <row r="220">
      <c r="A220" s="101" t="s">
        <v>3071</v>
      </c>
      <c r="B220" s="101">
        <v>170922.0</v>
      </c>
      <c r="C220" s="13"/>
      <c r="D220" s="13"/>
      <c r="E220" s="13"/>
      <c r="F220" s="13"/>
      <c r="G220" s="102">
        <v>1.0</v>
      </c>
      <c r="H220" s="101" t="s">
        <v>2940</v>
      </c>
      <c r="I220" s="102">
        <v>54.15</v>
      </c>
      <c r="J220" s="102">
        <v>66.6</v>
      </c>
      <c r="K220" s="101" t="s">
        <v>2941</v>
      </c>
      <c r="L220" s="102">
        <v>23.0</v>
      </c>
      <c r="M220" s="13"/>
    </row>
    <row r="221">
      <c r="A221" s="101" t="s">
        <v>3071</v>
      </c>
      <c r="B221" s="101">
        <v>170922.0</v>
      </c>
      <c r="C221" s="13"/>
      <c r="D221" s="13"/>
      <c r="E221" s="13"/>
      <c r="F221" s="13"/>
      <c r="G221" s="102">
        <v>2.0</v>
      </c>
      <c r="H221" s="101" t="s">
        <v>2942</v>
      </c>
      <c r="I221" s="102">
        <v>43.3</v>
      </c>
      <c r="J221" s="102">
        <v>53.26</v>
      </c>
      <c r="K221" s="101" t="s">
        <v>2941</v>
      </c>
      <c r="L221" s="102">
        <v>23.0</v>
      </c>
      <c r="M221" s="13"/>
    </row>
    <row r="222">
      <c r="A222" s="101" t="s">
        <v>3072</v>
      </c>
      <c r="B222" s="101">
        <v>170923.0</v>
      </c>
      <c r="C222" s="13"/>
      <c r="D222" s="13"/>
      <c r="E222" s="13"/>
      <c r="F222" s="13"/>
      <c r="G222" s="102">
        <v>1.0</v>
      </c>
      <c r="H222" s="101" t="s">
        <v>2940</v>
      </c>
      <c r="I222" s="102">
        <v>81.3</v>
      </c>
      <c r="J222" s="102">
        <v>100.0</v>
      </c>
      <c r="K222" s="101" t="s">
        <v>2941</v>
      </c>
      <c r="L222" s="102">
        <v>23.0</v>
      </c>
      <c r="M222" s="13"/>
    </row>
    <row r="223">
      <c r="A223" s="101" t="s">
        <v>3072</v>
      </c>
      <c r="B223" s="101">
        <v>170923.0</v>
      </c>
      <c r="C223" s="13"/>
      <c r="D223" s="13"/>
      <c r="E223" s="13"/>
      <c r="F223" s="13"/>
      <c r="G223" s="102">
        <v>2.0</v>
      </c>
      <c r="H223" s="101" t="s">
        <v>2942</v>
      </c>
      <c r="I223" s="102">
        <v>65.0</v>
      </c>
      <c r="J223" s="102">
        <v>79.95</v>
      </c>
      <c r="K223" s="101" t="s">
        <v>2941</v>
      </c>
      <c r="L223" s="102">
        <v>23.0</v>
      </c>
      <c r="M223" s="13"/>
    </row>
    <row r="224">
      <c r="A224" s="101" t="s">
        <v>3073</v>
      </c>
      <c r="B224" s="101">
        <v>171411.0</v>
      </c>
      <c r="C224" s="13"/>
      <c r="D224" s="13"/>
      <c r="E224" s="13"/>
      <c r="F224" s="13"/>
      <c r="G224" s="102">
        <v>1.0</v>
      </c>
      <c r="H224" s="101" t="s">
        <v>2940</v>
      </c>
      <c r="I224" s="102">
        <v>25.04</v>
      </c>
      <c r="J224" s="102">
        <v>30.8</v>
      </c>
      <c r="K224" s="101" t="s">
        <v>2941</v>
      </c>
      <c r="L224" s="102">
        <v>23.0</v>
      </c>
      <c r="M224" s="13"/>
    </row>
    <row r="225">
      <c r="A225" s="101" t="s">
        <v>3073</v>
      </c>
      <c r="B225" s="101">
        <v>171411.0</v>
      </c>
      <c r="C225" s="13"/>
      <c r="D225" s="13"/>
      <c r="E225" s="13"/>
      <c r="F225" s="13"/>
      <c r="G225" s="102">
        <v>2.0</v>
      </c>
      <c r="H225" s="101" t="s">
        <v>2942</v>
      </c>
      <c r="I225" s="102">
        <v>25.0</v>
      </c>
      <c r="J225" s="102">
        <v>30.75</v>
      </c>
      <c r="K225" s="101" t="s">
        <v>2941</v>
      </c>
      <c r="L225" s="102">
        <v>23.0</v>
      </c>
      <c r="M225" s="13"/>
    </row>
    <row r="226">
      <c r="A226" s="101" t="s">
        <v>3074</v>
      </c>
      <c r="B226" s="101">
        <v>171412.0</v>
      </c>
      <c r="C226" s="13"/>
      <c r="D226" s="13"/>
      <c r="E226" s="13"/>
      <c r="F226" s="13"/>
      <c r="G226" s="102">
        <v>1.0</v>
      </c>
      <c r="H226" s="101" t="s">
        <v>2940</v>
      </c>
      <c r="I226" s="102">
        <v>50.0</v>
      </c>
      <c r="J226" s="102">
        <v>61.5</v>
      </c>
      <c r="K226" s="101" t="s">
        <v>2941</v>
      </c>
      <c r="L226" s="102">
        <v>23.0</v>
      </c>
      <c r="M226" s="13"/>
    </row>
    <row r="227">
      <c r="A227" s="101" t="s">
        <v>3074</v>
      </c>
      <c r="B227" s="101">
        <v>171412.0</v>
      </c>
      <c r="C227" s="13"/>
      <c r="D227" s="13"/>
      <c r="E227" s="13"/>
      <c r="F227" s="13"/>
      <c r="G227" s="102">
        <v>2.0</v>
      </c>
      <c r="H227" s="101" t="s">
        <v>2942</v>
      </c>
      <c r="I227" s="102">
        <v>50.0</v>
      </c>
      <c r="J227" s="102">
        <v>61.5</v>
      </c>
      <c r="K227" s="101" t="s">
        <v>2941</v>
      </c>
      <c r="L227" s="102">
        <v>23.0</v>
      </c>
      <c r="M227" s="13"/>
    </row>
    <row r="228">
      <c r="A228" s="101" t="s">
        <v>3075</v>
      </c>
      <c r="B228" s="101">
        <v>171413.0</v>
      </c>
      <c r="C228" s="13"/>
      <c r="D228" s="13"/>
      <c r="E228" s="13"/>
      <c r="F228" s="13"/>
      <c r="G228" s="102">
        <v>1.0</v>
      </c>
      <c r="H228" s="101" t="s">
        <v>2940</v>
      </c>
      <c r="I228" s="102">
        <v>75.04</v>
      </c>
      <c r="J228" s="102">
        <v>92.3</v>
      </c>
      <c r="K228" s="101" t="s">
        <v>2941</v>
      </c>
      <c r="L228" s="102">
        <v>23.0</v>
      </c>
      <c r="M228" s="13"/>
    </row>
    <row r="229">
      <c r="A229" s="101" t="s">
        <v>3075</v>
      </c>
      <c r="B229" s="101">
        <v>171413.0</v>
      </c>
      <c r="C229" s="13"/>
      <c r="D229" s="13"/>
      <c r="E229" s="13"/>
      <c r="F229" s="13"/>
      <c r="G229" s="102">
        <v>2.0</v>
      </c>
      <c r="H229" s="101" t="s">
        <v>2942</v>
      </c>
      <c r="I229" s="102">
        <v>75.0</v>
      </c>
      <c r="J229" s="102">
        <v>92.25</v>
      </c>
      <c r="K229" s="101" t="s">
        <v>2941</v>
      </c>
      <c r="L229" s="102">
        <v>23.0</v>
      </c>
      <c r="M229" s="13"/>
    </row>
    <row r="230">
      <c r="A230" s="101" t="s">
        <v>3076</v>
      </c>
      <c r="B230" s="101">
        <v>170521.0</v>
      </c>
      <c r="C230" s="13"/>
      <c r="D230" s="13"/>
      <c r="E230" s="13"/>
      <c r="F230" s="13"/>
      <c r="G230" s="102">
        <v>1.0</v>
      </c>
      <c r="H230" s="101" t="s">
        <v>2940</v>
      </c>
      <c r="I230" s="102">
        <v>26.91</v>
      </c>
      <c r="J230" s="102">
        <v>33.1</v>
      </c>
      <c r="K230" s="101" t="s">
        <v>2941</v>
      </c>
      <c r="L230" s="102">
        <v>23.0</v>
      </c>
      <c r="M230" s="13"/>
    </row>
    <row r="231">
      <c r="A231" s="101" t="s">
        <v>3076</v>
      </c>
      <c r="B231" s="101">
        <v>170521.0</v>
      </c>
      <c r="C231" s="13"/>
      <c r="D231" s="13"/>
      <c r="E231" s="13"/>
      <c r="F231" s="13"/>
      <c r="G231" s="102">
        <v>2.0</v>
      </c>
      <c r="H231" s="101" t="s">
        <v>2942</v>
      </c>
      <c r="I231" s="102">
        <v>21.5</v>
      </c>
      <c r="J231" s="102">
        <v>26.45</v>
      </c>
      <c r="K231" s="101" t="s">
        <v>2941</v>
      </c>
      <c r="L231" s="102">
        <v>23.0</v>
      </c>
      <c r="M231" s="13"/>
    </row>
    <row r="232">
      <c r="A232" s="101" t="s">
        <v>3077</v>
      </c>
      <c r="B232" s="101">
        <v>170522.0</v>
      </c>
      <c r="C232" s="13"/>
      <c r="D232" s="13"/>
      <c r="E232" s="13"/>
      <c r="F232" s="13"/>
      <c r="G232" s="102">
        <v>1.0</v>
      </c>
      <c r="H232" s="101" t="s">
        <v>2940</v>
      </c>
      <c r="I232" s="102">
        <v>53.74</v>
      </c>
      <c r="J232" s="102">
        <v>66.1</v>
      </c>
      <c r="K232" s="101" t="s">
        <v>2941</v>
      </c>
      <c r="L232" s="102">
        <v>23.0</v>
      </c>
      <c r="M232" s="13"/>
    </row>
    <row r="233">
      <c r="A233" s="101" t="s">
        <v>3077</v>
      </c>
      <c r="B233" s="101">
        <v>170522.0</v>
      </c>
      <c r="C233" s="13"/>
      <c r="D233" s="13"/>
      <c r="E233" s="13"/>
      <c r="F233" s="13"/>
      <c r="G233" s="102">
        <v>2.0</v>
      </c>
      <c r="H233" s="101" t="s">
        <v>2942</v>
      </c>
      <c r="I233" s="102">
        <v>43.0</v>
      </c>
      <c r="J233" s="102">
        <v>52.89</v>
      </c>
      <c r="K233" s="101" t="s">
        <v>2941</v>
      </c>
      <c r="L233" s="102">
        <v>23.0</v>
      </c>
      <c r="M233" s="13"/>
    </row>
    <row r="234">
      <c r="A234" s="101" t="s">
        <v>3078</v>
      </c>
      <c r="B234" s="101">
        <v>170523.0</v>
      </c>
      <c r="C234" s="13"/>
      <c r="D234" s="13"/>
      <c r="E234" s="13"/>
      <c r="F234" s="13"/>
      <c r="G234" s="102">
        <v>1.0</v>
      </c>
      <c r="H234" s="101" t="s">
        <v>2940</v>
      </c>
      <c r="I234" s="102">
        <v>80.65</v>
      </c>
      <c r="J234" s="102">
        <v>99.2</v>
      </c>
      <c r="K234" s="101" t="s">
        <v>2941</v>
      </c>
      <c r="L234" s="102">
        <v>23.0</v>
      </c>
      <c r="M234" s="13"/>
    </row>
    <row r="235">
      <c r="A235" s="101" t="s">
        <v>3078</v>
      </c>
      <c r="B235" s="101">
        <v>170523.0</v>
      </c>
      <c r="C235" s="13"/>
      <c r="D235" s="13"/>
      <c r="E235" s="13"/>
      <c r="F235" s="13"/>
      <c r="G235" s="102">
        <v>2.0</v>
      </c>
      <c r="H235" s="101" t="s">
        <v>2942</v>
      </c>
      <c r="I235" s="102">
        <v>64.5</v>
      </c>
      <c r="J235" s="102">
        <v>79.34</v>
      </c>
      <c r="K235" s="101" t="s">
        <v>2941</v>
      </c>
      <c r="L235" s="102">
        <v>23.0</v>
      </c>
      <c r="M235" s="13"/>
    </row>
    <row r="236">
      <c r="A236" s="101" t="s">
        <v>3079</v>
      </c>
      <c r="B236" s="101">
        <v>170631.0</v>
      </c>
      <c r="C236" s="13"/>
      <c r="D236" s="13"/>
      <c r="E236" s="13"/>
      <c r="F236" s="13"/>
      <c r="G236" s="102">
        <v>1.0</v>
      </c>
      <c r="H236" s="101" t="s">
        <v>2940</v>
      </c>
      <c r="I236" s="102">
        <v>26.91</v>
      </c>
      <c r="J236" s="102">
        <v>33.1</v>
      </c>
      <c r="K236" s="101" t="s">
        <v>2941</v>
      </c>
      <c r="L236" s="102">
        <v>23.0</v>
      </c>
      <c r="M236" s="13"/>
    </row>
    <row r="237">
      <c r="A237" s="101" t="s">
        <v>3079</v>
      </c>
      <c r="B237" s="101">
        <v>170631.0</v>
      </c>
      <c r="C237" s="13"/>
      <c r="D237" s="13"/>
      <c r="E237" s="13"/>
      <c r="F237" s="13"/>
      <c r="G237" s="102">
        <v>2.0</v>
      </c>
      <c r="H237" s="101" t="s">
        <v>2942</v>
      </c>
      <c r="I237" s="102">
        <v>21.5</v>
      </c>
      <c r="J237" s="102">
        <v>26.45</v>
      </c>
      <c r="K237" s="101" t="s">
        <v>2941</v>
      </c>
      <c r="L237" s="102">
        <v>23.0</v>
      </c>
      <c r="M237" s="13"/>
    </row>
    <row r="238">
      <c r="A238" s="101" t="s">
        <v>3080</v>
      </c>
      <c r="B238" s="101">
        <v>170632.0</v>
      </c>
      <c r="C238" s="13"/>
      <c r="D238" s="13"/>
      <c r="E238" s="13"/>
      <c r="F238" s="13"/>
      <c r="G238" s="102">
        <v>1.0</v>
      </c>
      <c r="H238" s="101" t="s">
        <v>2940</v>
      </c>
      <c r="I238" s="102">
        <v>53.74</v>
      </c>
      <c r="J238" s="102">
        <v>66.1</v>
      </c>
      <c r="K238" s="101" t="s">
        <v>2941</v>
      </c>
      <c r="L238" s="102">
        <v>23.0</v>
      </c>
      <c r="M238" s="13"/>
    </row>
    <row r="239">
      <c r="A239" s="101" t="s">
        <v>3080</v>
      </c>
      <c r="B239" s="101">
        <v>170632.0</v>
      </c>
      <c r="C239" s="13"/>
      <c r="D239" s="13"/>
      <c r="E239" s="13"/>
      <c r="F239" s="13"/>
      <c r="G239" s="102">
        <v>2.0</v>
      </c>
      <c r="H239" s="101" t="s">
        <v>2942</v>
      </c>
      <c r="I239" s="102">
        <v>43.0</v>
      </c>
      <c r="J239" s="102">
        <v>52.89</v>
      </c>
      <c r="K239" s="101" t="s">
        <v>2941</v>
      </c>
      <c r="L239" s="102">
        <v>23.0</v>
      </c>
      <c r="M239" s="13"/>
    </row>
    <row r="240">
      <c r="A240" s="101" t="s">
        <v>3081</v>
      </c>
      <c r="B240" s="101">
        <v>170633.0</v>
      </c>
      <c r="C240" s="13"/>
      <c r="D240" s="13"/>
      <c r="E240" s="13"/>
      <c r="F240" s="13"/>
      <c r="G240" s="102">
        <v>1.0</v>
      </c>
      <c r="H240" s="101" t="s">
        <v>2940</v>
      </c>
      <c r="I240" s="102">
        <v>80.65</v>
      </c>
      <c r="J240" s="102">
        <v>99.2</v>
      </c>
      <c r="K240" s="101" t="s">
        <v>2941</v>
      </c>
      <c r="L240" s="102">
        <v>23.0</v>
      </c>
      <c r="M240" s="13"/>
    </row>
    <row r="241">
      <c r="A241" s="101" t="s">
        <v>3081</v>
      </c>
      <c r="B241" s="101">
        <v>170633.0</v>
      </c>
      <c r="C241" s="13"/>
      <c r="D241" s="13"/>
      <c r="E241" s="13"/>
      <c r="F241" s="13"/>
      <c r="G241" s="102">
        <v>2.0</v>
      </c>
      <c r="H241" s="101" t="s">
        <v>2942</v>
      </c>
      <c r="I241" s="102">
        <v>64.5</v>
      </c>
      <c r="J241" s="102">
        <v>79.34</v>
      </c>
      <c r="K241" s="101" t="s">
        <v>2941</v>
      </c>
      <c r="L241" s="102">
        <v>23.0</v>
      </c>
      <c r="M241" s="13"/>
    </row>
    <row r="242">
      <c r="A242" s="101" t="s">
        <v>3082</v>
      </c>
      <c r="B242" s="101">
        <v>170451.0</v>
      </c>
      <c r="C242" s="13"/>
      <c r="D242" s="13"/>
      <c r="E242" s="13"/>
      <c r="F242" s="13"/>
      <c r="G242" s="102">
        <v>1.0</v>
      </c>
      <c r="H242" s="101" t="s">
        <v>2940</v>
      </c>
      <c r="I242" s="102">
        <v>17.56</v>
      </c>
      <c r="J242" s="102">
        <v>21.6</v>
      </c>
      <c r="K242" s="101" t="s">
        <v>2941</v>
      </c>
      <c r="L242" s="102">
        <v>23.0</v>
      </c>
      <c r="M242" s="13"/>
    </row>
    <row r="243">
      <c r="A243" s="101" t="s">
        <v>3082</v>
      </c>
      <c r="B243" s="101">
        <v>170451.0</v>
      </c>
      <c r="C243" s="13"/>
      <c r="D243" s="13"/>
      <c r="E243" s="13"/>
      <c r="F243" s="13"/>
      <c r="G243" s="102">
        <v>2.0</v>
      </c>
      <c r="H243" s="101" t="s">
        <v>2942</v>
      </c>
      <c r="I243" s="102">
        <v>14.0</v>
      </c>
      <c r="J243" s="102">
        <v>17.22</v>
      </c>
      <c r="K243" s="101" t="s">
        <v>2941</v>
      </c>
      <c r="L243" s="102">
        <v>23.0</v>
      </c>
      <c r="M243" s="13"/>
    </row>
    <row r="244">
      <c r="A244" s="101" t="s">
        <v>3083</v>
      </c>
      <c r="B244" s="101">
        <v>170452.0</v>
      </c>
      <c r="C244" s="13"/>
      <c r="D244" s="13"/>
      <c r="E244" s="13"/>
      <c r="F244" s="13"/>
      <c r="G244" s="102">
        <v>1.0</v>
      </c>
      <c r="H244" s="101" t="s">
        <v>2940</v>
      </c>
      <c r="I244" s="102">
        <v>35.04</v>
      </c>
      <c r="J244" s="102">
        <v>43.1</v>
      </c>
      <c r="K244" s="101" t="s">
        <v>2941</v>
      </c>
      <c r="L244" s="102">
        <v>23.0</v>
      </c>
      <c r="M244" s="13"/>
    </row>
    <row r="245">
      <c r="A245" s="101" t="s">
        <v>3083</v>
      </c>
      <c r="B245" s="101">
        <v>170452.0</v>
      </c>
      <c r="C245" s="13"/>
      <c r="D245" s="13"/>
      <c r="E245" s="13"/>
      <c r="F245" s="13"/>
      <c r="G245" s="102">
        <v>2.0</v>
      </c>
      <c r="H245" s="101" t="s">
        <v>2942</v>
      </c>
      <c r="I245" s="102">
        <v>28.0</v>
      </c>
      <c r="J245" s="102">
        <v>34.44</v>
      </c>
      <c r="K245" s="101" t="s">
        <v>2941</v>
      </c>
      <c r="L245" s="102">
        <v>23.0</v>
      </c>
      <c r="M245" s="13"/>
    </row>
    <row r="246">
      <c r="A246" s="101" t="s">
        <v>3084</v>
      </c>
      <c r="B246" s="101">
        <v>170453.0</v>
      </c>
      <c r="C246" s="13"/>
      <c r="D246" s="13"/>
      <c r="E246" s="13"/>
      <c r="F246" s="13"/>
      <c r="G246" s="102">
        <v>1.0</v>
      </c>
      <c r="H246" s="101" t="s">
        <v>2940</v>
      </c>
      <c r="I246" s="102">
        <v>52.52</v>
      </c>
      <c r="J246" s="102">
        <v>64.6</v>
      </c>
      <c r="K246" s="101" t="s">
        <v>2941</v>
      </c>
      <c r="L246" s="102">
        <v>23.0</v>
      </c>
      <c r="M246" s="13"/>
    </row>
    <row r="247">
      <c r="A247" s="101" t="s">
        <v>3084</v>
      </c>
      <c r="B247" s="101">
        <v>170453.0</v>
      </c>
      <c r="C247" s="13"/>
      <c r="D247" s="13"/>
      <c r="E247" s="13"/>
      <c r="F247" s="13"/>
      <c r="G247" s="102">
        <v>2.0</v>
      </c>
      <c r="H247" s="101" t="s">
        <v>2942</v>
      </c>
      <c r="I247" s="102">
        <v>42.0</v>
      </c>
      <c r="J247" s="102">
        <v>51.66</v>
      </c>
      <c r="K247" s="101" t="s">
        <v>2941</v>
      </c>
      <c r="L247" s="102">
        <v>23.0</v>
      </c>
      <c r="M247" s="13"/>
    </row>
    <row r="248">
      <c r="A248" s="101" t="s">
        <v>3085</v>
      </c>
      <c r="B248" s="101" t="s">
        <v>3086</v>
      </c>
      <c r="D248" s="13"/>
      <c r="E248" s="13"/>
      <c r="F248" s="13"/>
      <c r="G248" s="102">
        <v>1.0</v>
      </c>
      <c r="H248" s="101" t="s">
        <v>2940</v>
      </c>
      <c r="I248" s="102">
        <v>24.39</v>
      </c>
      <c r="J248" s="102">
        <v>30.0</v>
      </c>
      <c r="K248" s="101" t="s">
        <v>2941</v>
      </c>
      <c r="L248" s="102">
        <v>23.0</v>
      </c>
      <c r="M248" s="13"/>
    </row>
    <row r="249">
      <c r="A249" s="101" t="s">
        <v>3085</v>
      </c>
      <c r="B249" s="101" t="s">
        <v>3086</v>
      </c>
      <c r="D249" s="13"/>
      <c r="E249" s="13"/>
      <c r="F249" s="13"/>
      <c r="G249" s="102">
        <v>2.0</v>
      </c>
      <c r="H249" s="101" t="s">
        <v>2942</v>
      </c>
      <c r="I249" s="102">
        <v>19.5</v>
      </c>
      <c r="J249" s="102">
        <v>23.99</v>
      </c>
      <c r="K249" s="101" t="s">
        <v>2941</v>
      </c>
      <c r="L249" s="102">
        <v>23.0</v>
      </c>
      <c r="M249" s="13"/>
    </row>
    <row r="250">
      <c r="A250" s="101" t="s">
        <v>3087</v>
      </c>
      <c r="B250" s="101" t="s">
        <v>3088</v>
      </c>
      <c r="D250" s="13"/>
      <c r="E250" s="13"/>
      <c r="F250" s="13"/>
      <c r="G250" s="102">
        <v>1.0</v>
      </c>
      <c r="H250" s="101" t="s">
        <v>2940</v>
      </c>
      <c r="I250" s="102">
        <v>48.78</v>
      </c>
      <c r="J250" s="102">
        <v>60.0</v>
      </c>
      <c r="K250" s="101" t="s">
        <v>2941</v>
      </c>
      <c r="L250" s="102">
        <v>23.0</v>
      </c>
      <c r="M250" s="13"/>
    </row>
    <row r="251">
      <c r="A251" s="101" t="s">
        <v>3087</v>
      </c>
      <c r="B251" s="101" t="s">
        <v>3088</v>
      </c>
      <c r="D251" s="13"/>
      <c r="E251" s="13"/>
      <c r="F251" s="13"/>
      <c r="G251" s="102">
        <v>2.0</v>
      </c>
      <c r="H251" s="101" t="s">
        <v>2942</v>
      </c>
      <c r="I251" s="102">
        <v>39.0</v>
      </c>
      <c r="J251" s="102">
        <v>47.97</v>
      </c>
      <c r="K251" s="101" t="s">
        <v>2941</v>
      </c>
      <c r="L251" s="102">
        <v>23.0</v>
      </c>
      <c r="M251" s="13"/>
    </row>
    <row r="252">
      <c r="A252" s="101" t="s">
        <v>3089</v>
      </c>
      <c r="B252" s="101" t="s">
        <v>3090</v>
      </c>
      <c r="D252" s="13"/>
      <c r="E252" s="13"/>
      <c r="F252" s="13"/>
      <c r="G252" s="102">
        <v>1.0</v>
      </c>
      <c r="H252" s="101" t="s">
        <v>2940</v>
      </c>
      <c r="I252" s="102">
        <v>73.17</v>
      </c>
      <c r="J252" s="102">
        <v>90.0</v>
      </c>
      <c r="K252" s="101" t="s">
        <v>2941</v>
      </c>
      <c r="L252" s="102">
        <v>23.0</v>
      </c>
      <c r="M252" s="13"/>
    </row>
    <row r="253">
      <c r="A253" s="101" t="s">
        <v>3089</v>
      </c>
      <c r="B253" s="101" t="s">
        <v>3090</v>
      </c>
      <c r="D253" s="13"/>
      <c r="E253" s="13"/>
      <c r="F253" s="13"/>
      <c r="G253" s="102">
        <v>2.0</v>
      </c>
      <c r="H253" s="101" t="s">
        <v>2942</v>
      </c>
      <c r="I253" s="102">
        <v>58.5</v>
      </c>
      <c r="J253" s="102">
        <v>71.96</v>
      </c>
      <c r="K253" s="101" t="s">
        <v>2941</v>
      </c>
      <c r="L253" s="102">
        <v>23.0</v>
      </c>
      <c r="M253" s="13"/>
    </row>
    <row r="254">
      <c r="A254" s="101" t="s">
        <v>3091</v>
      </c>
      <c r="B254" s="101">
        <v>170071.0</v>
      </c>
      <c r="C254" s="13"/>
      <c r="D254" s="13"/>
      <c r="E254" s="13"/>
      <c r="F254" s="13"/>
      <c r="G254" s="102">
        <v>1.0</v>
      </c>
      <c r="H254" s="101" t="s">
        <v>2940</v>
      </c>
      <c r="I254" s="102">
        <v>34.15</v>
      </c>
      <c r="J254" s="102">
        <v>42.0</v>
      </c>
      <c r="K254" s="101" t="s">
        <v>2941</v>
      </c>
      <c r="L254" s="102">
        <v>23.0</v>
      </c>
      <c r="M254" s="13"/>
    </row>
    <row r="255">
      <c r="A255" s="101" t="s">
        <v>3091</v>
      </c>
      <c r="B255" s="101">
        <v>170071.0</v>
      </c>
      <c r="C255" s="13"/>
      <c r="D255" s="13"/>
      <c r="E255" s="13"/>
      <c r="F255" s="13"/>
      <c r="G255" s="102">
        <v>2.0</v>
      </c>
      <c r="H255" s="101" t="s">
        <v>2942</v>
      </c>
      <c r="I255" s="102">
        <v>34.0</v>
      </c>
      <c r="J255" s="102">
        <v>41.82</v>
      </c>
      <c r="K255" s="101" t="s">
        <v>2941</v>
      </c>
      <c r="L255" s="102">
        <v>23.0</v>
      </c>
      <c r="M255" s="13"/>
    </row>
    <row r="256">
      <c r="A256" s="101" t="s">
        <v>3092</v>
      </c>
      <c r="B256" s="101">
        <v>170072.0</v>
      </c>
      <c r="C256" s="13"/>
      <c r="D256" s="13"/>
      <c r="E256" s="13"/>
      <c r="F256" s="13"/>
      <c r="G256" s="102">
        <v>1.0</v>
      </c>
      <c r="H256" s="101" t="s">
        <v>2940</v>
      </c>
      <c r="I256" s="102">
        <v>61.22</v>
      </c>
      <c r="J256" s="102">
        <v>75.3</v>
      </c>
      <c r="K256" s="101" t="s">
        <v>2941</v>
      </c>
      <c r="L256" s="102">
        <v>23.0</v>
      </c>
      <c r="M256" s="13"/>
    </row>
    <row r="257">
      <c r="A257" s="101" t="s">
        <v>3092</v>
      </c>
      <c r="B257" s="101">
        <v>170072.0</v>
      </c>
      <c r="C257" s="13"/>
      <c r="D257" s="13"/>
      <c r="E257" s="13"/>
      <c r="F257" s="13"/>
      <c r="G257" s="102">
        <v>2.0</v>
      </c>
      <c r="H257" s="101" t="s">
        <v>2942</v>
      </c>
      <c r="I257" s="102">
        <v>49.0</v>
      </c>
      <c r="J257" s="102">
        <v>60.27</v>
      </c>
      <c r="K257" s="101" t="s">
        <v>2941</v>
      </c>
      <c r="L257" s="102">
        <v>23.0</v>
      </c>
      <c r="M257" s="13"/>
    </row>
    <row r="258">
      <c r="A258" s="101" t="s">
        <v>3093</v>
      </c>
      <c r="B258" s="101">
        <v>170073.0</v>
      </c>
      <c r="C258" s="13"/>
      <c r="D258" s="13"/>
      <c r="E258" s="13"/>
      <c r="F258" s="13"/>
      <c r="G258" s="102">
        <v>1.0</v>
      </c>
      <c r="H258" s="101" t="s">
        <v>2940</v>
      </c>
      <c r="I258" s="102">
        <v>91.71</v>
      </c>
      <c r="J258" s="102">
        <v>112.8</v>
      </c>
      <c r="K258" s="101" t="s">
        <v>2941</v>
      </c>
      <c r="L258" s="102">
        <v>23.0</v>
      </c>
      <c r="M258" s="13"/>
    </row>
    <row r="259">
      <c r="A259" s="101" t="s">
        <v>3093</v>
      </c>
      <c r="B259" s="101">
        <v>170073.0</v>
      </c>
      <c r="C259" s="13"/>
      <c r="D259" s="13"/>
      <c r="E259" s="13"/>
      <c r="F259" s="13"/>
      <c r="G259" s="102">
        <v>2.0</v>
      </c>
      <c r="H259" s="101" t="s">
        <v>2942</v>
      </c>
      <c r="I259" s="102">
        <v>73.4</v>
      </c>
      <c r="J259" s="102">
        <v>90.28</v>
      </c>
      <c r="K259" s="101" t="s">
        <v>2941</v>
      </c>
      <c r="L259" s="102">
        <v>23.0</v>
      </c>
      <c r="M259" s="13"/>
    </row>
    <row r="260">
      <c r="A260" s="101" t="s">
        <v>3094</v>
      </c>
      <c r="B260" s="101">
        <v>4151.0</v>
      </c>
      <c r="C260" s="13"/>
      <c r="D260" s="13"/>
      <c r="E260" s="13"/>
      <c r="F260" s="13"/>
      <c r="G260" s="102">
        <v>1.0</v>
      </c>
      <c r="H260" s="101" t="s">
        <v>2940</v>
      </c>
      <c r="I260" s="102">
        <v>30.81</v>
      </c>
      <c r="J260" s="102">
        <v>37.9</v>
      </c>
      <c r="K260" s="101" t="s">
        <v>2941</v>
      </c>
      <c r="L260" s="102">
        <v>23.0</v>
      </c>
      <c r="M260" s="13"/>
    </row>
    <row r="261">
      <c r="A261" s="101" t="s">
        <v>3094</v>
      </c>
      <c r="B261" s="101">
        <v>4151.0</v>
      </c>
      <c r="C261" s="13"/>
      <c r="D261" s="13"/>
      <c r="E261" s="13"/>
      <c r="F261" s="13"/>
      <c r="G261" s="102">
        <v>2.0</v>
      </c>
      <c r="H261" s="101" t="s">
        <v>2942</v>
      </c>
      <c r="I261" s="102">
        <v>24.6</v>
      </c>
      <c r="J261" s="102">
        <v>30.26</v>
      </c>
      <c r="K261" s="101" t="s">
        <v>2941</v>
      </c>
      <c r="L261" s="102">
        <v>23.0</v>
      </c>
      <c r="M261" s="13"/>
    </row>
    <row r="262">
      <c r="A262" s="101" t="s">
        <v>3095</v>
      </c>
      <c r="B262" s="101">
        <v>4152.0</v>
      </c>
      <c r="C262" s="13"/>
      <c r="D262" s="13"/>
      <c r="E262" s="13"/>
      <c r="F262" s="13"/>
      <c r="G262" s="102">
        <v>1.0</v>
      </c>
      <c r="H262" s="101" t="s">
        <v>2940</v>
      </c>
      <c r="I262" s="102">
        <v>68.29</v>
      </c>
      <c r="J262" s="102">
        <v>84.0</v>
      </c>
      <c r="K262" s="101" t="s">
        <v>2941</v>
      </c>
      <c r="L262" s="102">
        <v>23.0</v>
      </c>
      <c r="M262" s="13"/>
    </row>
    <row r="263">
      <c r="A263" s="101" t="s">
        <v>3095</v>
      </c>
      <c r="B263" s="101">
        <v>4152.0</v>
      </c>
      <c r="C263" s="13"/>
      <c r="D263" s="13"/>
      <c r="E263" s="13"/>
      <c r="F263" s="13"/>
      <c r="G263" s="102">
        <v>2.0</v>
      </c>
      <c r="H263" s="101" t="s">
        <v>2942</v>
      </c>
      <c r="I263" s="102">
        <v>68.3</v>
      </c>
      <c r="J263" s="102">
        <v>84.01</v>
      </c>
      <c r="K263" s="101" t="s">
        <v>2941</v>
      </c>
      <c r="L263" s="102">
        <v>23.0</v>
      </c>
      <c r="M263" s="13"/>
    </row>
    <row r="264">
      <c r="A264" s="101" t="s">
        <v>3096</v>
      </c>
      <c r="B264" s="101">
        <v>4153.0</v>
      </c>
      <c r="C264" s="13"/>
      <c r="D264" s="13"/>
      <c r="E264" s="13"/>
      <c r="F264" s="13"/>
      <c r="G264" s="102">
        <v>1.0</v>
      </c>
      <c r="H264" s="101" t="s">
        <v>2940</v>
      </c>
      <c r="I264" s="102">
        <v>102.52</v>
      </c>
      <c r="J264" s="102">
        <v>126.1</v>
      </c>
      <c r="K264" s="101" t="s">
        <v>2941</v>
      </c>
      <c r="L264" s="102">
        <v>23.0</v>
      </c>
      <c r="M264" s="13"/>
    </row>
    <row r="265">
      <c r="A265" s="101" t="s">
        <v>3096</v>
      </c>
      <c r="B265" s="101">
        <v>4153.0</v>
      </c>
      <c r="C265" s="13"/>
      <c r="D265" s="13"/>
      <c r="E265" s="13"/>
      <c r="F265" s="13"/>
      <c r="G265" s="102">
        <v>2.0</v>
      </c>
      <c r="H265" s="101" t="s">
        <v>2942</v>
      </c>
      <c r="I265" s="102">
        <v>102.5</v>
      </c>
      <c r="J265" s="102">
        <v>126.08</v>
      </c>
      <c r="K265" s="101" t="s">
        <v>2941</v>
      </c>
      <c r="L265" s="102">
        <v>23.0</v>
      </c>
      <c r="M265" s="13"/>
    </row>
    <row r="266">
      <c r="A266" s="101" t="s">
        <v>3097</v>
      </c>
      <c r="B266" s="101">
        <v>4131.0</v>
      </c>
      <c r="C266" s="13"/>
      <c r="D266" s="13"/>
      <c r="E266" s="13"/>
      <c r="F266" s="13"/>
      <c r="G266" s="102">
        <v>1.0</v>
      </c>
      <c r="H266" s="101" t="s">
        <v>2940</v>
      </c>
      <c r="I266" s="102">
        <v>29.3</v>
      </c>
      <c r="J266" s="102">
        <v>36.04</v>
      </c>
      <c r="K266" s="101" t="s">
        <v>2941</v>
      </c>
      <c r="L266" s="102">
        <v>23.0</v>
      </c>
      <c r="M266" s="13"/>
    </row>
    <row r="267">
      <c r="A267" s="101" t="s">
        <v>3097</v>
      </c>
      <c r="B267" s="101">
        <v>4131.0</v>
      </c>
      <c r="C267" s="13"/>
      <c r="D267" s="13"/>
      <c r="E267" s="13"/>
      <c r="F267" s="13"/>
      <c r="G267" s="102">
        <v>2.0</v>
      </c>
      <c r="H267" s="101" t="s">
        <v>2942</v>
      </c>
      <c r="I267" s="102">
        <v>29.3</v>
      </c>
      <c r="J267" s="102">
        <v>36.04</v>
      </c>
      <c r="K267" s="101" t="s">
        <v>2941</v>
      </c>
      <c r="L267" s="102">
        <v>23.0</v>
      </c>
      <c r="M267" s="13"/>
    </row>
    <row r="268">
      <c r="A268" s="101" t="s">
        <v>3098</v>
      </c>
      <c r="B268" s="101" t="s">
        <v>3099</v>
      </c>
      <c r="D268" s="13"/>
      <c r="E268" s="13"/>
      <c r="F268" s="13"/>
      <c r="G268" s="102">
        <v>1.0</v>
      </c>
      <c r="H268" s="101" t="s">
        <v>2940</v>
      </c>
      <c r="I268" s="102">
        <v>52.68</v>
      </c>
      <c r="J268" s="102">
        <v>64.8</v>
      </c>
      <c r="K268" s="101" t="s">
        <v>2941</v>
      </c>
      <c r="L268" s="102">
        <v>23.0</v>
      </c>
      <c r="M268" s="13"/>
    </row>
    <row r="269">
      <c r="A269" s="101" t="s">
        <v>3098</v>
      </c>
      <c r="B269" s="101" t="s">
        <v>3099</v>
      </c>
      <c r="D269" s="13"/>
      <c r="E269" s="13"/>
      <c r="F269" s="13"/>
      <c r="G269" s="102">
        <v>2.0</v>
      </c>
      <c r="H269" s="101" t="s">
        <v>2942</v>
      </c>
      <c r="I269" s="102">
        <v>42.1</v>
      </c>
      <c r="J269" s="102">
        <v>51.78</v>
      </c>
      <c r="K269" s="101" t="s">
        <v>2941</v>
      </c>
      <c r="L269" s="102">
        <v>23.0</v>
      </c>
      <c r="M269" s="13"/>
    </row>
    <row r="270">
      <c r="A270" s="101" t="s">
        <v>3100</v>
      </c>
      <c r="B270" s="101">
        <v>4132.0</v>
      </c>
      <c r="C270" s="13"/>
      <c r="D270" s="13"/>
      <c r="E270" s="13"/>
      <c r="F270" s="13"/>
      <c r="G270" s="102">
        <v>1.0</v>
      </c>
      <c r="H270" s="101" t="s">
        <v>2940</v>
      </c>
      <c r="I270" s="102">
        <v>58.54</v>
      </c>
      <c r="J270" s="102">
        <v>72.0</v>
      </c>
      <c r="K270" s="101" t="s">
        <v>2941</v>
      </c>
      <c r="L270" s="102">
        <v>23.0</v>
      </c>
      <c r="M270" s="13"/>
    </row>
    <row r="271">
      <c r="A271" s="101" t="s">
        <v>3100</v>
      </c>
      <c r="B271" s="101">
        <v>4132.0</v>
      </c>
      <c r="C271" s="13"/>
      <c r="D271" s="13"/>
      <c r="E271" s="13"/>
      <c r="F271" s="13"/>
      <c r="G271" s="102">
        <v>2.0</v>
      </c>
      <c r="H271" s="101" t="s">
        <v>2942</v>
      </c>
      <c r="I271" s="102">
        <v>58.5</v>
      </c>
      <c r="J271" s="102">
        <v>71.96</v>
      </c>
      <c r="K271" s="101" t="s">
        <v>2941</v>
      </c>
      <c r="L271" s="102">
        <v>23.0</v>
      </c>
      <c r="M271" s="13"/>
    </row>
    <row r="272">
      <c r="A272" s="101" t="s">
        <v>3101</v>
      </c>
      <c r="B272" s="101">
        <v>4133.0</v>
      </c>
      <c r="C272" s="13"/>
      <c r="D272" s="13"/>
      <c r="E272" s="13"/>
      <c r="F272" s="13"/>
      <c r="G272" s="102">
        <v>1.0</v>
      </c>
      <c r="H272" s="101" t="s">
        <v>2940</v>
      </c>
      <c r="I272" s="102">
        <v>87.9</v>
      </c>
      <c r="J272" s="102">
        <v>108.12</v>
      </c>
      <c r="K272" s="101" t="s">
        <v>2941</v>
      </c>
      <c r="L272" s="102">
        <v>23.0</v>
      </c>
      <c r="M272" s="13"/>
    </row>
    <row r="273">
      <c r="A273" s="101" t="s">
        <v>3101</v>
      </c>
      <c r="B273" s="101">
        <v>4133.0</v>
      </c>
      <c r="C273" s="13"/>
      <c r="D273" s="13"/>
      <c r="E273" s="13"/>
      <c r="F273" s="13"/>
      <c r="G273" s="102">
        <v>2.0</v>
      </c>
      <c r="H273" s="101" t="s">
        <v>2942</v>
      </c>
      <c r="I273" s="102">
        <v>87.9</v>
      </c>
      <c r="J273" s="102">
        <v>108.12</v>
      </c>
      <c r="K273" s="101" t="s">
        <v>2941</v>
      </c>
      <c r="L273" s="102">
        <v>23.0</v>
      </c>
      <c r="M273" s="13"/>
    </row>
    <row r="274">
      <c r="A274" s="101" t="s">
        <v>3102</v>
      </c>
      <c r="B274" s="101">
        <v>170061.0</v>
      </c>
      <c r="C274" s="13"/>
      <c r="D274" s="13"/>
      <c r="E274" s="13"/>
      <c r="F274" s="13"/>
      <c r="G274" s="102">
        <v>1.0</v>
      </c>
      <c r="H274" s="101" t="s">
        <v>2940</v>
      </c>
      <c r="I274" s="102">
        <v>27.72</v>
      </c>
      <c r="J274" s="102">
        <v>34.1</v>
      </c>
      <c r="K274" s="101" t="s">
        <v>2941</v>
      </c>
      <c r="L274" s="102">
        <v>23.0</v>
      </c>
      <c r="M274" s="13"/>
    </row>
    <row r="275">
      <c r="A275" s="101" t="s">
        <v>3102</v>
      </c>
      <c r="B275" s="101">
        <v>170061.0</v>
      </c>
      <c r="C275" s="13"/>
      <c r="D275" s="13"/>
      <c r="E275" s="13"/>
      <c r="F275" s="13"/>
      <c r="G275" s="102">
        <v>2.0</v>
      </c>
      <c r="H275" s="101" t="s">
        <v>2942</v>
      </c>
      <c r="I275" s="102">
        <v>22.2</v>
      </c>
      <c r="J275" s="102">
        <v>27.31</v>
      </c>
      <c r="K275" s="101" t="s">
        <v>2941</v>
      </c>
      <c r="L275" s="102">
        <v>23.0</v>
      </c>
      <c r="M275" s="13"/>
    </row>
    <row r="276">
      <c r="A276" s="101" t="s">
        <v>3103</v>
      </c>
      <c r="B276" s="101">
        <v>170062.0</v>
      </c>
      <c r="C276" s="13"/>
      <c r="D276" s="13"/>
      <c r="E276" s="13"/>
      <c r="F276" s="13"/>
      <c r="G276" s="102">
        <v>1.0</v>
      </c>
      <c r="H276" s="101" t="s">
        <v>2940</v>
      </c>
      <c r="I276" s="102">
        <v>55.37</v>
      </c>
      <c r="J276" s="102">
        <v>68.11</v>
      </c>
      <c r="K276" s="101" t="s">
        <v>2941</v>
      </c>
      <c r="L276" s="102">
        <v>23.0</v>
      </c>
      <c r="M276" s="13"/>
    </row>
    <row r="277">
      <c r="A277" s="101" t="s">
        <v>3103</v>
      </c>
      <c r="B277" s="101">
        <v>170062.0</v>
      </c>
      <c r="C277" s="13"/>
      <c r="D277" s="13"/>
      <c r="E277" s="13"/>
      <c r="F277" s="13"/>
      <c r="G277" s="102">
        <v>2.0</v>
      </c>
      <c r="H277" s="101" t="s">
        <v>2942</v>
      </c>
      <c r="I277" s="102">
        <v>44.3</v>
      </c>
      <c r="J277" s="102">
        <v>54.49</v>
      </c>
      <c r="K277" s="101" t="s">
        <v>2941</v>
      </c>
      <c r="L277" s="102">
        <v>23.0</v>
      </c>
      <c r="M277" s="13"/>
    </row>
    <row r="278">
      <c r="A278" s="101" t="s">
        <v>3104</v>
      </c>
      <c r="B278" s="101">
        <v>170063.0</v>
      </c>
      <c r="C278" s="13"/>
      <c r="D278" s="13"/>
      <c r="E278" s="13"/>
      <c r="F278" s="13"/>
      <c r="G278" s="102">
        <v>1.0</v>
      </c>
      <c r="H278" s="101" t="s">
        <v>2940</v>
      </c>
      <c r="I278" s="102">
        <v>83.09</v>
      </c>
      <c r="J278" s="102">
        <v>102.2</v>
      </c>
      <c r="K278" s="101" t="s">
        <v>2941</v>
      </c>
      <c r="L278" s="102">
        <v>23.0</v>
      </c>
      <c r="M278" s="13"/>
    </row>
    <row r="279">
      <c r="A279" s="101" t="s">
        <v>3104</v>
      </c>
      <c r="B279" s="101">
        <v>170063.0</v>
      </c>
      <c r="C279" s="13"/>
      <c r="D279" s="13"/>
      <c r="E279" s="13"/>
      <c r="F279" s="13"/>
      <c r="G279" s="102">
        <v>2.0</v>
      </c>
      <c r="H279" s="101" t="s">
        <v>2942</v>
      </c>
      <c r="I279" s="102">
        <v>66.5</v>
      </c>
      <c r="J279" s="102">
        <v>81.8</v>
      </c>
      <c r="K279" s="101" t="s">
        <v>2941</v>
      </c>
      <c r="L279" s="102">
        <v>23.0</v>
      </c>
      <c r="M279" s="13"/>
    </row>
    <row r="280">
      <c r="A280" s="101" t="s">
        <v>3105</v>
      </c>
      <c r="B280" s="101">
        <v>170081.0</v>
      </c>
      <c r="C280" s="13"/>
      <c r="D280" s="13"/>
      <c r="E280" s="13"/>
      <c r="F280" s="13"/>
      <c r="G280" s="102">
        <v>1.0</v>
      </c>
      <c r="H280" s="101" t="s">
        <v>2940</v>
      </c>
      <c r="I280" s="102">
        <v>34.72</v>
      </c>
      <c r="J280" s="102">
        <v>42.71</v>
      </c>
      <c r="K280" s="101" t="s">
        <v>2941</v>
      </c>
      <c r="L280" s="102">
        <v>23.0</v>
      </c>
      <c r="M280" s="13"/>
    </row>
    <row r="281">
      <c r="A281" s="101" t="s">
        <v>3105</v>
      </c>
      <c r="B281" s="101">
        <v>170081.0</v>
      </c>
      <c r="C281" s="13"/>
      <c r="D281" s="13"/>
      <c r="E281" s="13"/>
      <c r="F281" s="13"/>
      <c r="G281" s="102">
        <v>2.0</v>
      </c>
      <c r="H281" s="101" t="s">
        <v>2942</v>
      </c>
      <c r="I281" s="102">
        <v>34.7</v>
      </c>
      <c r="J281" s="102">
        <v>42.68</v>
      </c>
      <c r="K281" s="101" t="s">
        <v>2941</v>
      </c>
      <c r="L281" s="102">
        <v>23.0</v>
      </c>
      <c r="M281" s="13"/>
    </row>
    <row r="282">
      <c r="A282" s="101" t="s">
        <v>3106</v>
      </c>
      <c r="B282" s="101">
        <v>170082.0</v>
      </c>
      <c r="C282" s="13"/>
      <c r="D282" s="13"/>
      <c r="E282" s="13"/>
      <c r="F282" s="13"/>
      <c r="G282" s="102">
        <v>1.0</v>
      </c>
      <c r="H282" s="101" t="s">
        <v>2940</v>
      </c>
      <c r="I282" s="102">
        <v>69.43</v>
      </c>
      <c r="J282" s="102">
        <v>85.4</v>
      </c>
      <c r="K282" s="101" t="s">
        <v>2941</v>
      </c>
      <c r="L282" s="102">
        <v>23.0</v>
      </c>
      <c r="M282" s="13"/>
    </row>
    <row r="283">
      <c r="A283" s="101" t="s">
        <v>3106</v>
      </c>
      <c r="B283" s="101">
        <v>170082.0</v>
      </c>
      <c r="C283" s="13"/>
      <c r="D283" s="13"/>
      <c r="E283" s="13"/>
      <c r="F283" s="13"/>
      <c r="G283" s="102">
        <v>2.0</v>
      </c>
      <c r="H283" s="101" t="s">
        <v>2942</v>
      </c>
      <c r="I283" s="102">
        <v>69.4</v>
      </c>
      <c r="J283" s="102">
        <v>85.36</v>
      </c>
      <c r="K283" s="101" t="s">
        <v>2941</v>
      </c>
      <c r="L283" s="102">
        <v>23.0</v>
      </c>
      <c r="M283" s="13"/>
    </row>
    <row r="284">
      <c r="A284" s="101" t="s">
        <v>3107</v>
      </c>
      <c r="B284" s="101">
        <v>170083.0</v>
      </c>
      <c r="C284" s="13"/>
      <c r="D284" s="13"/>
      <c r="E284" s="13"/>
      <c r="F284" s="13"/>
      <c r="G284" s="102">
        <v>1.0</v>
      </c>
      <c r="H284" s="101" t="s">
        <v>2940</v>
      </c>
      <c r="I284" s="102">
        <v>104.07</v>
      </c>
      <c r="J284" s="102">
        <v>128.01</v>
      </c>
      <c r="K284" s="101" t="s">
        <v>2941</v>
      </c>
      <c r="L284" s="102">
        <v>23.0</v>
      </c>
      <c r="M284" s="13"/>
    </row>
    <row r="285">
      <c r="A285" s="101" t="s">
        <v>3107</v>
      </c>
      <c r="B285" s="101">
        <v>170083.0</v>
      </c>
      <c r="C285" s="13"/>
      <c r="D285" s="13"/>
      <c r="E285" s="13"/>
      <c r="F285" s="13"/>
      <c r="G285" s="102">
        <v>2.0</v>
      </c>
      <c r="H285" s="101" t="s">
        <v>2942</v>
      </c>
      <c r="I285" s="102">
        <v>104.1</v>
      </c>
      <c r="J285" s="102">
        <v>128.04</v>
      </c>
      <c r="K285" s="101" t="s">
        <v>2941</v>
      </c>
      <c r="L285" s="102">
        <v>23.0</v>
      </c>
      <c r="M285" s="13"/>
    </row>
    <row r="286">
      <c r="A286" s="101" t="s">
        <v>3108</v>
      </c>
      <c r="B286" s="101">
        <v>9451.0</v>
      </c>
      <c r="C286" s="13"/>
      <c r="D286" s="13"/>
      <c r="E286" s="13"/>
      <c r="F286" s="13"/>
      <c r="G286" s="102">
        <v>1.0</v>
      </c>
      <c r="H286" s="101" t="s">
        <v>2940</v>
      </c>
      <c r="I286" s="102">
        <v>16.67</v>
      </c>
      <c r="J286" s="102">
        <v>20.5</v>
      </c>
      <c r="K286" s="101" t="s">
        <v>2941</v>
      </c>
      <c r="L286" s="102">
        <v>23.0</v>
      </c>
      <c r="M286" s="13"/>
    </row>
    <row r="287">
      <c r="A287" s="101" t="s">
        <v>3108</v>
      </c>
      <c r="B287" s="101">
        <v>9451.0</v>
      </c>
      <c r="C287" s="13"/>
      <c r="D287" s="13"/>
      <c r="E287" s="13"/>
      <c r="F287" s="13"/>
      <c r="G287" s="102">
        <v>2.0</v>
      </c>
      <c r="H287" s="101" t="s">
        <v>2942</v>
      </c>
      <c r="I287" s="102">
        <v>16.7</v>
      </c>
      <c r="J287" s="102">
        <v>20.54</v>
      </c>
      <c r="K287" s="101" t="s">
        <v>2941</v>
      </c>
      <c r="L287" s="102">
        <v>23.0</v>
      </c>
      <c r="M287" s="13"/>
    </row>
    <row r="288">
      <c r="A288" s="101" t="s">
        <v>3109</v>
      </c>
      <c r="B288" s="101">
        <v>9452.0</v>
      </c>
      <c r="C288" s="13"/>
      <c r="D288" s="13"/>
      <c r="E288" s="13"/>
      <c r="F288" s="13"/>
      <c r="G288" s="102">
        <v>1.0</v>
      </c>
      <c r="H288" s="101" t="s">
        <v>2940</v>
      </c>
      <c r="I288" s="102">
        <v>30.0</v>
      </c>
      <c r="J288" s="102">
        <v>36.9</v>
      </c>
      <c r="K288" s="101" t="s">
        <v>2941</v>
      </c>
      <c r="L288" s="102">
        <v>23.0</v>
      </c>
      <c r="M288" s="13"/>
    </row>
    <row r="289">
      <c r="A289" s="101" t="s">
        <v>3109</v>
      </c>
      <c r="B289" s="101">
        <v>9452.0</v>
      </c>
      <c r="C289" s="13"/>
      <c r="D289" s="13"/>
      <c r="E289" s="13"/>
      <c r="F289" s="13"/>
      <c r="G289" s="102">
        <v>2.0</v>
      </c>
      <c r="H289" s="101" t="s">
        <v>2942</v>
      </c>
      <c r="I289" s="102">
        <v>24.0</v>
      </c>
      <c r="J289" s="102">
        <v>29.52</v>
      </c>
      <c r="K289" s="101" t="s">
        <v>2941</v>
      </c>
      <c r="L289" s="102">
        <v>23.0</v>
      </c>
      <c r="M289" s="13"/>
    </row>
    <row r="290">
      <c r="A290" s="101" t="s">
        <v>3110</v>
      </c>
      <c r="B290" s="101">
        <v>9453.0</v>
      </c>
      <c r="C290" s="13"/>
      <c r="D290" s="13"/>
      <c r="E290" s="13"/>
      <c r="F290" s="13"/>
      <c r="G290" s="102">
        <v>1.0</v>
      </c>
      <c r="H290" s="101" t="s">
        <v>2940</v>
      </c>
      <c r="I290" s="102">
        <v>45.12</v>
      </c>
      <c r="J290" s="102">
        <v>55.5</v>
      </c>
      <c r="K290" s="101" t="s">
        <v>2941</v>
      </c>
      <c r="L290" s="102">
        <v>23.0</v>
      </c>
      <c r="M290" s="13"/>
    </row>
    <row r="291">
      <c r="A291" s="101" t="s">
        <v>3110</v>
      </c>
      <c r="B291" s="101">
        <v>9453.0</v>
      </c>
      <c r="C291" s="13"/>
      <c r="D291" s="13"/>
      <c r="E291" s="13"/>
      <c r="F291" s="13"/>
      <c r="G291" s="102">
        <v>2.0</v>
      </c>
      <c r="H291" s="101" t="s">
        <v>2942</v>
      </c>
      <c r="I291" s="102">
        <v>36.1</v>
      </c>
      <c r="J291" s="102">
        <v>44.4</v>
      </c>
      <c r="K291" s="101" t="s">
        <v>2941</v>
      </c>
      <c r="L291" s="102">
        <v>23.0</v>
      </c>
      <c r="M291" s="13"/>
    </row>
    <row r="292">
      <c r="A292" s="101" t="s">
        <v>3111</v>
      </c>
      <c r="B292" s="101">
        <v>1224.0</v>
      </c>
      <c r="C292" s="13"/>
      <c r="D292" s="13"/>
      <c r="E292" s="13"/>
      <c r="F292" s="13"/>
      <c r="G292" s="102">
        <v>1.0</v>
      </c>
      <c r="H292" s="101" t="s">
        <v>2940</v>
      </c>
      <c r="I292" s="102">
        <v>85.45</v>
      </c>
      <c r="J292" s="102">
        <v>105.1</v>
      </c>
      <c r="K292" s="101" t="s">
        <v>2941</v>
      </c>
      <c r="L292" s="102">
        <v>23.0</v>
      </c>
      <c r="M292" s="13"/>
    </row>
    <row r="293">
      <c r="A293" s="101" t="s">
        <v>3111</v>
      </c>
      <c r="B293" s="101">
        <v>1224.0</v>
      </c>
      <c r="C293" s="13"/>
      <c r="D293" s="13"/>
      <c r="E293" s="13"/>
      <c r="F293" s="13"/>
      <c r="G293" s="102">
        <v>2.0</v>
      </c>
      <c r="H293" s="101" t="s">
        <v>2942</v>
      </c>
      <c r="I293" s="102">
        <v>68.3</v>
      </c>
      <c r="J293" s="102">
        <v>84.01</v>
      </c>
      <c r="K293" s="101" t="s">
        <v>2941</v>
      </c>
      <c r="L293" s="102">
        <v>23.0</v>
      </c>
      <c r="M293" s="13"/>
    </row>
    <row r="294">
      <c r="A294" s="101" t="s">
        <v>3112</v>
      </c>
      <c r="B294" s="101">
        <v>1717.0</v>
      </c>
      <c r="C294" s="13"/>
      <c r="D294" s="13"/>
      <c r="E294" s="13"/>
      <c r="F294" s="13"/>
      <c r="G294" s="102">
        <v>1.0</v>
      </c>
      <c r="H294" s="101" t="s">
        <v>2940</v>
      </c>
      <c r="I294" s="102">
        <v>142.44</v>
      </c>
      <c r="J294" s="102">
        <v>175.2</v>
      </c>
      <c r="K294" s="101" t="s">
        <v>2941</v>
      </c>
      <c r="L294" s="102">
        <v>23.0</v>
      </c>
      <c r="M294" s="13"/>
    </row>
    <row r="295">
      <c r="A295" s="101" t="s">
        <v>3112</v>
      </c>
      <c r="B295" s="101">
        <v>1717.0</v>
      </c>
      <c r="C295" s="13"/>
      <c r="D295" s="13"/>
      <c r="E295" s="13"/>
      <c r="F295" s="13"/>
      <c r="G295" s="102">
        <v>2.0</v>
      </c>
      <c r="H295" s="101" t="s">
        <v>2942</v>
      </c>
      <c r="I295" s="102">
        <v>142.4</v>
      </c>
      <c r="J295" s="102">
        <v>175.15</v>
      </c>
      <c r="K295" s="101" t="s">
        <v>2941</v>
      </c>
      <c r="L295" s="102">
        <v>23.0</v>
      </c>
      <c r="M295" s="13"/>
    </row>
    <row r="296">
      <c r="A296" s="101" t="s">
        <v>3113</v>
      </c>
      <c r="B296" s="101">
        <v>13161.0</v>
      </c>
      <c r="C296" s="13"/>
      <c r="D296" s="13"/>
      <c r="E296" s="13"/>
      <c r="F296" s="13"/>
      <c r="G296" s="102">
        <v>1.0</v>
      </c>
      <c r="H296" s="101" t="s">
        <v>2940</v>
      </c>
      <c r="I296" s="102">
        <v>17.72</v>
      </c>
      <c r="J296" s="102">
        <v>21.8</v>
      </c>
      <c r="K296" s="101" t="s">
        <v>2941</v>
      </c>
      <c r="L296" s="102">
        <v>23.0</v>
      </c>
      <c r="M296" s="13"/>
    </row>
    <row r="297">
      <c r="A297" s="101" t="s">
        <v>3113</v>
      </c>
      <c r="B297" s="101">
        <v>13161.0</v>
      </c>
      <c r="C297" s="13"/>
      <c r="D297" s="13"/>
      <c r="E297" s="13"/>
      <c r="F297" s="13"/>
      <c r="G297" s="102">
        <v>2.0</v>
      </c>
      <c r="H297" s="101" t="s">
        <v>2942</v>
      </c>
      <c r="I297" s="102">
        <v>14.2</v>
      </c>
      <c r="J297" s="102">
        <v>17.47</v>
      </c>
      <c r="K297" s="101" t="s">
        <v>2941</v>
      </c>
      <c r="L297" s="102">
        <v>23.0</v>
      </c>
      <c r="M297" s="13"/>
    </row>
    <row r="298">
      <c r="A298" s="101" t="s">
        <v>3114</v>
      </c>
      <c r="B298" s="101">
        <v>13162.0</v>
      </c>
      <c r="C298" s="13"/>
      <c r="D298" s="13"/>
      <c r="E298" s="13"/>
      <c r="F298" s="13"/>
      <c r="G298" s="102">
        <v>1.0</v>
      </c>
      <c r="H298" s="101" t="s">
        <v>2940</v>
      </c>
      <c r="I298" s="102">
        <v>31.87</v>
      </c>
      <c r="J298" s="102">
        <v>39.2</v>
      </c>
      <c r="K298" s="101" t="s">
        <v>2941</v>
      </c>
      <c r="L298" s="102">
        <v>23.0</v>
      </c>
      <c r="M298" s="13"/>
    </row>
    <row r="299">
      <c r="A299" s="101" t="s">
        <v>3114</v>
      </c>
      <c r="B299" s="101">
        <v>13162.0</v>
      </c>
      <c r="C299" s="13"/>
      <c r="D299" s="13"/>
      <c r="E299" s="13"/>
      <c r="F299" s="13"/>
      <c r="G299" s="102">
        <v>2.0</v>
      </c>
      <c r="H299" s="101" t="s">
        <v>2942</v>
      </c>
      <c r="I299" s="102">
        <v>25.5</v>
      </c>
      <c r="J299" s="102">
        <v>31.37</v>
      </c>
      <c r="K299" s="101" t="s">
        <v>2941</v>
      </c>
      <c r="L299" s="102">
        <v>23.0</v>
      </c>
      <c r="M299" s="13"/>
    </row>
    <row r="300">
      <c r="A300" s="101" t="s">
        <v>3115</v>
      </c>
      <c r="B300" s="101">
        <v>13163.0</v>
      </c>
      <c r="C300" s="13"/>
      <c r="D300" s="13"/>
      <c r="E300" s="13"/>
      <c r="F300" s="13"/>
      <c r="G300" s="102">
        <v>1.0</v>
      </c>
      <c r="H300" s="101" t="s">
        <v>2940</v>
      </c>
      <c r="I300" s="102">
        <v>47.8</v>
      </c>
      <c r="J300" s="102">
        <v>58.8</v>
      </c>
      <c r="K300" s="101" t="s">
        <v>2941</v>
      </c>
      <c r="L300" s="102">
        <v>23.0</v>
      </c>
      <c r="M300" s="13"/>
    </row>
    <row r="301">
      <c r="A301" s="101" t="s">
        <v>3115</v>
      </c>
      <c r="B301" s="101">
        <v>13163.0</v>
      </c>
      <c r="C301" s="13"/>
      <c r="D301" s="13"/>
      <c r="E301" s="13"/>
      <c r="F301" s="13"/>
      <c r="G301" s="102">
        <v>2.0</v>
      </c>
      <c r="H301" s="101" t="s">
        <v>2942</v>
      </c>
      <c r="I301" s="102">
        <v>43.0</v>
      </c>
      <c r="J301" s="102">
        <v>52.89</v>
      </c>
      <c r="K301" s="101" t="s">
        <v>2941</v>
      </c>
      <c r="L301" s="102">
        <v>23.0</v>
      </c>
      <c r="M301" s="13"/>
    </row>
    <row r="302">
      <c r="A302" s="101" t="s">
        <v>3116</v>
      </c>
      <c r="B302" s="101">
        <v>171511.0</v>
      </c>
      <c r="C302" s="13"/>
      <c r="D302" s="13"/>
      <c r="E302" s="13"/>
      <c r="F302" s="13"/>
      <c r="G302" s="102">
        <v>1.0</v>
      </c>
      <c r="H302" s="101" t="s">
        <v>2940</v>
      </c>
      <c r="I302" s="102">
        <v>42.6</v>
      </c>
      <c r="J302" s="102">
        <v>52.4</v>
      </c>
      <c r="K302" s="101" t="s">
        <v>2941</v>
      </c>
      <c r="L302" s="102">
        <v>23.0</v>
      </c>
      <c r="M302" s="13"/>
    </row>
    <row r="303">
      <c r="A303" s="101" t="s">
        <v>3116</v>
      </c>
      <c r="B303" s="101">
        <v>171511.0</v>
      </c>
      <c r="C303" s="13"/>
      <c r="D303" s="13"/>
      <c r="E303" s="13"/>
      <c r="F303" s="13"/>
      <c r="G303" s="102">
        <v>2.0</v>
      </c>
      <c r="H303" s="101" t="s">
        <v>2942</v>
      </c>
      <c r="I303" s="102">
        <v>34.1</v>
      </c>
      <c r="J303" s="102">
        <v>41.94</v>
      </c>
      <c r="K303" s="101" t="s">
        <v>2941</v>
      </c>
      <c r="L303" s="102">
        <v>23.0</v>
      </c>
      <c r="M303" s="13"/>
    </row>
    <row r="304">
      <c r="A304" s="101" t="s">
        <v>3117</v>
      </c>
      <c r="B304" s="101">
        <v>171512.0</v>
      </c>
      <c r="C304" s="13"/>
      <c r="D304" s="13"/>
      <c r="E304" s="13"/>
      <c r="F304" s="13"/>
      <c r="G304" s="102">
        <v>1.0</v>
      </c>
      <c r="H304" s="101" t="s">
        <v>2940</v>
      </c>
      <c r="I304" s="102">
        <v>85.12</v>
      </c>
      <c r="J304" s="102">
        <v>104.7</v>
      </c>
      <c r="K304" s="101" t="s">
        <v>2941</v>
      </c>
      <c r="L304" s="102">
        <v>23.0</v>
      </c>
      <c r="M304" s="13"/>
    </row>
    <row r="305">
      <c r="A305" s="101" t="s">
        <v>3117</v>
      </c>
      <c r="B305" s="101">
        <v>171512.0</v>
      </c>
      <c r="C305" s="13"/>
      <c r="D305" s="13"/>
      <c r="E305" s="13"/>
      <c r="F305" s="13"/>
      <c r="G305" s="102">
        <v>2.0</v>
      </c>
      <c r="H305" s="101" t="s">
        <v>2942</v>
      </c>
      <c r="I305" s="102">
        <v>68.1</v>
      </c>
      <c r="J305" s="102">
        <v>83.76</v>
      </c>
      <c r="K305" s="101" t="s">
        <v>2941</v>
      </c>
      <c r="L305" s="102">
        <v>23.0</v>
      </c>
      <c r="M305" s="13"/>
    </row>
    <row r="306">
      <c r="A306" s="101" t="s">
        <v>3118</v>
      </c>
      <c r="B306" s="101">
        <v>171513.0</v>
      </c>
      <c r="C306" s="13"/>
      <c r="D306" s="13"/>
      <c r="E306" s="13"/>
      <c r="F306" s="13"/>
      <c r="G306" s="102">
        <v>1.0</v>
      </c>
      <c r="H306" s="101" t="s">
        <v>2940</v>
      </c>
      <c r="I306" s="102">
        <v>127.72</v>
      </c>
      <c r="J306" s="102">
        <v>157.1</v>
      </c>
      <c r="K306" s="101" t="s">
        <v>2941</v>
      </c>
      <c r="L306" s="102">
        <v>23.0</v>
      </c>
      <c r="M306" s="13"/>
    </row>
    <row r="307">
      <c r="A307" s="101" t="s">
        <v>3118</v>
      </c>
      <c r="B307" s="101">
        <v>171513.0</v>
      </c>
      <c r="C307" s="13"/>
      <c r="D307" s="13"/>
      <c r="E307" s="13"/>
      <c r="F307" s="13"/>
      <c r="G307" s="102">
        <v>2.0</v>
      </c>
      <c r="H307" s="101" t="s">
        <v>2942</v>
      </c>
      <c r="I307" s="102">
        <v>102.2</v>
      </c>
      <c r="J307" s="102">
        <v>125.71</v>
      </c>
      <c r="K307" s="101" t="s">
        <v>2941</v>
      </c>
      <c r="L307" s="102">
        <v>23.0</v>
      </c>
      <c r="M307" s="13"/>
    </row>
    <row r="308">
      <c r="A308" s="101" t="s">
        <v>3119</v>
      </c>
      <c r="B308" s="101">
        <v>13691.0</v>
      </c>
      <c r="C308" s="13"/>
      <c r="D308" s="13"/>
      <c r="E308" s="13"/>
      <c r="F308" s="13"/>
      <c r="G308" s="102">
        <v>1.0</v>
      </c>
      <c r="H308" s="101" t="s">
        <v>2940</v>
      </c>
      <c r="I308" s="102">
        <v>10.89</v>
      </c>
      <c r="J308" s="102">
        <v>13.39</v>
      </c>
      <c r="K308" s="101" t="s">
        <v>2941</v>
      </c>
      <c r="L308" s="102">
        <v>23.0</v>
      </c>
      <c r="M308" s="13"/>
    </row>
    <row r="309">
      <c r="A309" s="101" t="s">
        <v>3119</v>
      </c>
      <c r="B309" s="101">
        <v>13691.0</v>
      </c>
      <c r="C309" s="13"/>
      <c r="D309" s="13"/>
      <c r="E309" s="13"/>
      <c r="F309" s="13"/>
      <c r="G309" s="102">
        <v>2.0</v>
      </c>
      <c r="H309" s="101" t="s">
        <v>2942</v>
      </c>
      <c r="I309" s="102">
        <v>8.7</v>
      </c>
      <c r="J309" s="102">
        <v>10.7</v>
      </c>
      <c r="K309" s="101" t="s">
        <v>2941</v>
      </c>
      <c r="L309" s="102">
        <v>23.0</v>
      </c>
      <c r="M309" s="13"/>
    </row>
    <row r="310">
      <c r="A310" s="101" t="s">
        <v>3120</v>
      </c>
      <c r="B310" s="101">
        <v>13692.0</v>
      </c>
      <c r="C310" s="13"/>
      <c r="D310" s="13"/>
      <c r="E310" s="13"/>
      <c r="F310" s="13"/>
      <c r="G310" s="102">
        <v>1.0</v>
      </c>
      <c r="H310" s="101" t="s">
        <v>2940</v>
      </c>
      <c r="I310" s="102">
        <v>21.71</v>
      </c>
      <c r="J310" s="102">
        <v>26.7</v>
      </c>
      <c r="K310" s="101" t="s">
        <v>2941</v>
      </c>
      <c r="L310" s="102">
        <v>23.0</v>
      </c>
      <c r="M310" s="13"/>
    </row>
    <row r="311">
      <c r="A311" s="101" t="s">
        <v>3120</v>
      </c>
      <c r="B311" s="101">
        <v>13692.0</v>
      </c>
      <c r="C311" s="13"/>
      <c r="D311" s="13"/>
      <c r="E311" s="13"/>
      <c r="F311" s="13"/>
      <c r="G311" s="102">
        <v>2.0</v>
      </c>
      <c r="H311" s="101" t="s">
        <v>2942</v>
      </c>
      <c r="I311" s="102">
        <v>17.4</v>
      </c>
      <c r="J311" s="102">
        <v>21.4</v>
      </c>
      <c r="K311" s="101" t="s">
        <v>2941</v>
      </c>
      <c r="L311" s="102">
        <v>23.0</v>
      </c>
      <c r="M311" s="13"/>
    </row>
    <row r="312">
      <c r="A312" s="101" t="s">
        <v>3121</v>
      </c>
      <c r="B312" s="101">
        <v>13693.0</v>
      </c>
      <c r="C312" s="13"/>
      <c r="D312" s="13"/>
      <c r="E312" s="13"/>
      <c r="F312" s="13"/>
      <c r="G312" s="102">
        <v>1.0</v>
      </c>
      <c r="H312" s="101" t="s">
        <v>2940</v>
      </c>
      <c r="I312" s="102">
        <v>32.6</v>
      </c>
      <c r="J312" s="102">
        <v>40.1</v>
      </c>
      <c r="K312" s="101" t="s">
        <v>2941</v>
      </c>
      <c r="L312" s="102">
        <v>23.0</v>
      </c>
      <c r="M312" s="13"/>
    </row>
    <row r="313">
      <c r="A313" s="101" t="s">
        <v>3121</v>
      </c>
      <c r="B313" s="101">
        <v>13693.0</v>
      </c>
      <c r="C313" s="13"/>
      <c r="D313" s="13"/>
      <c r="E313" s="13"/>
      <c r="F313" s="13"/>
      <c r="G313" s="102">
        <v>2.0</v>
      </c>
      <c r="H313" s="101" t="s">
        <v>2942</v>
      </c>
      <c r="I313" s="102">
        <v>26.1</v>
      </c>
      <c r="J313" s="102">
        <v>32.1</v>
      </c>
      <c r="K313" s="101" t="s">
        <v>2941</v>
      </c>
      <c r="L313" s="102">
        <v>23.0</v>
      </c>
      <c r="M313" s="13"/>
    </row>
    <row r="314">
      <c r="A314" s="101" t="s">
        <v>3122</v>
      </c>
      <c r="B314" s="101" t="s">
        <v>3123</v>
      </c>
      <c r="D314" s="13"/>
      <c r="E314" s="13"/>
      <c r="F314" s="13"/>
      <c r="G314" s="102">
        <v>1.0</v>
      </c>
      <c r="H314" s="101" t="s">
        <v>2940</v>
      </c>
      <c r="I314" s="102">
        <v>17.0</v>
      </c>
      <c r="J314" s="102">
        <v>20.91</v>
      </c>
      <c r="K314" s="101" t="s">
        <v>2941</v>
      </c>
      <c r="L314" s="102">
        <v>23.0</v>
      </c>
      <c r="M314" s="13"/>
    </row>
    <row r="315">
      <c r="A315" s="101" t="s">
        <v>3122</v>
      </c>
      <c r="B315" s="101" t="s">
        <v>3123</v>
      </c>
      <c r="D315" s="13"/>
      <c r="E315" s="13"/>
      <c r="F315" s="13"/>
      <c r="G315" s="102">
        <v>2.0</v>
      </c>
      <c r="H315" s="101" t="s">
        <v>2942</v>
      </c>
      <c r="I315" s="102">
        <v>17.0</v>
      </c>
      <c r="J315" s="102">
        <v>20.91</v>
      </c>
      <c r="K315" s="101" t="s">
        <v>2941</v>
      </c>
      <c r="L315" s="102">
        <v>23.0</v>
      </c>
      <c r="M315" s="13"/>
    </row>
    <row r="316">
      <c r="A316" s="101" t="s">
        <v>3124</v>
      </c>
      <c r="B316" s="101">
        <v>13701.0</v>
      </c>
      <c r="C316" s="13"/>
      <c r="D316" s="13"/>
      <c r="E316" s="13"/>
      <c r="F316" s="13"/>
      <c r="G316" s="102">
        <v>1.0</v>
      </c>
      <c r="H316" s="101" t="s">
        <v>2940</v>
      </c>
      <c r="I316" s="102">
        <v>10.89</v>
      </c>
      <c r="J316" s="102">
        <v>13.39</v>
      </c>
      <c r="K316" s="101" t="s">
        <v>2941</v>
      </c>
      <c r="L316" s="102">
        <v>23.0</v>
      </c>
      <c r="M316" s="13"/>
    </row>
    <row r="317">
      <c r="A317" s="101" t="s">
        <v>3124</v>
      </c>
      <c r="B317" s="101">
        <v>13701.0</v>
      </c>
      <c r="C317" s="13"/>
      <c r="D317" s="13"/>
      <c r="E317" s="13"/>
      <c r="F317" s="13"/>
      <c r="G317" s="102">
        <v>2.0</v>
      </c>
      <c r="H317" s="101" t="s">
        <v>2942</v>
      </c>
      <c r="I317" s="102">
        <v>8.7</v>
      </c>
      <c r="J317" s="102">
        <v>10.7</v>
      </c>
      <c r="K317" s="101" t="s">
        <v>2941</v>
      </c>
      <c r="L317" s="102">
        <v>23.0</v>
      </c>
      <c r="M317" s="13"/>
    </row>
    <row r="318">
      <c r="A318" s="101" t="s">
        <v>3125</v>
      </c>
      <c r="B318" s="101">
        <v>13702.0</v>
      </c>
      <c r="C318" s="13"/>
      <c r="D318" s="13"/>
      <c r="E318" s="13"/>
      <c r="F318" s="13"/>
      <c r="G318" s="102">
        <v>1.0</v>
      </c>
      <c r="H318" s="101" t="s">
        <v>2940</v>
      </c>
      <c r="I318" s="102">
        <v>21.71</v>
      </c>
      <c r="J318" s="102">
        <v>26.7</v>
      </c>
      <c r="K318" s="101" t="s">
        <v>2941</v>
      </c>
      <c r="L318" s="102">
        <v>23.0</v>
      </c>
      <c r="M318" s="13"/>
    </row>
    <row r="319">
      <c r="A319" s="101" t="s">
        <v>3125</v>
      </c>
      <c r="B319" s="101">
        <v>13702.0</v>
      </c>
      <c r="C319" s="13"/>
      <c r="D319" s="13"/>
      <c r="E319" s="13"/>
      <c r="F319" s="13"/>
      <c r="G319" s="102">
        <v>2.0</v>
      </c>
      <c r="H319" s="101" t="s">
        <v>2942</v>
      </c>
      <c r="I319" s="102">
        <v>17.4</v>
      </c>
      <c r="J319" s="102">
        <v>21.4</v>
      </c>
      <c r="K319" s="101" t="s">
        <v>2941</v>
      </c>
      <c r="L319" s="102">
        <v>23.0</v>
      </c>
      <c r="M319" s="13"/>
    </row>
    <row r="320">
      <c r="A320" s="101" t="s">
        <v>3126</v>
      </c>
      <c r="B320" s="101">
        <v>13703.0</v>
      </c>
      <c r="C320" s="13"/>
      <c r="D320" s="13"/>
      <c r="E320" s="13"/>
      <c r="F320" s="13"/>
      <c r="G320" s="102">
        <v>1.0</v>
      </c>
      <c r="H320" s="101" t="s">
        <v>2940</v>
      </c>
      <c r="I320" s="102">
        <v>32.6</v>
      </c>
      <c r="J320" s="102">
        <v>40.1</v>
      </c>
      <c r="K320" s="101" t="s">
        <v>2941</v>
      </c>
      <c r="L320" s="102">
        <v>23.0</v>
      </c>
      <c r="M320" s="13"/>
    </row>
    <row r="321">
      <c r="A321" s="101" t="s">
        <v>3126</v>
      </c>
      <c r="B321" s="101">
        <v>13703.0</v>
      </c>
      <c r="C321" s="13"/>
      <c r="D321" s="13"/>
      <c r="E321" s="13"/>
      <c r="F321" s="13"/>
      <c r="G321" s="102">
        <v>2.0</v>
      </c>
      <c r="H321" s="101" t="s">
        <v>2942</v>
      </c>
      <c r="I321" s="102">
        <v>26.1</v>
      </c>
      <c r="J321" s="102">
        <v>32.1</v>
      </c>
      <c r="K321" s="101" t="s">
        <v>2941</v>
      </c>
      <c r="L321" s="102">
        <v>23.0</v>
      </c>
      <c r="M321" s="13"/>
    </row>
    <row r="322">
      <c r="A322" s="101" t="s">
        <v>3127</v>
      </c>
      <c r="B322" s="101">
        <v>1571.0</v>
      </c>
      <c r="C322" s="13"/>
      <c r="D322" s="13"/>
      <c r="E322" s="13"/>
      <c r="F322" s="13"/>
      <c r="G322" s="102">
        <v>1.0</v>
      </c>
      <c r="H322" s="101" t="s">
        <v>2940</v>
      </c>
      <c r="I322" s="102">
        <v>10.89</v>
      </c>
      <c r="J322" s="102">
        <v>13.4</v>
      </c>
      <c r="K322" s="101" t="s">
        <v>2941</v>
      </c>
      <c r="L322" s="102">
        <v>23.0</v>
      </c>
      <c r="M322" s="13"/>
    </row>
    <row r="323">
      <c r="A323" s="101" t="s">
        <v>3127</v>
      </c>
      <c r="B323" s="101">
        <v>1571.0</v>
      </c>
      <c r="C323" s="13"/>
      <c r="D323" s="13"/>
      <c r="E323" s="13"/>
      <c r="F323" s="13"/>
      <c r="G323" s="102">
        <v>2.0</v>
      </c>
      <c r="H323" s="101" t="s">
        <v>2942</v>
      </c>
      <c r="I323" s="102">
        <v>8.7</v>
      </c>
      <c r="J323" s="102">
        <v>10.7</v>
      </c>
      <c r="K323" s="101" t="s">
        <v>2941</v>
      </c>
      <c r="L323" s="102">
        <v>23.0</v>
      </c>
      <c r="M323" s="13"/>
    </row>
    <row r="324">
      <c r="A324" s="101" t="s">
        <v>3128</v>
      </c>
      <c r="B324" s="101">
        <v>1572.0</v>
      </c>
      <c r="C324" s="13"/>
      <c r="D324" s="13"/>
      <c r="E324" s="13"/>
      <c r="F324" s="13"/>
      <c r="G324" s="102">
        <v>1.0</v>
      </c>
      <c r="H324" s="101" t="s">
        <v>2940</v>
      </c>
      <c r="I324" s="102">
        <v>21.71</v>
      </c>
      <c r="J324" s="102">
        <v>26.7</v>
      </c>
      <c r="K324" s="101" t="s">
        <v>2941</v>
      </c>
      <c r="L324" s="102">
        <v>23.0</v>
      </c>
      <c r="M324" s="13"/>
    </row>
    <row r="325">
      <c r="A325" s="101" t="s">
        <v>3128</v>
      </c>
      <c r="B325" s="101">
        <v>1572.0</v>
      </c>
      <c r="C325" s="13"/>
      <c r="D325" s="13"/>
      <c r="E325" s="13"/>
      <c r="F325" s="13"/>
      <c r="G325" s="102">
        <v>2.0</v>
      </c>
      <c r="H325" s="101" t="s">
        <v>2942</v>
      </c>
      <c r="I325" s="102">
        <v>17.4</v>
      </c>
      <c r="J325" s="102">
        <v>21.4</v>
      </c>
      <c r="K325" s="101" t="s">
        <v>2941</v>
      </c>
      <c r="L325" s="102">
        <v>23.0</v>
      </c>
      <c r="M325" s="13"/>
    </row>
    <row r="326">
      <c r="A326" s="101" t="s">
        <v>3129</v>
      </c>
      <c r="B326" s="101">
        <v>1573.0</v>
      </c>
      <c r="C326" s="13"/>
      <c r="D326" s="13"/>
      <c r="E326" s="13"/>
      <c r="F326" s="13"/>
      <c r="G326" s="102">
        <v>1.0</v>
      </c>
      <c r="H326" s="101" t="s">
        <v>2940</v>
      </c>
      <c r="I326" s="102">
        <v>32.6</v>
      </c>
      <c r="J326" s="102">
        <v>40.1</v>
      </c>
      <c r="K326" s="101" t="s">
        <v>2941</v>
      </c>
      <c r="L326" s="102">
        <v>23.0</v>
      </c>
      <c r="M326" s="13"/>
    </row>
    <row r="327">
      <c r="A327" s="101" t="s">
        <v>3129</v>
      </c>
      <c r="B327" s="101">
        <v>1573.0</v>
      </c>
      <c r="C327" s="13"/>
      <c r="D327" s="13"/>
      <c r="E327" s="13"/>
      <c r="F327" s="13"/>
      <c r="G327" s="102">
        <v>2.0</v>
      </c>
      <c r="H327" s="101" t="s">
        <v>2942</v>
      </c>
      <c r="I327" s="102">
        <v>26.1</v>
      </c>
      <c r="J327" s="102">
        <v>32.1</v>
      </c>
      <c r="K327" s="101" t="s">
        <v>2941</v>
      </c>
      <c r="L327" s="102">
        <v>23.0</v>
      </c>
      <c r="M327" s="13"/>
    </row>
    <row r="328">
      <c r="A328" s="101" t="s">
        <v>3130</v>
      </c>
      <c r="B328" s="101">
        <v>1581.0</v>
      </c>
      <c r="C328" s="13"/>
      <c r="D328" s="13"/>
      <c r="E328" s="13"/>
      <c r="F328" s="13"/>
      <c r="G328" s="102">
        <v>1.0</v>
      </c>
      <c r="H328" s="101" t="s">
        <v>2940</v>
      </c>
      <c r="I328" s="102">
        <v>10.89</v>
      </c>
      <c r="J328" s="102">
        <v>13.4</v>
      </c>
      <c r="K328" s="101" t="s">
        <v>2941</v>
      </c>
      <c r="L328" s="102">
        <v>23.0</v>
      </c>
      <c r="M328" s="13"/>
    </row>
    <row r="329">
      <c r="A329" s="101" t="s">
        <v>3130</v>
      </c>
      <c r="B329" s="101">
        <v>1581.0</v>
      </c>
      <c r="C329" s="13"/>
      <c r="D329" s="13"/>
      <c r="E329" s="13"/>
      <c r="F329" s="13"/>
      <c r="G329" s="102">
        <v>2.0</v>
      </c>
      <c r="H329" s="101" t="s">
        <v>2942</v>
      </c>
      <c r="I329" s="102">
        <v>8.7</v>
      </c>
      <c r="J329" s="102">
        <v>10.7</v>
      </c>
      <c r="K329" s="101" t="s">
        <v>2941</v>
      </c>
      <c r="L329" s="102">
        <v>23.0</v>
      </c>
      <c r="M329" s="13"/>
    </row>
    <row r="330">
      <c r="A330" s="101" t="s">
        <v>3131</v>
      </c>
      <c r="B330" s="101">
        <v>1582.0</v>
      </c>
      <c r="C330" s="13"/>
      <c r="D330" s="13"/>
      <c r="E330" s="13"/>
      <c r="F330" s="13"/>
      <c r="G330" s="102">
        <v>1.0</v>
      </c>
      <c r="H330" s="101" t="s">
        <v>2940</v>
      </c>
      <c r="I330" s="102">
        <v>21.71</v>
      </c>
      <c r="J330" s="102">
        <v>26.7</v>
      </c>
      <c r="K330" s="101" t="s">
        <v>2941</v>
      </c>
      <c r="L330" s="102">
        <v>23.0</v>
      </c>
      <c r="M330" s="13"/>
    </row>
    <row r="331">
      <c r="A331" s="101" t="s">
        <v>3131</v>
      </c>
      <c r="B331" s="101">
        <v>1582.0</v>
      </c>
      <c r="C331" s="13"/>
      <c r="D331" s="13"/>
      <c r="E331" s="13"/>
      <c r="F331" s="13"/>
      <c r="G331" s="102">
        <v>2.0</v>
      </c>
      <c r="H331" s="101" t="s">
        <v>2942</v>
      </c>
      <c r="I331" s="102">
        <v>17.4</v>
      </c>
      <c r="J331" s="102">
        <v>21.4</v>
      </c>
      <c r="K331" s="101" t="s">
        <v>2941</v>
      </c>
      <c r="L331" s="102">
        <v>23.0</v>
      </c>
      <c r="M331" s="13"/>
    </row>
    <row r="332">
      <c r="A332" s="101" t="s">
        <v>3132</v>
      </c>
      <c r="B332" s="101">
        <v>1583.0</v>
      </c>
      <c r="C332" s="13"/>
      <c r="D332" s="13"/>
      <c r="E332" s="13"/>
      <c r="F332" s="13"/>
      <c r="G332" s="102">
        <v>1.0</v>
      </c>
      <c r="H332" s="101" t="s">
        <v>2940</v>
      </c>
      <c r="I332" s="102">
        <v>36.18</v>
      </c>
      <c r="J332" s="102">
        <v>44.5</v>
      </c>
      <c r="K332" s="101" t="s">
        <v>2941</v>
      </c>
      <c r="L332" s="102">
        <v>23.0</v>
      </c>
      <c r="M332" s="13"/>
    </row>
    <row r="333">
      <c r="A333" s="101" t="s">
        <v>3132</v>
      </c>
      <c r="B333" s="101">
        <v>1583.0</v>
      </c>
      <c r="C333" s="13"/>
      <c r="D333" s="13"/>
      <c r="E333" s="13"/>
      <c r="F333" s="13"/>
      <c r="G333" s="102">
        <v>2.0</v>
      </c>
      <c r="H333" s="101" t="s">
        <v>2942</v>
      </c>
      <c r="I333" s="102">
        <v>36.2</v>
      </c>
      <c r="J333" s="102">
        <v>44.53</v>
      </c>
      <c r="K333" s="101" t="s">
        <v>2941</v>
      </c>
      <c r="L333" s="102">
        <v>23.0</v>
      </c>
      <c r="M333" s="13"/>
    </row>
    <row r="334">
      <c r="A334" s="101" t="s">
        <v>3133</v>
      </c>
      <c r="B334" s="101">
        <v>170111.0</v>
      </c>
      <c r="C334" s="13"/>
      <c r="D334" s="13"/>
      <c r="E334" s="13"/>
      <c r="F334" s="13"/>
      <c r="G334" s="102">
        <v>1.0</v>
      </c>
      <c r="H334" s="101" t="s">
        <v>2940</v>
      </c>
      <c r="I334" s="102">
        <v>16.75</v>
      </c>
      <c r="J334" s="102">
        <v>20.6</v>
      </c>
      <c r="K334" s="101" t="s">
        <v>2941</v>
      </c>
      <c r="L334" s="102">
        <v>23.0</v>
      </c>
      <c r="M334" s="13"/>
    </row>
    <row r="335">
      <c r="A335" s="101" t="s">
        <v>3133</v>
      </c>
      <c r="B335" s="101">
        <v>170111.0</v>
      </c>
      <c r="C335" s="13"/>
      <c r="D335" s="13"/>
      <c r="E335" s="13"/>
      <c r="F335" s="13"/>
      <c r="G335" s="102">
        <v>2.0</v>
      </c>
      <c r="H335" s="101" t="s">
        <v>2942</v>
      </c>
      <c r="I335" s="102">
        <v>13.4</v>
      </c>
      <c r="J335" s="102">
        <v>16.48</v>
      </c>
      <c r="K335" s="101" t="s">
        <v>2941</v>
      </c>
      <c r="L335" s="102">
        <v>23.0</v>
      </c>
      <c r="M335" s="13"/>
    </row>
    <row r="336">
      <c r="A336" s="101" t="s">
        <v>3134</v>
      </c>
      <c r="B336" s="101">
        <v>170112.0</v>
      </c>
      <c r="C336" s="13"/>
      <c r="D336" s="13"/>
      <c r="E336" s="13"/>
      <c r="F336" s="13"/>
      <c r="G336" s="102">
        <v>1.0</v>
      </c>
      <c r="H336" s="101" t="s">
        <v>2940</v>
      </c>
      <c r="I336" s="102">
        <v>33.5</v>
      </c>
      <c r="J336" s="102">
        <v>41.21</v>
      </c>
      <c r="K336" s="101" t="s">
        <v>2941</v>
      </c>
      <c r="L336" s="102">
        <v>23.0</v>
      </c>
      <c r="M336" s="13"/>
    </row>
    <row r="337">
      <c r="A337" s="101" t="s">
        <v>3134</v>
      </c>
      <c r="B337" s="101">
        <v>170112.0</v>
      </c>
      <c r="C337" s="13"/>
      <c r="D337" s="13"/>
      <c r="E337" s="13"/>
      <c r="F337" s="13"/>
      <c r="G337" s="102">
        <v>2.0</v>
      </c>
      <c r="H337" s="101" t="s">
        <v>2942</v>
      </c>
      <c r="I337" s="102">
        <v>26.8</v>
      </c>
      <c r="J337" s="102">
        <v>32.96</v>
      </c>
      <c r="K337" s="101" t="s">
        <v>2941</v>
      </c>
      <c r="L337" s="102">
        <v>23.0</v>
      </c>
      <c r="M337" s="13"/>
    </row>
    <row r="338">
      <c r="A338" s="101" t="s">
        <v>3135</v>
      </c>
      <c r="B338" s="101">
        <v>170113.0</v>
      </c>
      <c r="C338" s="13"/>
      <c r="D338" s="13"/>
      <c r="E338" s="13"/>
      <c r="F338" s="13"/>
      <c r="G338" s="102">
        <v>1.0</v>
      </c>
      <c r="H338" s="101" t="s">
        <v>2940</v>
      </c>
      <c r="I338" s="102">
        <v>50.24</v>
      </c>
      <c r="J338" s="102">
        <v>61.8</v>
      </c>
      <c r="K338" s="101" t="s">
        <v>2941</v>
      </c>
      <c r="L338" s="102">
        <v>23.0</v>
      </c>
      <c r="M338" s="13"/>
    </row>
    <row r="339">
      <c r="A339" s="101" t="s">
        <v>3135</v>
      </c>
      <c r="B339" s="101">
        <v>170113.0</v>
      </c>
      <c r="C339" s="13"/>
      <c r="D339" s="13"/>
      <c r="E339" s="13"/>
      <c r="F339" s="13"/>
      <c r="G339" s="102">
        <v>2.0</v>
      </c>
      <c r="H339" s="101" t="s">
        <v>2942</v>
      </c>
      <c r="I339" s="102">
        <v>40.2</v>
      </c>
      <c r="J339" s="102">
        <v>49.45</v>
      </c>
      <c r="K339" s="101" t="s">
        <v>2941</v>
      </c>
      <c r="L339" s="102">
        <v>23.0</v>
      </c>
      <c r="M339" s="13"/>
    </row>
    <row r="340">
      <c r="A340" s="101" t="s">
        <v>3136</v>
      </c>
      <c r="B340" s="101">
        <v>170221.0</v>
      </c>
      <c r="C340" s="13"/>
      <c r="D340" s="13"/>
      <c r="E340" s="13"/>
      <c r="F340" s="13"/>
      <c r="G340" s="102">
        <v>1.0</v>
      </c>
      <c r="H340" s="101" t="s">
        <v>2940</v>
      </c>
      <c r="I340" s="102">
        <v>16.75</v>
      </c>
      <c r="J340" s="102">
        <v>20.6</v>
      </c>
      <c r="K340" s="101" t="s">
        <v>2941</v>
      </c>
      <c r="L340" s="102">
        <v>23.0</v>
      </c>
      <c r="M340" s="13"/>
    </row>
    <row r="341">
      <c r="A341" s="101" t="s">
        <v>3136</v>
      </c>
      <c r="B341" s="101">
        <v>170221.0</v>
      </c>
      <c r="C341" s="13"/>
      <c r="D341" s="13"/>
      <c r="E341" s="13"/>
      <c r="F341" s="13"/>
      <c r="G341" s="102">
        <v>2.0</v>
      </c>
      <c r="H341" s="101" t="s">
        <v>2942</v>
      </c>
      <c r="I341" s="102">
        <v>13.4</v>
      </c>
      <c r="J341" s="102">
        <v>16.48</v>
      </c>
      <c r="K341" s="101" t="s">
        <v>2941</v>
      </c>
      <c r="L341" s="102">
        <v>23.0</v>
      </c>
      <c r="M341" s="13"/>
    </row>
    <row r="342">
      <c r="A342" s="101" t="s">
        <v>3137</v>
      </c>
      <c r="B342" s="101">
        <v>170222.0</v>
      </c>
      <c r="C342" s="13"/>
      <c r="D342" s="13"/>
      <c r="E342" s="13"/>
      <c r="F342" s="13"/>
      <c r="G342" s="102">
        <v>1.0</v>
      </c>
      <c r="H342" s="101" t="s">
        <v>2940</v>
      </c>
      <c r="I342" s="102">
        <v>33.5</v>
      </c>
      <c r="J342" s="102">
        <v>41.21</v>
      </c>
      <c r="K342" s="101" t="s">
        <v>2941</v>
      </c>
      <c r="L342" s="102">
        <v>23.0</v>
      </c>
      <c r="M342" s="13"/>
    </row>
    <row r="343">
      <c r="A343" s="101" t="s">
        <v>3137</v>
      </c>
      <c r="B343" s="101">
        <v>170222.0</v>
      </c>
      <c r="C343" s="13"/>
      <c r="D343" s="13"/>
      <c r="E343" s="13"/>
      <c r="F343" s="13"/>
      <c r="G343" s="102">
        <v>2.0</v>
      </c>
      <c r="H343" s="101" t="s">
        <v>2942</v>
      </c>
      <c r="I343" s="102">
        <v>26.8</v>
      </c>
      <c r="J343" s="102">
        <v>32.96</v>
      </c>
      <c r="K343" s="101" t="s">
        <v>2941</v>
      </c>
      <c r="L343" s="102">
        <v>23.0</v>
      </c>
      <c r="M343" s="13"/>
    </row>
    <row r="344">
      <c r="A344" s="101" t="s">
        <v>3138</v>
      </c>
      <c r="B344" s="101">
        <v>170223.0</v>
      </c>
      <c r="C344" s="13"/>
      <c r="D344" s="13"/>
      <c r="E344" s="13"/>
      <c r="F344" s="13"/>
      <c r="G344" s="102">
        <v>1.0</v>
      </c>
      <c r="H344" s="101" t="s">
        <v>2940</v>
      </c>
      <c r="I344" s="102">
        <v>50.24</v>
      </c>
      <c r="J344" s="102">
        <v>61.8</v>
      </c>
      <c r="K344" s="101" t="s">
        <v>2941</v>
      </c>
      <c r="L344" s="102">
        <v>23.0</v>
      </c>
      <c r="M344" s="13"/>
    </row>
    <row r="345">
      <c r="A345" s="101" t="s">
        <v>3138</v>
      </c>
      <c r="B345" s="101">
        <v>170223.0</v>
      </c>
      <c r="C345" s="13"/>
      <c r="D345" s="13"/>
      <c r="E345" s="13"/>
      <c r="F345" s="13"/>
      <c r="G345" s="102">
        <v>2.0</v>
      </c>
      <c r="H345" s="101" t="s">
        <v>2942</v>
      </c>
      <c r="I345" s="102">
        <v>40.2</v>
      </c>
      <c r="J345" s="102">
        <v>49.45</v>
      </c>
      <c r="K345" s="101" t="s">
        <v>2941</v>
      </c>
      <c r="L345" s="102">
        <v>23.0</v>
      </c>
      <c r="M345" s="13"/>
    </row>
    <row r="346">
      <c r="A346" s="101" t="s">
        <v>3139</v>
      </c>
      <c r="B346" s="101">
        <v>170511.0</v>
      </c>
      <c r="C346" s="13"/>
      <c r="D346" s="13"/>
      <c r="E346" s="13"/>
      <c r="F346" s="13"/>
      <c r="G346" s="102">
        <v>1.0</v>
      </c>
      <c r="H346" s="101" t="s">
        <v>2940</v>
      </c>
      <c r="I346" s="102">
        <v>26.91</v>
      </c>
      <c r="J346" s="102">
        <v>33.1</v>
      </c>
      <c r="K346" s="101" t="s">
        <v>2941</v>
      </c>
      <c r="L346" s="102">
        <v>23.0</v>
      </c>
      <c r="M346" s="13"/>
    </row>
    <row r="347">
      <c r="A347" s="101" t="s">
        <v>3139</v>
      </c>
      <c r="B347" s="101">
        <v>170511.0</v>
      </c>
      <c r="C347" s="13"/>
      <c r="D347" s="13"/>
      <c r="E347" s="13"/>
      <c r="F347" s="13"/>
      <c r="G347" s="102">
        <v>2.0</v>
      </c>
      <c r="H347" s="101" t="s">
        <v>2942</v>
      </c>
      <c r="I347" s="102">
        <v>21.5</v>
      </c>
      <c r="J347" s="102">
        <v>26.45</v>
      </c>
      <c r="K347" s="101" t="s">
        <v>2941</v>
      </c>
      <c r="L347" s="102">
        <v>23.0</v>
      </c>
      <c r="M347" s="13"/>
    </row>
    <row r="348">
      <c r="A348" s="101" t="s">
        <v>3140</v>
      </c>
      <c r="B348" s="101">
        <v>170512.0</v>
      </c>
      <c r="C348" s="13"/>
      <c r="D348" s="13"/>
      <c r="E348" s="13"/>
      <c r="F348" s="13"/>
      <c r="G348" s="102">
        <v>1.0</v>
      </c>
      <c r="H348" s="101" t="s">
        <v>2940</v>
      </c>
      <c r="I348" s="102">
        <v>53.74</v>
      </c>
      <c r="J348" s="102">
        <v>66.1</v>
      </c>
      <c r="K348" s="101" t="s">
        <v>2941</v>
      </c>
      <c r="L348" s="102">
        <v>23.0</v>
      </c>
      <c r="M348" s="13"/>
    </row>
    <row r="349">
      <c r="A349" s="101" t="s">
        <v>3140</v>
      </c>
      <c r="B349" s="101">
        <v>170512.0</v>
      </c>
      <c r="C349" s="13"/>
      <c r="D349" s="13"/>
      <c r="E349" s="13"/>
      <c r="F349" s="13"/>
      <c r="G349" s="102">
        <v>2.0</v>
      </c>
      <c r="H349" s="101" t="s">
        <v>2942</v>
      </c>
      <c r="I349" s="102">
        <v>43.0</v>
      </c>
      <c r="J349" s="102">
        <v>52.89</v>
      </c>
      <c r="K349" s="101" t="s">
        <v>2941</v>
      </c>
      <c r="L349" s="102">
        <v>23.0</v>
      </c>
      <c r="M349" s="13"/>
    </row>
    <row r="350">
      <c r="A350" s="101" t="s">
        <v>3141</v>
      </c>
      <c r="B350" s="101">
        <v>170513.0</v>
      </c>
      <c r="C350" s="13"/>
      <c r="D350" s="13"/>
      <c r="E350" s="13"/>
      <c r="F350" s="13"/>
      <c r="G350" s="102">
        <v>1.0</v>
      </c>
      <c r="H350" s="101" t="s">
        <v>2940</v>
      </c>
      <c r="I350" s="102">
        <v>80.65</v>
      </c>
      <c r="J350" s="102">
        <v>99.2</v>
      </c>
      <c r="K350" s="101" t="s">
        <v>2941</v>
      </c>
      <c r="L350" s="102">
        <v>23.0</v>
      </c>
      <c r="M350" s="13"/>
    </row>
    <row r="351">
      <c r="A351" s="101" t="s">
        <v>3141</v>
      </c>
      <c r="B351" s="101">
        <v>170513.0</v>
      </c>
      <c r="C351" s="13"/>
      <c r="D351" s="13"/>
      <c r="E351" s="13"/>
      <c r="F351" s="13"/>
      <c r="G351" s="102">
        <v>2.0</v>
      </c>
      <c r="H351" s="101" t="s">
        <v>2942</v>
      </c>
      <c r="I351" s="102">
        <v>64.5</v>
      </c>
      <c r="J351" s="102">
        <v>79.34</v>
      </c>
      <c r="K351" s="101" t="s">
        <v>2941</v>
      </c>
      <c r="L351" s="102">
        <v>23.0</v>
      </c>
      <c r="M351" s="13"/>
    </row>
    <row r="352">
      <c r="A352" s="101" t="s">
        <v>3142</v>
      </c>
      <c r="B352" s="101">
        <v>170621.0</v>
      </c>
      <c r="C352" s="13"/>
      <c r="D352" s="13"/>
      <c r="E352" s="13"/>
      <c r="F352" s="13"/>
      <c r="G352" s="102">
        <v>1.0</v>
      </c>
      <c r="H352" s="101" t="s">
        <v>2940</v>
      </c>
      <c r="I352" s="102">
        <v>26.91</v>
      </c>
      <c r="J352" s="102">
        <v>33.1</v>
      </c>
      <c r="K352" s="101" t="s">
        <v>2941</v>
      </c>
      <c r="L352" s="102">
        <v>23.0</v>
      </c>
      <c r="M352" s="13"/>
    </row>
    <row r="353">
      <c r="A353" s="101" t="s">
        <v>3142</v>
      </c>
      <c r="B353" s="101">
        <v>170621.0</v>
      </c>
      <c r="C353" s="13"/>
      <c r="D353" s="13"/>
      <c r="E353" s="13"/>
      <c r="F353" s="13"/>
      <c r="G353" s="102">
        <v>2.0</v>
      </c>
      <c r="H353" s="101" t="s">
        <v>2942</v>
      </c>
      <c r="I353" s="102">
        <v>21.5</v>
      </c>
      <c r="J353" s="102">
        <v>26.45</v>
      </c>
      <c r="K353" s="101" t="s">
        <v>2941</v>
      </c>
      <c r="L353" s="102">
        <v>23.0</v>
      </c>
      <c r="M353" s="13"/>
    </row>
    <row r="354">
      <c r="A354" s="101" t="s">
        <v>3143</v>
      </c>
      <c r="B354" s="101">
        <v>170622.0</v>
      </c>
      <c r="C354" s="13"/>
      <c r="D354" s="13"/>
      <c r="E354" s="13"/>
      <c r="F354" s="13"/>
      <c r="G354" s="102">
        <v>1.0</v>
      </c>
      <c r="H354" s="101" t="s">
        <v>2940</v>
      </c>
      <c r="I354" s="102">
        <v>53.74</v>
      </c>
      <c r="J354" s="102">
        <v>66.1</v>
      </c>
      <c r="K354" s="101" t="s">
        <v>2941</v>
      </c>
      <c r="L354" s="102">
        <v>23.0</v>
      </c>
      <c r="M354" s="13"/>
    </row>
    <row r="355">
      <c r="A355" s="101" t="s">
        <v>3143</v>
      </c>
      <c r="B355" s="101">
        <v>170622.0</v>
      </c>
      <c r="C355" s="13"/>
      <c r="D355" s="13"/>
      <c r="E355" s="13"/>
      <c r="F355" s="13"/>
      <c r="G355" s="102">
        <v>2.0</v>
      </c>
      <c r="H355" s="101" t="s">
        <v>2942</v>
      </c>
      <c r="I355" s="102">
        <v>43.0</v>
      </c>
      <c r="J355" s="102">
        <v>52.89</v>
      </c>
      <c r="K355" s="101" t="s">
        <v>2941</v>
      </c>
      <c r="L355" s="102">
        <v>23.0</v>
      </c>
      <c r="M355" s="13"/>
    </row>
    <row r="356">
      <c r="A356" s="101" t="s">
        <v>3144</v>
      </c>
      <c r="B356" s="101">
        <v>170623.0</v>
      </c>
      <c r="C356" s="13"/>
      <c r="D356" s="13"/>
      <c r="E356" s="13"/>
      <c r="F356" s="13"/>
      <c r="G356" s="102">
        <v>1.0</v>
      </c>
      <c r="H356" s="101" t="s">
        <v>2940</v>
      </c>
      <c r="I356" s="102">
        <v>80.65</v>
      </c>
      <c r="J356" s="102">
        <v>99.2</v>
      </c>
      <c r="K356" s="101" t="s">
        <v>2941</v>
      </c>
      <c r="L356" s="102">
        <v>23.0</v>
      </c>
      <c r="M356" s="13"/>
    </row>
    <row r="357">
      <c r="A357" s="101" t="s">
        <v>3144</v>
      </c>
      <c r="B357" s="101">
        <v>170623.0</v>
      </c>
      <c r="C357" s="13"/>
      <c r="D357" s="13"/>
      <c r="E357" s="13"/>
      <c r="F357" s="13"/>
      <c r="G357" s="102">
        <v>2.0</v>
      </c>
      <c r="H357" s="101" t="s">
        <v>2942</v>
      </c>
      <c r="I357" s="102">
        <v>64.5</v>
      </c>
      <c r="J357" s="102">
        <v>79.34</v>
      </c>
      <c r="K357" s="101" t="s">
        <v>2941</v>
      </c>
      <c r="L357" s="102">
        <v>23.0</v>
      </c>
      <c r="M357" s="13"/>
    </row>
    <row r="358">
      <c r="A358" s="101" t="s">
        <v>3145</v>
      </c>
      <c r="B358" s="101" t="s">
        <v>3146</v>
      </c>
      <c r="C358" s="13"/>
      <c r="D358" s="13"/>
      <c r="E358" s="13"/>
      <c r="F358" s="13"/>
      <c r="G358" s="102">
        <v>1.0</v>
      </c>
      <c r="H358" s="101" t="s">
        <v>2940</v>
      </c>
      <c r="I358" s="102">
        <v>28.46</v>
      </c>
      <c r="J358" s="102">
        <v>35.01</v>
      </c>
      <c r="K358" s="101" t="s">
        <v>2941</v>
      </c>
      <c r="L358" s="102">
        <v>23.0</v>
      </c>
      <c r="M358" s="13"/>
    </row>
    <row r="359">
      <c r="A359" s="101" t="s">
        <v>3145</v>
      </c>
      <c r="B359" s="101" t="s">
        <v>3146</v>
      </c>
      <c r="C359" s="13"/>
      <c r="D359" s="13"/>
      <c r="E359" s="13"/>
      <c r="F359" s="13"/>
      <c r="G359" s="102">
        <v>2.0</v>
      </c>
      <c r="H359" s="101" t="s">
        <v>2942</v>
      </c>
      <c r="I359" s="102">
        <v>22.8</v>
      </c>
      <c r="J359" s="102">
        <v>28.04</v>
      </c>
      <c r="K359" s="101" t="s">
        <v>2941</v>
      </c>
      <c r="L359" s="102">
        <v>23.0</v>
      </c>
      <c r="M359" s="13"/>
    </row>
    <row r="360">
      <c r="A360" s="101" t="s">
        <v>3147</v>
      </c>
      <c r="B360" s="101" t="s">
        <v>3148</v>
      </c>
      <c r="C360" s="13"/>
      <c r="D360" s="13"/>
      <c r="E360" s="13"/>
      <c r="F360" s="13"/>
      <c r="G360" s="102">
        <v>1.0</v>
      </c>
      <c r="H360" s="101" t="s">
        <v>2940</v>
      </c>
      <c r="I360" s="102">
        <v>56.83</v>
      </c>
      <c r="J360" s="102">
        <v>69.9</v>
      </c>
      <c r="K360" s="101" t="s">
        <v>2941</v>
      </c>
      <c r="L360" s="102">
        <v>23.0</v>
      </c>
      <c r="M360" s="13"/>
    </row>
    <row r="361">
      <c r="A361" s="101" t="s">
        <v>3147</v>
      </c>
      <c r="B361" s="101" t="s">
        <v>3148</v>
      </c>
      <c r="C361" s="13"/>
      <c r="D361" s="13"/>
      <c r="E361" s="13"/>
      <c r="F361" s="13"/>
      <c r="G361" s="102">
        <v>2.0</v>
      </c>
      <c r="H361" s="101" t="s">
        <v>2942</v>
      </c>
      <c r="I361" s="102">
        <v>45.5</v>
      </c>
      <c r="J361" s="102">
        <v>55.97</v>
      </c>
      <c r="K361" s="101" t="s">
        <v>2941</v>
      </c>
      <c r="L361" s="102">
        <v>23.0</v>
      </c>
      <c r="M361" s="13"/>
    </row>
    <row r="362">
      <c r="A362" s="101" t="s">
        <v>3149</v>
      </c>
      <c r="B362" s="101" t="s">
        <v>3150</v>
      </c>
      <c r="C362" s="13"/>
      <c r="D362" s="13"/>
      <c r="E362" s="13"/>
      <c r="F362" s="13"/>
      <c r="G362" s="102">
        <v>1.0</v>
      </c>
      <c r="H362" s="101" t="s">
        <v>2940</v>
      </c>
      <c r="I362" s="102">
        <v>85.2</v>
      </c>
      <c r="J362" s="102">
        <v>104.8</v>
      </c>
      <c r="K362" s="101" t="s">
        <v>2941</v>
      </c>
      <c r="L362" s="102">
        <v>23.0</v>
      </c>
      <c r="M362" s="13"/>
    </row>
    <row r="363">
      <c r="A363" s="101" t="s">
        <v>3149</v>
      </c>
      <c r="B363" s="101" t="s">
        <v>3150</v>
      </c>
      <c r="C363" s="13"/>
      <c r="D363" s="13"/>
      <c r="E363" s="13"/>
      <c r="F363" s="13"/>
      <c r="G363" s="102">
        <v>2.0</v>
      </c>
      <c r="H363" s="101" t="s">
        <v>2942</v>
      </c>
      <c r="I363" s="102">
        <v>68.2</v>
      </c>
      <c r="J363" s="102">
        <v>83.89</v>
      </c>
      <c r="K363" s="101" t="s">
        <v>2941</v>
      </c>
      <c r="L363" s="102">
        <v>23.0</v>
      </c>
      <c r="M363" s="13"/>
    </row>
    <row r="364">
      <c r="A364" s="101" t="s">
        <v>3151</v>
      </c>
      <c r="B364" s="101" t="s">
        <v>3152</v>
      </c>
      <c r="D364" s="13"/>
      <c r="E364" s="13"/>
      <c r="F364" s="13"/>
      <c r="G364" s="102">
        <v>1.0</v>
      </c>
      <c r="H364" s="101" t="s">
        <v>2940</v>
      </c>
      <c r="I364" s="102">
        <v>19.35</v>
      </c>
      <c r="J364" s="102">
        <v>23.8</v>
      </c>
      <c r="K364" s="101" t="s">
        <v>2941</v>
      </c>
      <c r="L364" s="102">
        <v>23.0</v>
      </c>
      <c r="M364" s="13"/>
    </row>
    <row r="365">
      <c r="A365" s="101" t="s">
        <v>3151</v>
      </c>
      <c r="B365" s="101" t="s">
        <v>3152</v>
      </c>
      <c r="D365" s="13"/>
      <c r="E365" s="13"/>
      <c r="F365" s="13"/>
      <c r="G365" s="102">
        <v>2.0</v>
      </c>
      <c r="H365" s="101" t="s">
        <v>2942</v>
      </c>
      <c r="I365" s="102">
        <v>15.5</v>
      </c>
      <c r="J365" s="102">
        <v>19.07</v>
      </c>
      <c r="K365" s="101" t="s">
        <v>2941</v>
      </c>
      <c r="L365" s="102">
        <v>23.0</v>
      </c>
      <c r="M365" s="13"/>
    </row>
    <row r="366">
      <c r="A366" s="101" t="s">
        <v>3153</v>
      </c>
      <c r="B366" s="101">
        <v>171632.0</v>
      </c>
      <c r="C366" s="13"/>
      <c r="D366" s="13"/>
      <c r="E366" s="13"/>
      <c r="F366" s="13"/>
      <c r="G366" s="102">
        <v>1.0</v>
      </c>
      <c r="H366" s="101" t="s">
        <v>2940</v>
      </c>
      <c r="I366" s="102">
        <v>38.78</v>
      </c>
      <c r="J366" s="102">
        <v>47.7</v>
      </c>
      <c r="K366" s="101" t="s">
        <v>2941</v>
      </c>
      <c r="L366" s="102">
        <v>23.0</v>
      </c>
      <c r="M366" s="13"/>
    </row>
    <row r="367">
      <c r="A367" s="101" t="s">
        <v>3153</v>
      </c>
      <c r="B367" s="101">
        <v>171632.0</v>
      </c>
      <c r="C367" s="13"/>
      <c r="D367" s="13"/>
      <c r="E367" s="13"/>
      <c r="F367" s="13"/>
      <c r="G367" s="102">
        <v>2.0</v>
      </c>
      <c r="H367" s="101" t="s">
        <v>2942</v>
      </c>
      <c r="I367" s="102">
        <v>31.0</v>
      </c>
      <c r="J367" s="102">
        <v>38.13</v>
      </c>
      <c r="K367" s="101" t="s">
        <v>2941</v>
      </c>
      <c r="L367" s="102">
        <v>23.0</v>
      </c>
      <c r="M367" s="13"/>
    </row>
    <row r="368">
      <c r="A368" s="101" t="s">
        <v>3154</v>
      </c>
      <c r="B368" s="101" t="s">
        <v>3155</v>
      </c>
      <c r="D368" s="13"/>
      <c r="E368" s="13"/>
      <c r="F368" s="13"/>
      <c r="G368" s="102">
        <v>1.0</v>
      </c>
      <c r="H368" s="101" t="s">
        <v>2940</v>
      </c>
      <c r="I368" s="102">
        <v>58.13</v>
      </c>
      <c r="J368" s="102">
        <v>71.5</v>
      </c>
      <c r="K368" s="101" t="s">
        <v>2941</v>
      </c>
      <c r="L368" s="102">
        <v>23.0</v>
      </c>
      <c r="M368" s="13"/>
    </row>
    <row r="369">
      <c r="A369" s="101" t="s">
        <v>3154</v>
      </c>
      <c r="B369" s="101" t="s">
        <v>3155</v>
      </c>
      <c r="D369" s="13"/>
      <c r="E369" s="13"/>
      <c r="F369" s="13"/>
      <c r="G369" s="102">
        <v>2.0</v>
      </c>
      <c r="H369" s="101" t="s">
        <v>2942</v>
      </c>
      <c r="I369" s="102">
        <v>46.5</v>
      </c>
      <c r="J369" s="102">
        <v>57.2</v>
      </c>
      <c r="K369" s="101" t="s">
        <v>2941</v>
      </c>
      <c r="L369" s="102">
        <v>23.0</v>
      </c>
      <c r="M369" s="13"/>
    </row>
    <row r="370">
      <c r="A370" s="101" t="s">
        <v>3156</v>
      </c>
      <c r="B370" s="101" t="s">
        <v>3157</v>
      </c>
      <c r="D370" s="13"/>
      <c r="E370" s="13"/>
      <c r="F370" s="13"/>
      <c r="G370" s="102">
        <v>1.0</v>
      </c>
      <c r="H370" s="101" t="s">
        <v>2940</v>
      </c>
      <c r="I370" s="102">
        <v>73.66</v>
      </c>
      <c r="J370" s="102">
        <v>90.6</v>
      </c>
      <c r="K370" s="101" t="s">
        <v>2941</v>
      </c>
      <c r="L370" s="102">
        <v>23.0</v>
      </c>
      <c r="M370" s="13"/>
    </row>
    <row r="371">
      <c r="A371" s="101" t="s">
        <v>3156</v>
      </c>
      <c r="B371" s="101" t="s">
        <v>3157</v>
      </c>
      <c r="D371" s="13"/>
      <c r="E371" s="13"/>
      <c r="F371" s="13"/>
      <c r="G371" s="102">
        <v>2.0</v>
      </c>
      <c r="H371" s="101" t="s">
        <v>2942</v>
      </c>
      <c r="I371" s="102">
        <v>73.6</v>
      </c>
      <c r="J371" s="102">
        <v>90.53</v>
      </c>
      <c r="K371" s="101" t="s">
        <v>2941</v>
      </c>
      <c r="L371" s="102">
        <v>23.0</v>
      </c>
      <c r="M371" s="13"/>
    </row>
    <row r="372">
      <c r="A372" s="101" t="s">
        <v>3158</v>
      </c>
      <c r="B372" s="101" t="s">
        <v>3159</v>
      </c>
      <c r="D372" s="13"/>
      <c r="E372" s="13"/>
      <c r="F372" s="13"/>
      <c r="G372" s="102">
        <v>1.0</v>
      </c>
      <c r="H372" s="101" t="s">
        <v>2940</v>
      </c>
      <c r="I372" s="102">
        <v>86.67</v>
      </c>
      <c r="J372" s="102">
        <v>106.6</v>
      </c>
      <c r="K372" s="101" t="s">
        <v>2941</v>
      </c>
      <c r="L372" s="102">
        <v>23.0</v>
      </c>
      <c r="M372" s="13"/>
    </row>
    <row r="373">
      <c r="A373" s="101" t="s">
        <v>3158</v>
      </c>
      <c r="B373" s="101" t="s">
        <v>3159</v>
      </c>
      <c r="D373" s="13"/>
      <c r="E373" s="13"/>
      <c r="F373" s="13"/>
      <c r="G373" s="102">
        <v>2.0</v>
      </c>
      <c r="H373" s="101" t="s">
        <v>2942</v>
      </c>
      <c r="I373" s="102">
        <v>69.3</v>
      </c>
      <c r="J373" s="102">
        <v>85.24</v>
      </c>
      <c r="K373" s="101" t="s">
        <v>2941</v>
      </c>
      <c r="L373" s="102">
        <v>23.0</v>
      </c>
      <c r="M373" s="13"/>
    </row>
    <row r="374">
      <c r="A374" s="101" t="s">
        <v>3160</v>
      </c>
      <c r="B374" s="101" t="s">
        <v>3161</v>
      </c>
      <c r="D374" s="13"/>
      <c r="E374" s="13"/>
      <c r="F374" s="13"/>
      <c r="G374" s="102">
        <v>1.0</v>
      </c>
      <c r="H374" s="101" t="s">
        <v>2940</v>
      </c>
      <c r="I374" s="102">
        <v>64.2</v>
      </c>
      <c r="J374" s="102">
        <v>78.97</v>
      </c>
      <c r="K374" s="101" t="s">
        <v>2941</v>
      </c>
      <c r="L374" s="102">
        <v>23.0</v>
      </c>
      <c r="M374" s="13"/>
    </row>
    <row r="375">
      <c r="A375" s="101" t="s">
        <v>3160</v>
      </c>
      <c r="B375" s="101" t="s">
        <v>3161</v>
      </c>
      <c r="D375" s="13"/>
      <c r="E375" s="13"/>
      <c r="F375" s="13"/>
      <c r="G375" s="102">
        <v>2.0</v>
      </c>
      <c r="H375" s="101" t="s">
        <v>2942</v>
      </c>
      <c r="I375" s="102">
        <v>64.2</v>
      </c>
      <c r="J375" s="102">
        <v>78.97</v>
      </c>
      <c r="K375" s="101" t="s">
        <v>2941</v>
      </c>
      <c r="L375" s="102">
        <v>23.0</v>
      </c>
      <c r="M375" s="13"/>
    </row>
    <row r="376">
      <c r="A376" s="101" t="s">
        <v>3162</v>
      </c>
      <c r="B376" s="101">
        <v>170351.0</v>
      </c>
      <c r="C376" s="13"/>
      <c r="D376" s="13"/>
      <c r="E376" s="13"/>
      <c r="F376" s="13"/>
      <c r="G376" s="102">
        <v>1.0</v>
      </c>
      <c r="H376" s="101" t="s">
        <v>2940</v>
      </c>
      <c r="I376" s="102">
        <v>9.76</v>
      </c>
      <c r="J376" s="102">
        <v>12.0</v>
      </c>
      <c r="K376" s="101" t="s">
        <v>2941</v>
      </c>
      <c r="L376" s="102">
        <v>23.0</v>
      </c>
      <c r="M376" s="13"/>
    </row>
    <row r="377">
      <c r="A377" s="101" t="s">
        <v>3162</v>
      </c>
      <c r="B377" s="101">
        <v>170351.0</v>
      </c>
      <c r="C377" s="13"/>
      <c r="D377" s="13"/>
      <c r="E377" s="13"/>
      <c r="F377" s="13"/>
      <c r="G377" s="102">
        <v>2.0</v>
      </c>
      <c r="H377" s="101" t="s">
        <v>2942</v>
      </c>
      <c r="I377" s="102">
        <v>7.8</v>
      </c>
      <c r="J377" s="102">
        <v>9.59</v>
      </c>
      <c r="K377" s="101" t="s">
        <v>2941</v>
      </c>
      <c r="L377" s="102">
        <v>23.0</v>
      </c>
      <c r="M377" s="13"/>
    </row>
    <row r="378">
      <c r="A378" s="101" t="s">
        <v>3163</v>
      </c>
      <c r="B378" s="101">
        <v>170352.0</v>
      </c>
      <c r="C378" s="13"/>
      <c r="D378" s="13"/>
      <c r="E378" s="13"/>
      <c r="F378" s="13"/>
      <c r="G378" s="102">
        <v>1.0</v>
      </c>
      <c r="H378" s="101" t="s">
        <v>2940</v>
      </c>
      <c r="I378" s="102">
        <v>19.35</v>
      </c>
      <c r="J378" s="102">
        <v>23.8</v>
      </c>
      <c r="K378" s="101" t="s">
        <v>2941</v>
      </c>
      <c r="L378" s="102">
        <v>23.0</v>
      </c>
      <c r="M378" s="13"/>
    </row>
    <row r="379">
      <c r="A379" s="101" t="s">
        <v>3163</v>
      </c>
      <c r="B379" s="101">
        <v>170352.0</v>
      </c>
      <c r="C379" s="13"/>
      <c r="D379" s="13"/>
      <c r="E379" s="13"/>
      <c r="F379" s="13"/>
      <c r="G379" s="102">
        <v>2.0</v>
      </c>
      <c r="H379" s="101" t="s">
        <v>2942</v>
      </c>
      <c r="I379" s="102">
        <v>15.5</v>
      </c>
      <c r="J379" s="102">
        <v>19.07</v>
      </c>
      <c r="K379" s="101" t="s">
        <v>2941</v>
      </c>
      <c r="L379" s="102">
        <v>23.0</v>
      </c>
      <c r="M379" s="13"/>
    </row>
    <row r="380">
      <c r="A380" s="101" t="s">
        <v>3164</v>
      </c>
      <c r="B380" s="101">
        <v>170353.0</v>
      </c>
      <c r="C380" s="13"/>
      <c r="D380" s="13"/>
      <c r="E380" s="13"/>
      <c r="F380" s="13"/>
      <c r="G380" s="102">
        <v>1.0</v>
      </c>
      <c r="H380" s="101" t="s">
        <v>2940</v>
      </c>
      <c r="I380" s="102">
        <v>29.11</v>
      </c>
      <c r="J380" s="102">
        <v>35.8</v>
      </c>
      <c r="K380" s="101" t="s">
        <v>2941</v>
      </c>
      <c r="L380" s="102">
        <v>23.0</v>
      </c>
      <c r="M380" s="13"/>
    </row>
    <row r="381">
      <c r="A381" s="101" t="s">
        <v>3164</v>
      </c>
      <c r="B381" s="101">
        <v>170353.0</v>
      </c>
      <c r="C381" s="13"/>
      <c r="D381" s="13"/>
      <c r="E381" s="13"/>
      <c r="F381" s="13"/>
      <c r="G381" s="102">
        <v>2.0</v>
      </c>
      <c r="H381" s="101" t="s">
        <v>2942</v>
      </c>
      <c r="I381" s="102">
        <v>23.3</v>
      </c>
      <c r="J381" s="102">
        <v>28.66</v>
      </c>
      <c r="K381" s="101" t="s">
        <v>2941</v>
      </c>
      <c r="L381" s="102">
        <v>23.0</v>
      </c>
      <c r="M381" s="13"/>
    </row>
    <row r="382">
      <c r="A382" s="101" t="s">
        <v>3165</v>
      </c>
      <c r="B382" s="101" t="s">
        <v>3166</v>
      </c>
      <c r="D382" s="13"/>
      <c r="E382" s="13"/>
      <c r="F382" s="13"/>
      <c r="G382" s="102">
        <v>1.0</v>
      </c>
      <c r="H382" s="101" t="s">
        <v>2940</v>
      </c>
      <c r="I382" s="102">
        <v>9.76</v>
      </c>
      <c r="J382" s="102">
        <v>12.0</v>
      </c>
      <c r="K382" s="101" t="s">
        <v>2941</v>
      </c>
      <c r="L382" s="102">
        <v>23.0</v>
      </c>
      <c r="M382" s="13"/>
    </row>
    <row r="383">
      <c r="A383" s="101" t="s">
        <v>3165</v>
      </c>
      <c r="B383" s="101" t="s">
        <v>3166</v>
      </c>
      <c r="D383" s="13"/>
      <c r="E383" s="13"/>
      <c r="F383" s="13"/>
      <c r="G383" s="102">
        <v>2.0</v>
      </c>
      <c r="H383" s="101" t="s">
        <v>2942</v>
      </c>
      <c r="I383" s="102">
        <v>7.8</v>
      </c>
      <c r="J383" s="102">
        <v>9.59</v>
      </c>
      <c r="K383" s="101" t="s">
        <v>2941</v>
      </c>
      <c r="L383" s="102">
        <v>23.0</v>
      </c>
      <c r="M383" s="13"/>
    </row>
    <row r="384">
      <c r="A384" s="101" t="s">
        <v>3167</v>
      </c>
      <c r="B384" s="101" t="s">
        <v>3168</v>
      </c>
      <c r="D384" s="13"/>
      <c r="E384" s="13"/>
      <c r="F384" s="13"/>
      <c r="G384" s="102">
        <v>1.0</v>
      </c>
      <c r="H384" s="101" t="s">
        <v>2940</v>
      </c>
      <c r="I384" s="102">
        <v>19.35</v>
      </c>
      <c r="J384" s="102">
        <v>23.8</v>
      </c>
      <c r="K384" s="101" t="s">
        <v>2941</v>
      </c>
      <c r="L384" s="102">
        <v>23.0</v>
      </c>
      <c r="M384" s="13"/>
    </row>
    <row r="385">
      <c r="A385" s="101" t="s">
        <v>3167</v>
      </c>
      <c r="B385" s="101" t="s">
        <v>3168</v>
      </c>
      <c r="D385" s="13"/>
      <c r="E385" s="13"/>
      <c r="F385" s="13"/>
      <c r="G385" s="102">
        <v>2.0</v>
      </c>
      <c r="H385" s="101" t="s">
        <v>2942</v>
      </c>
      <c r="I385" s="102">
        <v>15.5</v>
      </c>
      <c r="J385" s="102">
        <v>19.07</v>
      </c>
      <c r="K385" s="101" t="s">
        <v>2941</v>
      </c>
      <c r="L385" s="102">
        <v>23.0</v>
      </c>
      <c r="M385" s="13"/>
    </row>
    <row r="386">
      <c r="A386" s="101" t="s">
        <v>3169</v>
      </c>
      <c r="B386" s="101" t="s">
        <v>3170</v>
      </c>
      <c r="D386" s="13"/>
      <c r="E386" s="13"/>
      <c r="F386" s="13"/>
      <c r="G386" s="102">
        <v>1.0</v>
      </c>
      <c r="H386" s="101" t="s">
        <v>2940</v>
      </c>
      <c r="I386" s="102">
        <v>29.11</v>
      </c>
      <c r="J386" s="102">
        <v>35.81</v>
      </c>
      <c r="K386" s="101" t="s">
        <v>2941</v>
      </c>
      <c r="L386" s="102">
        <v>23.0</v>
      </c>
      <c r="M386" s="13"/>
    </row>
    <row r="387">
      <c r="A387" s="101" t="s">
        <v>3169</v>
      </c>
      <c r="B387" s="101" t="s">
        <v>3170</v>
      </c>
      <c r="D387" s="13"/>
      <c r="E387" s="13"/>
      <c r="F387" s="13"/>
      <c r="G387" s="102">
        <v>2.0</v>
      </c>
      <c r="H387" s="101" t="s">
        <v>2942</v>
      </c>
      <c r="I387" s="102">
        <v>23.3</v>
      </c>
      <c r="J387" s="102">
        <v>28.66</v>
      </c>
      <c r="K387" s="101" t="s">
        <v>2941</v>
      </c>
      <c r="L387" s="102">
        <v>23.0</v>
      </c>
      <c r="M387" s="13"/>
    </row>
    <row r="388">
      <c r="A388" s="101" t="s">
        <v>3171</v>
      </c>
      <c r="B388" s="101" t="s">
        <v>3172</v>
      </c>
      <c r="D388" s="13"/>
      <c r="E388" s="13"/>
      <c r="F388" s="13"/>
      <c r="G388" s="102">
        <v>1.0</v>
      </c>
      <c r="H388" s="101" t="s">
        <v>2940</v>
      </c>
      <c r="I388" s="102">
        <v>9.76</v>
      </c>
      <c r="J388" s="102">
        <v>12.0</v>
      </c>
      <c r="K388" s="101" t="s">
        <v>2941</v>
      </c>
      <c r="L388" s="102">
        <v>23.0</v>
      </c>
      <c r="M388" s="13"/>
    </row>
    <row r="389">
      <c r="A389" s="101" t="s">
        <v>3171</v>
      </c>
      <c r="B389" s="101" t="s">
        <v>3172</v>
      </c>
      <c r="D389" s="13"/>
      <c r="E389" s="13"/>
      <c r="F389" s="13"/>
      <c r="G389" s="102">
        <v>2.0</v>
      </c>
      <c r="H389" s="101" t="s">
        <v>2942</v>
      </c>
      <c r="I389" s="102">
        <v>7.8</v>
      </c>
      <c r="J389" s="102">
        <v>9.59</v>
      </c>
      <c r="K389" s="101" t="s">
        <v>2941</v>
      </c>
      <c r="L389" s="102">
        <v>23.0</v>
      </c>
      <c r="M389" s="13"/>
    </row>
    <row r="390">
      <c r="A390" s="101" t="s">
        <v>3173</v>
      </c>
      <c r="B390" s="101">
        <v>170782.0</v>
      </c>
      <c r="C390" s="13"/>
      <c r="D390" s="13"/>
      <c r="E390" s="13"/>
      <c r="F390" s="13"/>
      <c r="G390" s="102">
        <v>1.0</v>
      </c>
      <c r="H390" s="101" t="s">
        <v>2940</v>
      </c>
      <c r="I390" s="102">
        <v>19.35</v>
      </c>
      <c r="J390" s="102">
        <v>23.8</v>
      </c>
      <c r="K390" s="101" t="s">
        <v>2941</v>
      </c>
      <c r="L390" s="102">
        <v>23.0</v>
      </c>
      <c r="M390" s="13"/>
    </row>
    <row r="391">
      <c r="A391" s="101" t="s">
        <v>3173</v>
      </c>
      <c r="B391" s="101">
        <v>170782.0</v>
      </c>
      <c r="C391" s="13"/>
      <c r="D391" s="13"/>
      <c r="E391" s="13"/>
      <c r="F391" s="13"/>
      <c r="G391" s="102">
        <v>2.0</v>
      </c>
      <c r="H391" s="101" t="s">
        <v>2942</v>
      </c>
      <c r="I391" s="102">
        <v>15.5</v>
      </c>
      <c r="J391" s="102">
        <v>19.07</v>
      </c>
      <c r="K391" s="101" t="s">
        <v>2941</v>
      </c>
      <c r="L391" s="102">
        <v>23.0</v>
      </c>
      <c r="M391" s="13"/>
    </row>
    <row r="392">
      <c r="A392" s="101" t="s">
        <v>3174</v>
      </c>
      <c r="B392" s="101">
        <v>170783.0</v>
      </c>
      <c r="C392" s="13"/>
      <c r="D392" s="13"/>
      <c r="E392" s="13"/>
      <c r="F392" s="13"/>
      <c r="G392" s="102">
        <v>1.0</v>
      </c>
      <c r="H392" s="101" t="s">
        <v>2940</v>
      </c>
      <c r="I392" s="102">
        <v>29.11</v>
      </c>
      <c r="J392" s="102">
        <v>35.81</v>
      </c>
      <c r="K392" s="101" t="s">
        <v>2941</v>
      </c>
      <c r="L392" s="102">
        <v>23.0</v>
      </c>
      <c r="M392" s="13"/>
    </row>
    <row r="393">
      <c r="A393" s="101" t="s">
        <v>3174</v>
      </c>
      <c r="B393" s="101">
        <v>170783.0</v>
      </c>
      <c r="C393" s="13"/>
      <c r="D393" s="13"/>
      <c r="E393" s="13"/>
      <c r="F393" s="13"/>
      <c r="G393" s="102">
        <v>2.0</v>
      </c>
      <c r="H393" s="101" t="s">
        <v>2942</v>
      </c>
      <c r="I393" s="102">
        <v>23.3</v>
      </c>
      <c r="J393" s="102">
        <v>28.66</v>
      </c>
      <c r="K393" s="101" t="s">
        <v>2941</v>
      </c>
      <c r="L393" s="102">
        <v>23.0</v>
      </c>
      <c r="M393" s="13"/>
    </row>
    <row r="394">
      <c r="A394" s="101" t="s">
        <v>3175</v>
      </c>
      <c r="B394" s="101">
        <v>170791.0</v>
      </c>
      <c r="C394" s="13"/>
      <c r="D394" s="13"/>
      <c r="E394" s="13"/>
      <c r="F394" s="13"/>
      <c r="G394" s="102">
        <v>1.0</v>
      </c>
      <c r="H394" s="101" t="s">
        <v>2940</v>
      </c>
      <c r="I394" s="102">
        <v>6.26</v>
      </c>
      <c r="J394" s="102">
        <v>7.7</v>
      </c>
      <c r="K394" s="101" t="s">
        <v>2941</v>
      </c>
      <c r="L394" s="102">
        <v>23.0</v>
      </c>
      <c r="M394" s="13"/>
    </row>
    <row r="395">
      <c r="A395" s="101" t="s">
        <v>3175</v>
      </c>
      <c r="B395" s="101">
        <v>170791.0</v>
      </c>
      <c r="C395" s="13"/>
      <c r="D395" s="13"/>
      <c r="E395" s="13"/>
      <c r="F395" s="13"/>
      <c r="G395" s="102">
        <v>2.0</v>
      </c>
      <c r="H395" s="101" t="s">
        <v>2942</v>
      </c>
      <c r="I395" s="102">
        <v>5.0</v>
      </c>
      <c r="J395" s="102">
        <v>6.15</v>
      </c>
      <c r="K395" s="101" t="s">
        <v>2941</v>
      </c>
      <c r="L395" s="102">
        <v>23.0</v>
      </c>
      <c r="M395" s="13"/>
    </row>
    <row r="396">
      <c r="A396" s="101" t="s">
        <v>3176</v>
      </c>
      <c r="B396" s="101">
        <v>170792.0</v>
      </c>
      <c r="C396" s="13"/>
      <c r="D396" s="13"/>
      <c r="E396" s="13"/>
      <c r="F396" s="13"/>
      <c r="G396" s="102">
        <v>1.0</v>
      </c>
      <c r="H396" s="101" t="s">
        <v>2940</v>
      </c>
      <c r="I396" s="102">
        <v>12.6</v>
      </c>
      <c r="J396" s="102">
        <v>15.5</v>
      </c>
      <c r="K396" s="101" t="s">
        <v>2941</v>
      </c>
      <c r="L396" s="102">
        <v>23.0</v>
      </c>
      <c r="M396" s="13"/>
    </row>
    <row r="397">
      <c r="A397" s="101" t="s">
        <v>3176</v>
      </c>
      <c r="B397" s="101">
        <v>170792.0</v>
      </c>
      <c r="C397" s="13"/>
      <c r="D397" s="13"/>
      <c r="E397" s="13"/>
      <c r="F397" s="13"/>
      <c r="G397" s="102">
        <v>2.0</v>
      </c>
      <c r="H397" s="101" t="s">
        <v>2942</v>
      </c>
      <c r="I397" s="102">
        <v>10.1</v>
      </c>
      <c r="J397" s="102">
        <v>12.42</v>
      </c>
      <c r="K397" s="101" t="s">
        <v>2941</v>
      </c>
      <c r="L397" s="102">
        <v>23.0</v>
      </c>
      <c r="M397" s="13"/>
    </row>
    <row r="398">
      <c r="A398" s="101" t="s">
        <v>3177</v>
      </c>
      <c r="B398" s="101" t="s">
        <v>3178</v>
      </c>
      <c r="D398" s="13"/>
      <c r="E398" s="13"/>
      <c r="F398" s="13"/>
      <c r="G398" s="102">
        <v>1.0</v>
      </c>
      <c r="H398" s="101" t="s">
        <v>2940</v>
      </c>
      <c r="I398" s="102">
        <v>18.86</v>
      </c>
      <c r="J398" s="102">
        <v>23.2</v>
      </c>
      <c r="K398" s="101" t="s">
        <v>2941</v>
      </c>
      <c r="L398" s="102">
        <v>23.0</v>
      </c>
      <c r="M398" s="13"/>
    </row>
    <row r="399">
      <c r="A399" s="101" t="s">
        <v>3177</v>
      </c>
      <c r="B399" s="101" t="s">
        <v>3178</v>
      </c>
      <c r="D399" s="13"/>
      <c r="E399" s="13"/>
      <c r="F399" s="13"/>
      <c r="G399" s="102">
        <v>2.0</v>
      </c>
      <c r="H399" s="101" t="s">
        <v>2942</v>
      </c>
      <c r="I399" s="102">
        <v>15.1</v>
      </c>
      <c r="J399" s="102">
        <v>18.57</v>
      </c>
      <c r="K399" s="101" t="s">
        <v>2941</v>
      </c>
      <c r="L399" s="102">
        <v>23.0</v>
      </c>
      <c r="M399" s="13"/>
    </row>
    <row r="400">
      <c r="A400" s="101" t="s">
        <v>3179</v>
      </c>
      <c r="B400" s="101" t="s">
        <v>3180</v>
      </c>
      <c r="D400" s="13"/>
      <c r="E400" s="13"/>
      <c r="F400" s="13"/>
      <c r="G400" s="102">
        <v>1.0</v>
      </c>
      <c r="H400" s="101" t="s">
        <v>2940</v>
      </c>
      <c r="I400" s="102">
        <v>5.04</v>
      </c>
      <c r="J400" s="102">
        <v>6.2</v>
      </c>
      <c r="K400" s="101" t="s">
        <v>2941</v>
      </c>
      <c r="L400" s="102">
        <v>23.0</v>
      </c>
      <c r="M400" s="13"/>
    </row>
    <row r="401">
      <c r="A401" s="101" t="s">
        <v>3179</v>
      </c>
      <c r="B401" s="101" t="s">
        <v>3180</v>
      </c>
      <c r="D401" s="13"/>
      <c r="E401" s="13"/>
      <c r="F401" s="13"/>
      <c r="G401" s="102">
        <v>2.0</v>
      </c>
      <c r="H401" s="101" t="s">
        <v>2942</v>
      </c>
      <c r="I401" s="102">
        <v>5.0</v>
      </c>
      <c r="J401" s="102">
        <v>6.15</v>
      </c>
      <c r="K401" s="101" t="s">
        <v>2941</v>
      </c>
      <c r="L401" s="102">
        <v>23.0</v>
      </c>
      <c r="M401" s="13"/>
    </row>
    <row r="402">
      <c r="A402" s="101" t="s">
        <v>3181</v>
      </c>
      <c r="B402" s="101">
        <v>171211.0</v>
      </c>
      <c r="C402" s="13"/>
      <c r="D402" s="13"/>
      <c r="E402" s="13"/>
      <c r="F402" s="13"/>
      <c r="G402" s="102">
        <v>1.0</v>
      </c>
      <c r="H402" s="101" t="s">
        <v>2940</v>
      </c>
      <c r="I402" s="102">
        <v>5.05</v>
      </c>
      <c r="J402" s="102">
        <v>6.21</v>
      </c>
      <c r="K402" s="101" t="s">
        <v>2941</v>
      </c>
      <c r="L402" s="102">
        <v>23.0</v>
      </c>
      <c r="M402" s="13"/>
    </row>
    <row r="403">
      <c r="A403" s="101" t="s">
        <v>3181</v>
      </c>
      <c r="B403" s="101">
        <v>171211.0</v>
      </c>
      <c r="C403" s="13"/>
      <c r="D403" s="13"/>
      <c r="E403" s="13"/>
      <c r="F403" s="13"/>
      <c r="G403" s="102">
        <v>2.0</v>
      </c>
      <c r="H403" s="101" t="s">
        <v>2942</v>
      </c>
      <c r="I403" s="102">
        <v>5.05</v>
      </c>
      <c r="J403" s="102">
        <v>6.21</v>
      </c>
      <c r="K403" s="101" t="s">
        <v>2941</v>
      </c>
      <c r="L403" s="102">
        <v>23.0</v>
      </c>
      <c r="M403" s="13"/>
    </row>
    <row r="404">
      <c r="A404" s="101" t="s">
        <v>3182</v>
      </c>
      <c r="B404" s="101" t="s">
        <v>3183</v>
      </c>
      <c r="D404" s="13"/>
      <c r="E404" s="13"/>
      <c r="F404" s="13"/>
      <c r="G404" s="102">
        <v>1.0</v>
      </c>
      <c r="H404" s="101" t="s">
        <v>2940</v>
      </c>
      <c r="I404" s="102">
        <v>9.02</v>
      </c>
      <c r="J404" s="102">
        <v>11.09</v>
      </c>
      <c r="K404" s="101" t="s">
        <v>2941</v>
      </c>
      <c r="L404" s="102">
        <v>23.0</v>
      </c>
      <c r="M404" s="13"/>
    </row>
    <row r="405">
      <c r="A405" s="101" t="s">
        <v>3182</v>
      </c>
      <c r="B405" s="101" t="s">
        <v>3183</v>
      </c>
      <c r="D405" s="13"/>
      <c r="E405" s="13"/>
      <c r="F405" s="13"/>
      <c r="G405" s="102">
        <v>2.0</v>
      </c>
      <c r="H405" s="101" t="s">
        <v>2942</v>
      </c>
      <c r="I405" s="102">
        <v>7.2</v>
      </c>
      <c r="J405" s="102">
        <v>8.86</v>
      </c>
      <c r="K405" s="101" t="s">
        <v>2941</v>
      </c>
      <c r="L405" s="102">
        <v>23.0</v>
      </c>
      <c r="M405" s="13"/>
    </row>
    <row r="406">
      <c r="A406" s="101" t="s">
        <v>3184</v>
      </c>
      <c r="B406" s="101">
        <v>171212.0</v>
      </c>
      <c r="C406" s="13"/>
      <c r="D406" s="13"/>
      <c r="E406" s="13"/>
      <c r="F406" s="13"/>
      <c r="G406" s="102">
        <v>1.0</v>
      </c>
      <c r="H406" s="101" t="s">
        <v>2940</v>
      </c>
      <c r="I406" s="102">
        <v>10.1</v>
      </c>
      <c r="J406" s="102">
        <v>12.42</v>
      </c>
      <c r="K406" s="101" t="s">
        <v>2941</v>
      </c>
      <c r="L406" s="102">
        <v>23.0</v>
      </c>
      <c r="M406" s="13"/>
    </row>
    <row r="407">
      <c r="A407" s="101" t="s">
        <v>3184</v>
      </c>
      <c r="B407" s="101">
        <v>171212.0</v>
      </c>
      <c r="C407" s="13"/>
      <c r="D407" s="13"/>
      <c r="E407" s="13"/>
      <c r="F407" s="13"/>
      <c r="G407" s="102">
        <v>2.0</v>
      </c>
      <c r="H407" s="101" t="s">
        <v>2942</v>
      </c>
      <c r="I407" s="102">
        <v>10.1</v>
      </c>
      <c r="J407" s="102">
        <v>12.42</v>
      </c>
      <c r="K407" s="101" t="s">
        <v>2941</v>
      </c>
      <c r="L407" s="102">
        <v>23.0</v>
      </c>
      <c r="M407" s="13"/>
    </row>
    <row r="408">
      <c r="A408" s="101" t="s">
        <v>3185</v>
      </c>
      <c r="B408" s="101" t="s">
        <v>3186</v>
      </c>
      <c r="D408" s="13"/>
      <c r="E408" s="13"/>
      <c r="F408" s="13"/>
      <c r="G408" s="102">
        <v>1.0</v>
      </c>
      <c r="H408" s="101" t="s">
        <v>2940</v>
      </c>
      <c r="I408" s="102">
        <v>13.5</v>
      </c>
      <c r="J408" s="102">
        <v>16.61</v>
      </c>
      <c r="K408" s="101" t="s">
        <v>2941</v>
      </c>
      <c r="L408" s="102">
        <v>23.0</v>
      </c>
      <c r="M408" s="13"/>
    </row>
    <row r="409">
      <c r="A409" s="101" t="s">
        <v>3185</v>
      </c>
      <c r="B409" s="101" t="s">
        <v>3186</v>
      </c>
      <c r="D409" s="13"/>
      <c r="E409" s="13"/>
      <c r="F409" s="13"/>
      <c r="G409" s="102">
        <v>2.0</v>
      </c>
      <c r="H409" s="101" t="s">
        <v>2942</v>
      </c>
      <c r="I409" s="102">
        <v>10.8</v>
      </c>
      <c r="J409" s="102">
        <v>13.28</v>
      </c>
      <c r="K409" s="101" t="s">
        <v>2941</v>
      </c>
      <c r="L409" s="102">
        <v>23.0</v>
      </c>
      <c r="M409" s="13"/>
    </row>
    <row r="410">
      <c r="A410" s="101" t="s">
        <v>3187</v>
      </c>
      <c r="B410" s="101">
        <v>171213.0</v>
      </c>
      <c r="C410" s="13"/>
      <c r="D410" s="13"/>
      <c r="E410" s="13"/>
      <c r="F410" s="13"/>
      <c r="G410" s="102">
        <v>1.0</v>
      </c>
      <c r="H410" s="101" t="s">
        <v>2940</v>
      </c>
      <c r="I410" s="102">
        <v>13.5</v>
      </c>
      <c r="J410" s="102">
        <v>16.6</v>
      </c>
      <c r="K410" s="101" t="s">
        <v>2941</v>
      </c>
      <c r="L410" s="102">
        <v>23.0</v>
      </c>
      <c r="M410" s="13"/>
    </row>
    <row r="411">
      <c r="A411" s="101" t="s">
        <v>3187</v>
      </c>
      <c r="B411" s="101">
        <v>171213.0</v>
      </c>
      <c r="C411" s="13"/>
      <c r="D411" s="13"/>
      <c r="E411" s="13"/>
      <c r="F411" s="13"/>
      <c r="G411" s="102">
        <v>2.0</v>
      </c>
      <c r="H411" s="101" t="s">
        <v>2942</v>
      </c>
      <c r="I411" s="102">
        <v>10.8</v>
      </c>
      <c r="J411" s="102">
        <v>13.28</v>
      </c>
      <c r="K411" s="101" t="s">
        <v>2941</v>
      </c>
      <c r="L411" s="102">
        <v>23.0</v>
      </c>
      <c r="M411" s="13"/>
    </row>
    <row r="412">
      <c r="A412" s="101" t="s">
        <v>3188</v>
      </c>
      <c r="B412" s="101">
        <v>171221.0</v>
      </c>
      <c r="C412" s="13"/>
      <c r="D412" s="13"/>
      <c r="E412" s="13"/>
      <c r="F412" s="13"/>
      <c r="G412" s="102">
        <v>1.0</v>
      </c>
      <c r="H412" s="101" t="s">
        <v>2940</v>
      </c>
      <c r="I412" s="102">
        <v>5.05</v>
      </c>
      <c r="J412" s="102">
        <v>6.21</v>
      </c>
      <c r="K412" s="101" t="s">
        <v>2941</v>
      </c>
      <c r="L412" s="102">
        <v>23.0</v>
      </c>
      <c r="M412" s="13"/>
    </row>
    <row r="413">
      <c r="A413" s="101" t="s">
        <v>3188</v>
      </c>
      <c r="B413" s="101">
        <v>171221.0</v>
      </c>
      <c r="C413" s="13"/>
      <c r="D413" s="13"/>
      <c r="E413" s="13"/>
      <c r="F413" s="13"/>
      <c r="G413" s="102">
        <v>2.0</v>
      </c>
      <c r="H413" s="101" t="s">
        <v>2942</v>
      </c>
      <c r="I413" s="102">
        <v>5.05</v>
      </c>
      <c r="J413" s="102">
        <v>6.21</v>
      </c>
      <c r="K413" s="101" t="s">
        <v>2941</v>
      </c>
      <c r="L413" s="102">
        <v>23.0</v>
      </c>
      <c r="M413" s="13"/>
    </row>
    <row r="414">
      <c r="A414" s="101" t="s">
        <v>3189</v>
      </c>
      <c r="B414" s="101">
        <v>171222.0</v>
      </c>
      <c r="C414" s="13"/>
      <c r="D414" s="13"/>
      <c r="E414" s="13"/>
      <c r="F414" s="13"/>
      <c r="G414" s="102">
        <v>1.0</v>
      </c>
      <c r="H414" s="101" t="s">
        <v>2940</v>
      </c>
      <c r="I414" s="102">
        <v>10.1</v>
      </c>
      <c r="J414" s="102">
        <v>12.42</v>
      </c>
      <c r="K414" s="101" t="s">
        <v>2941</v>
      </c>
      <c r="L414" s="102">
        <v>23.0</v>
      </c>
      <c r="M414" s="13"/>
    </row>
    <row r="415">
      <c r="A415" s="101" t="s">
        <v>3189</v>
      </c>
      <c r="B415" s="101">
        <v>171222.0</v>
      </c>
      <c r="C415" s="13"/>
      <c r="D415" s="13"/>
      <c r="E415" s="13"/>
      <c r="F415" s="13"/>
      <c r="G415" s="102">
        <v>2.0</v>
      </c>
      <c r="H415" s="101" t="s">
        <v>2942</v>
      </c>
      <c r="I415" s="102">
        <v>8.1</v>
      </c>
      <c r="J415" s="102">
        <v>9.96</v>
      </c>
      <c r="K415" s="101" t="s">
        <v>2941</v>
      </c>
      <c r="L415" s="102">
        <v>23.0</v>
      </c>
      <c r="M415" s="13"/>
    </row>
    <row r="416">
      <c r="A416" s="101" t="s">
        <v>3190</v>
      </c>
      <c r="B416" s="101">
        <v>171223.0</v>
      </c>
      <c r="C416" s="13"/>
      <c r="D416" s="13"/>
      <c r="E416" s="13"/>
      <c r="F416" s="13"/>
      <c r="G416" s="102">
        <v>1.0</v>
      </c>
      <c r="H416" s="101" t="s">
        <v>2940</v>
      </c>
      <c r="I416" s="102">
        <v>13.5</v>
      </c>
      <c r="J416" s="102">
        <v>16.6</v>
      </c>
      <c r="K416" s="101" t="s">
        <v>2941</v>
      </c>
      <c r="L416" s="102">
        <v>23.0</v>
      </c>
      <c r="M416" s="13"/>
    </row>
    <row r="417">
      <c r="A417" s="101" t="s">
        <v>3190</v>
      </c>
      <c r="B417" s="101">
        <v>171223.0</v>
      </c>
      <c r="C417" s="13"/>
      <c r="D417" s="13"/>
      <c r="E417" s="13"/>
      <c r="F417" s="13"/>
      <c r="G417" s="102">
        <v>2.0</v>
      </c>
      <c r="H417" s="101" t="s">
        <v>2942</v>
      </c>
      <c r="I417" s="102">
        <v>10.8</v>
      </c>
      <c r="J417" s="102">
        <v>13.28</v>
      </c>
      <c r="K417" s="101" t="s">
        <v>2941</v>
      </c>
      <c r="L417" s="102">
        <v>23.0</v>
      </c>
      <c r="M417" s="13"/>
    </row>
    <row r="418">
      <c r="A418" s="101" t="s">
        <v>3191</v>
      </c>
      <c r="B418" s="101">
        <v>786.0</v>
      </c>
      <c r="C418" s="13"/>
      <c r="D418" s="13"/>
      <c r="E418" s="13"/>
      <c r="F418" s="13"/>
      <c r="G418" s="102">
        <v>1.0</v>
      </c>
      <c r="H418" s="101" t="s">
        <v>2940</v>
      </c>
      <c r="I418" s="102">
        <v>11.14</v>
      </c>
      <c r="J418" s="102">
        <v>13.7</v>
      </c>
      <c r="K418" s="101" t="s">
        <v>2941</v>
      </c>
      <c r="L418" s="102">
        <v>23.0</v>
      </c>
      <c r="M418" s="13"/>
    </row>
    <row r="419">
      <c r="A419" s="101" t="s">
        <v>3191</v>
      </c>
      <c r="B419" s="101">
        <v>786.0</v>
      </c>
      <c r="C419" s="13"/>
      <c r="D419" s="13"/>
      <c r="E419" s="13"/>
      <c r="F419" s="13"/>
      <c r="G419" s="102">
        <v>2.0</v>
      </c>
      <c r="H419" s="101" t="s">
        <v>2942</v>
      </c>
      <c r="I419" s="102">
        <v>11.1</v>
      </c>
      <c r="J419" s="102">
        <v>13.65</v>
      </c>
      <c r="K419" s="101" t="s">
        <v>2941</v>
      </c>
      <c r="L419" s="102">
        <v>23.0</v>
      </c>
      <c r="M419" s="13"/>
    </row>
    <row r="420">
      <c r="A420" s="101" t="s">
        <v>3192</v>
      </c>
      <c r="B420" s="101">
        <v>787.0</v>
      </c>
      <c r="C420" s="13"/>
      <c r="D420" s="13"/>
      <c r="E420" s="13"/>
      <c r="F420" s="13"/>
      <c r="G420" s="102">
        <v>1.0</v>
      </c>
      <c r="H420" s="101" t="s">
        <v>2940</v>
      </c>
      <c r="I420" s="102">
        <v>22.2</v>
      </c>
      <c r="J420" s="102">
        <v>27.31</v>
      </c>
      <c r="K420" s="101" t="s">
        <v>2941</v>
      </c>
      <c r="L420" s="102">
        <v>23.0</v>
      </c>
      <c r="M420" s="13"/>
    </row>
    <row r="421">
      <c r="A421" s="101" t="s">
        <v>3192</v>
      </c>
      <c r="B421" s="101">
        <v>787.0</v>
      </c>
      <c r="C421" s="13"/>
      <c r="D421" s="13"/>
      <c r="E421" s="13"/>
      <c r="F421" s="13"/>
      <c r="G421" s="102">
        <v>2.0</v>
      </c>
      <c r="H421" s="101" t="s">
        <v>2942</v>
      </c>
      <c r="I421" s="102">
        <v>22.2</v>
      </c>
      <c r="J421" s="102">
        <v>27.31</v>
      </c>
      <c r="K421" s="101" t="s">
        <v>2941</v>
      </c>
      <c r="L421" s="102">
        <v>23.0</v>
      </c>
      <c r="M421" s="13"/>
    </row>
    <row r="422">
      <c r="A422" s="101" t="s">
        <v>3193</v>
      </c>
      <c r="B422" s="101" t="s">
        <v>3194</v>
      </c>
      <c r="D422" s="13"/>
      <c r="E422" s="13"/>
      <c r="F422" s="13"/>
      <c r="G422" s="102">
        <v>1.0</v>
      </c>
      <c r="H422" s="101" t="s">
        <v>2940</v>
      </c>
      <c r="I422" s="102">
        <v>30.0</v>
      </c>
      <c r="J422" s="102">
        <v>36.9</v>
      </c>
      <c r="K422" s="101" t="s">
        <v>2941</v>
      </c>
      <c r="L422" s="102">
        <v>23.0</v>
      </c>
      <c r="M422" s="13"/>
    </row>
    <row r="423">
      <c r="A423" s="101" t="s">
        <v>3193</v>
      </c>
      <c r="B423" s="101" t="s">
        <v>3194</v>
      </c>
      <c r="D423" s="13"/>
      <c r="E423" s="13"/>
      <c r="F423" s="13"/>
      <c r="G423" s="102">
        <v>2.0</v>
      </c>
      <c r="H423" s="101" t="s">
        <v>2942</v>
      </c>
      <c r="I423" s="102">
        <v>24.0</v>
      </c>
      <c r="J423" s="102">
        <v>29.52</v>
      </c>
      <c r="K423" s="101" t="s">
        <v>2941</v>
      </c>
      <c r="L423" s="102">
        <v>23.0</v>
      </c>
      <c r="M423" s="13"/>
    </row>
    <row r="424">
      <c r="A424" s="101" t="s">
        <v>3195</v>
      </c>
      <c r="B424" s="101">
        <v>165.0</v>
      </c>
      <c r="C424" s="13"/>
      <c r="D424" s="13"/>
      <c r="E424" s="13"/>
      <c r="F424" s="13"/>
      <c r="G424" s="102">
        <v>1.0</v>
      </c>
      <c r="H424" s="101" t="s">
        <v>2940</v>
      </c>
      <c r="I424" s="102">
        <v>11.14</v>
      </c>
      <c r="J424" s="102">
        <v>13.7</v>
      </c>
      <c r="K424" s="101" t="s">
        <v>2941</v>
      </c>
      <c r="L424" s="102">
        <v>23.0</v>
      </c>
      <c r="M424" s="13"/>
    </row>
    <row r="425">
      <c r="A425" s="101" t="s">
        <v>3195</v>
      </c>
      <c r="B425" s="101">
        <v>165.0</v>
      </c>
      <c r="C425" s="13"/>
      <c r="D425" s="13"/>
      <c r="E425" s="13"/>
      <c r="F425" s="13"/>
      <c r="G425" s="102">
        <v>2.0</v>
      </c>
      <c r="H425" s="101" t="s">
        <v>2942</v>
      </c>
      <c r="I425" s="102">
        <v>11.1</v>
      </c>
      <c r="J425" s="102">
        <v>13.65</v>
      </c>
      <c r="K425" s="101" t="s">
        <v>2941</v>
      </c>
      <c r="L425" s="102">
        <v>23.0</v>
      </c>
      <c r="M425" s="13"/>
    </row>
    <row r="426">
      <c r="A426" s="101" t="s">
        <v>3196</v>
      </c>
      <c r="B426" s="101">
        <v>166.0</v>
      </c>
      <c r="C426" s="13"/>
      <c r="D426" s="13"/>
      <c r="E426" s="13"/>
      <c r="F426" s="13"/>
      <c r="G426" s="102">
        <v>1.0</v>
      </c>
      <c r="H426" s="101" t="s">
        <v>2940</v>
      </c>
      <c r="I426" s="102">
        <v>22.2</v>
      </c>
      <c r="J426" s="102">
        <v>27.31</v>
      </c>
      <c r="K426" s="101" t="s">
        <v>2941</v>
      </c>
      <c r="L426" s="102">
        <v>23.0</v>
      </c>
      <c r="M426" s="13"/>
    </row>
    <row r="427">
      <c r="A427" s="101" t="s">
        <v>3196</v>
      </c>
      <c r="B427" s="101">
        <v>166.0</v>
      </c>
      <c r="C427" s="13"/>
      <c r="D427" s="13"/>
      <c r="E427" s="13"/>
      <c r="F427" s="13"/>
      <c r="G427" s="102">
        <v>2.0</v>
      </c>
      <c r="H427" s="101" t="s">
        <v>2942</v>
      </c>
      <c r="I427" s="102">
        <v>22.2</v>
      </c>
      <c r="J427" s="102">
        <v>27.31</v>
      </c>
      <c r="K427" s="101" t="s">
        <v>2941</v>
      </c>
      <c r="L427" s="102">
        <v>23.0</v>
      </c>
      <c r="M427" s="13"/>
    </row>
    <row r="428">
      <c r="A428" s="101" t="s">
        <v>3197</v>
      </c>
      <c r="B428" s="101">
        <v>167.0</v>
      </c>
      <c r="C428" s="13"/>
      <c r="D428" s="13"/>
      <c r="E428" s="13"/>
      <c r="F428" s="13"/>
      <c r="G428" s="102">
        <v>1.0</v>
      </c>
      <c r="H428" s="101" t="s">
        <v>2940</v>
      </c>
      <c r="I428" s="102">
        <v>33.33</v>
      </c>
      <c r="J428" s="102">
        <v>41.0</v>
      </c>
      <c r="K428" s="101" t="s">
        <v>2941</v>
      </c>
      <c r="L428" s="102">
        <v>23.0</v>
      </c>
      <c r="M428" s="13"/>
    </row>
    <row r="429">
      <c r="A429" s="101" t="s">
        <v>3197</v>
      </c>
      <c r="B429" s="101">
        <v>167.0</v>
      </c>
      <c r="C429" s="13"/>
      <c r="D429" s="13"/>
      <c r="E429" s="13"/>
      <c r="F429" s="13"/>
      <c r="G429" s="102">
        <v>2.0</v>
      </c>
      <c r="H429" s="101" t="s">
        <v>2942</v>
      </c>
      <c r="I429" s="102">
        <v>33.3</v>
      </c>
      <c r="J429" s="102">
        <v>40.96</v>
      </c>
      <c r="K429" s="101" t="s">
        <v>2941</v>
      </c>
      <c r="L429" s="102">
        <v>23.0</v>
      </c>
      <c r="M429" s="13"/>
    </row>
    <row r="430">
      <c r="A430" s="101" t="s">
        <v>3198</v>
      </c>
      <c r="B430" s="101">
        <v>171311.0</v>
      </c>
      <c r="C430" s="13"/>
      <c r="D430" s="13"/>
      <c r="E430" s="13"/>
      <c r="F430" s="13"/>
      <c r="G430" s="102">
        <v>1.0</v>
      </c>
      <c r="H430" s="101" t="s">
        <v>2940</v>
      </c>
      <c r="I430" s="102">
        <v>43.41</v>
      </c>
      <c r="J430" s="102">
        <v>53.39</v>
      </c>
      <c r="K430" s="101" t="s">
        <v>2941</v>
      </c>
      <c r="L430" s="102">
        <v>23.0</v>
      </c>
      <c r="M430" s="13"/>
    </row>
    <row r="431">
      <c r="A431" s="101" t="s">
        <v>3198</v>
      </c>
      <c r="B431" s="101">
        <v>171311.0</v>
      </c>
      <c r="C431" s="13"/>
      <c r="D431" s="13"/>
      <c r="E431" s="13"/>
      <c r="F431" s="13"/>
      <c r="G431" s="102">
        <v>2.0</v>
      </c>
      <c r="H431" s="101" t="s">
        <v>2942</v>
      </c>
      <c r="I431" s="102">
        <v>34.7</v>
      </c>
      <c r="J431" s="102">
        <v>42.68</v>
      </c>
      <c r="K431" s="101" t="s">
        <v>2941</v>
      </c>
      <c r="L431" s="102">
        <v>23.0</v>
      </c>
      <c r="M431" s="13"/>
    </row>
    <row r="432">
      <c r="A432" s="101" t="s">
        <v>3199</v>
      </c>
      <c r="B432" s="101">
        <v>171312.0</v>
      </c>
      <c r="C432" s="13"/>
      <c r="D432" s="13"/>
      <c r="E432" s="13"/>
      <c r="F432" s="13"/>
      <c r="G432" s="102">
        <v>1.0</v>
      </c>
      <c r="H432" s="101" t="s">
        <v>2940</v>
      </c>
      <c r="I432" s="102">
        <v>86.75</v>
      </c>
      <c r="J432" s="102">
        <v>106.7</v>
      </c>
      <c r="K432" s="101" t="s">
        <v>2941</v>
      </c>
      <c r="L432" s="102">
        <v>23.0</v>
      </c>
      <c r="M432" s="13"/>
    </row>
    <row r="433">
      <c r="A433" s="101" t="s">
        <v>3199</v>
      </c>
      <c r="B433" s="101">
        <v>171312.0</v>
      </c>
      <c r="C433" s="13"/>
      <c r="D433" s="13"/>
      <c r="E433" s="13"/>
      <c r="F433" s="13"/>
      <c r="G433" s="102">
        <v>2.0</v>
      </c>
      <c r="H433" s="101" t="s">
        <v>2942</v>
      </c>
      <c r="I433" s="102">
        <v>69.4</v>
      </c>
      <c r="J433" s="102">
        <v>85.36</v>
      </c>
      <c r="K433" s="101" t="s">
        <v>2941</v>
      </c>
      <c r="L433" s="102">
        <v>23.0</v>
      </c>
      <c r="M433" s="13"/>
    </row>
    <row r="434">
      <c r="A434" s="101" t="s">
        <v>3200</v>
      </c>
      <c r="B434" s="101" t="s">
        <v>3201</v>
      </c>
      <c r="D434" s="13"/>
      <c r="E434" s="13"/>
      <c r="F434" s="13"/>
      <c r="G434" s="102">
        <v>1.0</v>
      </c>
      <c r="H434" s="101" t="s">
        <v>2940</v>
      </c>
      <c r="I434" s="102">
        <v>130.16</v>
      </c>
      <c r="J434" s="102">
        <v>160.1</v>
      </c>
      <c r="K434" s="101" t="s">
        <v>2941</v>
      </c>
      <c r="L434" s="102">
        <v>23.0</v>
      </c>
      <c r="M434" s="13"/>
    </row>
    <row r="435">
      <c r="A435" s="101" t="s">
        <v>3200</v>
      </c>
      <c r="B435" s="101" t="s">
        <v>3201</v>
      </c>
      <c r="D435" s="13"/>
      <c r="E435" s="13"/>
      <c r="F435" s="13"/>
      <c r="G435" s="102">
        <v>2.0</v>
      </c>
      <c r="H435" s="101" t="s">
        <v>2942</v>
      </c>
      <c r="I435" s="102">
        <v>104.1</v>
      </c>
      <c r="J435" s="102">
        <v>128.04</v>
      </c>
      <c r="K435" s="101" t="s">
        <v>2941</v>
      </c>
      <c r="L435" s="102">
        <v>23.0</v>
      </c>
      <c r="M435" s="13"/>
    </row>
    <row r="436">
      <c r="A436" s="101" t="s">
        <v>3202</v>
      </c>
      <c r="B436" s="101">
        <v>170911.0</v>
      </c>
      <c r="C436" s="13"/>
      <c r="D436" s="13"/>
      <c r="E436" s="13"/>
      <c r="F436" s="13"/>
      <c r="G436" s="102">
        <v>1.0</v>
      </c>
      <c r="H436" s="101" t="s">
        <v>2940</v>
      </c>
      <c r="I436" s="102">
        <v>23.74</v>
      </c>
      <c r="J436" s="102">
        <v>29.2</v>
      </c>
      <c r="K436" s="101" t="s">
        <v>2941</v>
      </c>
      <c r="L436" s="102">
        <v>23.0</v>
      </c>
      <c r="M436" s="13"/>
    </row>
    <row r="437">
      <c r="A437" s="101" t="s">
        <v>3202</v>
      </c>
      <c r="B437" s="101">
        <v>170911.0</v>
      </c>
      <c r="C437" s="13"/>
      <c r="D437" s="13"/>
      <c r="E437" s="13"/>
      <c r="F437" s="13"/>
      <c r="G437" s="102">
        <v>2.0</v>
      </c>
      <c r="H437" s="101" t="s">
        <v>2942</v>
      </c>
      <c r="I437" s="102">
        <v>19.0</v>
      </c>
      <c r="J437" s="102">
        <v>23.37</v>
      </c>
      <c r="K437" s="101" t="s">
        <v>2941</v>
      </c>
      <c r="L437" s="102">
        <v>23.0</v>
      </c>
      <c r="M437" s="13"/>
    </row>
    <row r="438">
      <c r="A438" s="101" t="s">
        <v>3203</v>
      </c>
      <c r="B438" s="101">
        <v>170912.0</v>
      </c>
      <c r="C438" s="13"/>
      <c r="D438" s="13"/>
      <c r="E438" s="13"/>
      <c r="F438" s="13"/>
      <c r="G438" s="102">
        <v>1.0</v>
      </c>
      <c r="H438" s="101" t="s">
        <v>2940</v>
      </c>
      <c r="I438" s="102">
        <v>47.4</v>
      </c>
      <c r="J438" s="102">
        <v>58.3</v>
      </c>
      <c r="K438" s="101" t="s">
        <v>2941</v>
      </c>
      <c r="L438" s="102">
        <v>23.0</v>
      </c>
      <c r="M438" s="13"/>
    </row>
    <row r="439">
      <c r="A439" s="101" t="s">
        <v>3203</v>
      </c>
      <c r="B439" s="101">
        <v>170912.0</v>
      </c>
      <c r="C439" s="13"/>
      <c r="D439" s="13"/>
      <c r="E439" s="13"/>
      <c r="F439" s="13"/>
      <c r="G439" s="102">
        <v>2.0</v>
      </c>
      <c r="H439" s="101" t="s">
        <v>2942</v>
      </c>
      <c r="I439" s="102">
        <v>37.9</v>
      </c>
      <c r="J439" s="102">
        <v>46.62</v>
      </c>
      <c r="K439" s="101" t="s">
        <v>2941</v>
      </c>
      <c r="L439" s="102">
        <v>23.0</v>
      </c>
      <c r="M439" s="13"/>
    </row>
    <row r="440">
      <c r="A440" s="101" t="s">
        <v>3204</v>
      </c>
      <c r="B440" s="101">
        <v>170913.0</v>
      </c>
      <c r="C440" s="13"/>
      <c r="D440" s="13"/>
      <c r="E440" s="13"/>
      <c r="F440" s="13"/>
      <c r="G440" s="102">
        <v>1.0</v>
      </c>
      <c r="H440" s="101" t="s">
        <v>2940</v>
      </c>
      <c r="I440" s="102">
        <v>71.22</v>
      </c>
      <c r="J440" s="102">
        <v>87.6</v>
      </c>
      <c r="K440" s="101" t="s">
        <v>2941</v>
      </c>
      <c r="L440" s="102">
        <v>23.0</v>
      </c>
      <c r="M440" s="13"/>
    </row>
    <row r="441">
      <c r="A441" s="101" t="s">
        <v>3204</v>
      </c>
      <c r="B441" s="101">
        <v>170913.0</v>
      </c>
      <c r="C441" s="13"/>
      <c r="D441" s="13"/>
      <c r="E441" s="13"/>
      <c r="F441" s="13"/>
      <c r="G441" s="102">
        <v>2.0</v>
      </c>
      <c r="H441" s="101" t="s">
        <v>2942</v>
      </c>
      <c r="I441" s="102">
        <v>57.0</v>
      </c>
      <c r="J441" s="102">
        <v>70.11</v>
      </c>
      <c r="K441" s="101" t="s">
        <v>2941</v>
      </c>
      <c r="L441" s="102">
        <v>23.0</v>
      </c>
      <c r="M441" s="13"/>
    </row>
    <row r="442">
      <c r="A442" s="101" t="s">
        <v>3205</v>
      </c>
      <c r="B442" s="101">
        <v>170401.0</v>
      </c>
      <c r="C442" s="13"/>
      <c r="D442" s="13"/>
      <c r="E442" s="13"/>
      <c r="F442" s="13"/>
      <c r="G442" s="102">
        <v>1.0</v>
      </c>
      <c r="H442" s="101" t="s">
        <v>2940</v>
      </c>
      <c r="I442" s="102">
        <v>21.71</v>
      </c>
      <c r="J442" s="102">
        <v>26.7</v>
      </c>
      <c r="K442" s="101" t="s">
        <v>2941</v>
      </c>
      <c r="L442" s="102">
        <v>23.0</v>
      </c>
      <c r="M442" s="13"/>
    </row>
    <row r="443">
      <c r="A443" s="101" t="s">
        <v>3205</v>
      </c>
      <c r="B443" s="101">
        <v>170401.0</v>
      </c>
      <c r="C443" s="13"/>
      <c r="D443" s="13"/>
      <c r="E443" s="13"/>
      <c r="F443" s="13"/>
      <c r="G443" s="102">
        <v>2.0</v>
      </c>
      <c r="H443" s="101" t="s">
        <v>2942</v>
      </c>
      <c r="I443" s="102">
        <v>21.7</v>
      </c>
      <c r="J443" s="102">
        <v>26.69</v>
      </c>
      <c r="K443" s="101" t="s">
        <v>2941</v>
      </c>
      <c r="L443" s="102">
        <v>23.0</v>
      </c>
      <c r="M443" s="13"/>
    </row>
    <row r="444">
      <c r="A444" s="101" t="s">
        <v>3206</v>
      </c>
      <c r="B444" s="101">
        <v>170402.0</v>
      </c>
      <c r="C444" s="13"/>
      <c r="D444" s="13"/>
      <c r="E444" s="13"/>
      <c r="F444" s="13"/>
      <c r="G444" s="102">
        <v>1.0</v>
      </c>
      <c r="H444" s="101" t="s">
        <v>2940</v>
      </c>
      <c r="I444" s="102">
        <v>39.02</v>
      </c>
      <c r="J444" s="102">
        <v>48.0</v>
      </c>
      <c r="K444" s="101" t="s">
        <v>2941</v>
      </c>
      <c r="L444" s="102">
        <v>23.0</v>
      </c>
      <c r="M444" s="13"/>
    </row>
    <row r="445">
      <c r="A445" s="101" t="s">
        <v>3206</v>
      </c>
      <c r="B445" s="101">
        <v>170402.0</v>
      </c>
      <c r="C445" s="13"/>
      <c r="D445" s="13"/>
      <c r="E445" s="13"/>
      <c r="F445" s="13"/>
      <c r="G445" s="102">
        <v>2.0</v>
      </c>
      <c r="H445" s="101" t="s">
        <v>2942</v>
      </c>
      <c r="I445" s="102">
        <v>31.2</v>
      </c>
      <c r="J445" s="102">
        <v>38.38</v>
      </c>
      <c r="K445" s="101" t="s">
        <v>2941</v>
      </c>
      <c r="L445" s="102">
        <v>23.0</v>
      </c>
      <c r="M445" s="13"/>
    </row>
    <row r="446">
      <c r="A446" s="101" t="s">
        <v>3207</v>
      </c>
      <c r="B446" s="101">
        <v>170403.0</v>
      </c>
      <c r="C446" s="13"/>
      <c r="D446" s="13"/>
      <c r="E446" s="13"/>
      <c r="F446" s="13"/>
      <c r="G446" s="102">
        <v>1.0</v>
      </c>
      <c r="H446" s="101" t="s">
        <v>2940</v>
      </c>
      <c r="I446" s="102">
        <v>58.62</v>
      </c>
      <c r="J446" s="102">
        <v>72.1</v>
      </c>
      <c r="K446" s="101" t="s">
        <v>2941</v>
      </c>
      <c r="L446" s="102">
        <v>23.0</v>
      </c>
      <c r="M446" s="13"/>
    </row>
    <row r="447">
      <c r="A447" s="101" t="s">
        <v>3207</v>
      </c>
      <c r="B447" s="101">
        <v>170403.0</v>
      </c>
      <c r="C447" s="13"/>
      <c r="D447" s="13"/>
      <c r="E447" s="13"/>
      <c r="F447" s="13"/>
      <c r="G447" s="102">
        <v>2.0</v>
      </c>
      <c r="H447" s="101" t="s">
        <v>2942</v>
      </c>
      <c r="I447" s="102">
        <v>46.9</v>
      </c>
      <c r="J447" s="102">
        <v>57.69</v>
      </c>
      <c r="K447" s="101" t="s">
        <v>2941</v>
      </c>
      <c r="L447" s="102">
        <v>23.0</v>
      </c>
      <c r="M447" s="13"/>
    </row>
    <row r="448">
      <c r="A448" s="101" t="s">
        <v>3208</v>
      </c>
      <c r="B448" s="101">
        <v>239.0</v>
      </c>
      <c r="C448" s="13"/>
      <c r="D448" s="13"/>
      <c r="E448" s="13"/>
      <c r="F448" s="13"/>
      <c r="G448" s="102">
        <v>1.0</v>
      </c>
      <c r="H448" s="101" t="s">
        <v>2940</v>
      </c>
      <c r="I448" s="102">
        <v>172.03</v>
      </c>
      <c r="J448" s="102">
        <v>211.6</v>
      </c>
      <c r="K448" s="101" t="s">
        <v>2941</v>
      </c>
      <c r="L448" s="102">
        <v>23.0</v>
      </c>
      <c r="M448" s="13"/>
    </row>
    <row r="449">
      <c r="A449" s="101" t="s">
        <v>3208</v>
      </c>
      <c r="B449" s="101">
        <v>239.0</v>
      </c>
      <c r="C449" s="13"/>
      <c r="D449" s="13"/>
      <c r="E449" s="13"/>
      <c r="F449" s="13"/>
      <c r="G449" s="102">
        <v>2.0</v>
      </c>
      <c r="H449" s="101" t="s">
        <v>2942</v>
      </c>
      <c r="I449" s="102">
        <v>172.0</v>
      </c>
      <c r="J449" s="102">
        <v>211.56</v>
      </c>
      <c r="K449" s="101" t="s">
        <v>2941</v>
      </c>
      <c r="L449" s="102">
        <v>23.0</v>
      </c>
      <c r="M449" s="13"/>
    </row>
    <row r="450">
      <c r="A450" s="101" t="s">
        <v>3209</v>
      </c>
      <c r="B450" s="101">
        <v>170371.0</v>
      </c>
      <c r="C450" s="13"/>
      <c r="D450" s="13"/>
      <c r="E450" s="13"/>
      <c r="F450" s="13"/>
      <c r="G450" s="102">
        <v>1.0</v>
      </c>
      <c r="H450" s="101" t="s">
        <v>2940</v>
      </c>
      <c r="I450" s="102">
        <v>15.45</v>
      </c>
      <c r="J450" s="102">
        <v>19.0</v>
      </c>
      <c r="K450" s="101" t="s">
        <v>2941</v>
      </c>
      <c r="L450" s="102">
        <v>23.0</v>
      </c>
      <c r="M450" s="13"/>
    </row>
    <row r="451">
      <c r="A451" s="101" t="s">
        <v>3209</v>
      </c>
      <c r="B451" s="101">
        <v>170371.0</v>
      </c>
      <c r="C451" s="13"/>
      <c r="D451" s="13"/>
      <c r="E451" s="13"/>
      <c r="F451" s="13"/>
      <c r="G451" s="102">
        <v>2.0</v>
      </c>
      <c r="H451" s="101" t="s">
        <v>2942</v>
      </c>
      <c r="I451" s="102">
        <v>12.4</v>
      </c>
      <c r="J451" s="102">
        <v>15.25</v>
      </c>
      <c r="K451" s="101" t="s">
        <v>2941</v>
      </c>
      <c r="L451" s="102">
        <v>23.0</v>
      </c>
      <c r="M451" s="13"/>
    </row>
    <row r="452">
      <c r="A452" s="101" t="s">
        <v>3210</v>
      </c>
      <c r="B452" s="101">
        <v>170372.0</v>
      </c>
      <c r="C452" s="13"/>
      <c r="D452" s="13"/>
      <c r="E452" s="13"/>
      <c r="F452" s="13"/>
      <c r="G452" s="102">
        <v>1.0</v>
      </c>
      <c r="H452" s="101" t="s">
        <v>2940</v>
      </c>
      <c r="I452" s="102">
        <v>30.98</v>
      </c>
      <c r="J452" s="102">
        <v>38.11</v>
      </c>
      <c r="K452" s="101" t="s">
        <v>2941</v>
      </c>
      <c r="L452" s="102">
        <v>23.0</v>
      </c>
      <c r="M452" s="13"/>
    </row>
    <row r="453">
      <c r="A453" s="101" t="s">
        <v>3210</v>
      </c>
      <c r="B453" s="101">
        <v>170372.0</v>
      </c>
      <c r="C453" s="13"/>
      <c r="D453" s="13"/>
      <c r="E453" s="13"/>
      <c r="F453" s="13"/>
      <c r="G453" s="102">
        <v>2.0</v>
      </c>
      <c r="H453" s="101" t="s">
        <v>2942</v>
      </c>
      <c r="I453" s="102">
        <v>24.8</v>
      </c>
      <c r="J453" s="102">
        <v>30.5</v>
      </c>
      <c r="K453" s="101" t="s">
        <v>2941</v>
      </c>
      <c r="L453" s="102">
        <v>23.0</v>
      </c>
      <c r="M453" s="13"/>
    </row>
    <row r="454">
      <c r="A454" s="101" t="s">
        <v>3211</v>
      </c>
      <c r="B454" s="101">
        <v>170373.0</v>
      </c>
      <c r="C454" s="13"/>
      <c r="D454" s="13"/>
      <c r="E454" s="13"/>
      <c r="F454" s="13"/>
      <c r="G454" s="102">
        <v>1.0</v>
      </c>
      <c r="H454" s="101" t="s">
        <v>2940</v>
      </c>
      <c r="I454" s="102">
        <v>46.42</v>
      </c>
      <c r="J454" s="102">
        <v>57.1</v>
      </c>
      <c r="K454" s="101" t="s">
        <v>2941</v>
      </c>
      <c r="L454" s="102">
        <v>23.0</v>
      </c>
      <c r="M454" s="13"/>
    </row>
    <row r="455">
      <c r="A455" s="101" t="s">
        <v>3211</v>
      </c>
      <c r="B455" s="101">
        <v>170373.0</v>
      </c>
      <c r="C455" s="13"/>
      <c r="D455" s="13"/>
      <c r="E455" s="13"/>
      <c r="F455" s="13"/>
      <c r="G455" s="102">
        <v>2.0</v>
      </c>
      <c r="H455" s="101" t="s">
        <v>2942</v>
      </c>
      <c r="I455" s="102">
        <v>37.1</v>
      </c>
      <c r="J455" s="102">
        <v>45.63</v>
      </c>
      <c r="K455" s="101" t="s">
        <v>2941</v>
      </c>
      <c r="L455" s="102">
        <v>23.0</v>
      </c>
      <c r="M455" s="13"/>
    </row>
    <row r="456">
      <c r="A456" s="101" t="s">
        <v>3212</v>
      </c>
      <c r="B456" s="101" t="s">
        <v>3213</v>
      </c>
      <c r="D456" s="13"/>
      <c r="E456" s="13"/>
      <c r="F456" s="13"/>
      <c r="G456" s="102">
        <v>1.0</v>
      </c>
      <c r="H456" s="101" t="s">
        <v>2940</v>
      </c>
      <c r="I456" s="102">
        <v>77.2</v>
      </c>
      <c r="J456" s="102">
        <v>94.96</v>
      </c>
      <c r="K456" s="101" t="s">
        <v>2941</v>
      </c>
      <c r="L456" s="102">
        <v>23.0</v>
      </c>
      <c r="M456" s="13"/>
    </row>
    <row r="457">
      <c r="A457" s="101" t="s">
        <v>3212</v>
      </c>
      <c r="B457" s="101" t="s">
        <v>3213</v>
      </c>
      <c r="D457" s="13"/>
      <c r="E457" s="13"/>
      <c r="F457" s="13"/>
      <c r="G457" s="102">
        <v>2.0</v>
      </c>
      <c r="H457" s="101" t="s">
        <v>2942</v>
      </c>
      <c r="I457" s="102">
        <v>77.2</v>
      </c>
      <c r="J457" s="102">
        <v>94.96</v>
      </c>
      <c r="K457" s="101" t="s">
        <v>2941</v>
      </c>
      <c r="L457" s="102">
        <v>23.0</v>
      </c>
      <c r="M457" s="13"/>
    </row>
    <row r="458">
      <c r="A458" s="101" t="s">
        <v>3214</v>
      </c>
      <c r="B458" s="101">
        <v>70.0</v>
      </c>
      <c r="C458" s="13"/>
      <c r="D458" s="13"/>
      <c r="E458" s="13"/>
      <c r="F458" s="13"/>
      <c r="G458" s="102">
        <v>1.0</v>
      </c>
      <c r="H458" s="101" t="s">
        <v>2940</v>
      </c>
      <c r="I458" s="102">
        <v>103.17</v>
      </c>
      <c r="J458" s="102">
        <v>126.9</v>
      </c>
      <c r="K458" s="101" t="s">
        <v>2941</v>
      </c>
      <c r="L458" s="102">
        <v>23.0</v>
      </c>
      <c r="M458" s="13"/>
    </row>
    <row r="459">
      <c r="A459" s="101" t="s">
        <v>3214</v>
      </c>
      <c r="B459" s="101">
        <v>70.0</v>
      </c>
      <c r="C459" s="13"/>
      <c r="D459" s="13"/>
      <c r="E459" s="13"/>
      <c r="F459" s="13"/>
      <c r="G459" s="102">
        <v>2.0</v>
      </c>
      <c r="H459" s="101" t="s">
        <v>2942</v>
      </c>
      <c r="I459" s="102">
        <v>103.2</v>
      </c>
      <c r="J459" s="102">
        <v>126.94</v>
      </c>
      <c r="K459" s="101" t="s">
        <v>2941</v>
      </c>
      <c r="L459" s="102">
        <v>23.0</v>
      </c>
      <c r="M459" s="13"/>
    </row>
    <row r="460">
      <c r="A460" s="101" t="s">
        <v>3215</v>
      </c>
      <c r="B460" s="101" t="s">
        <v>3216</v>
      </c>
      <c r="D460" s="13"/>
      <c r="E460" s="13"/>
      <c r="F460" s="13"/>
      <c r="G460" s="102">
        <v>1.0</v>
      </c>
      <c r="H460" s="101" t="s">
        <v>2940</v>
      </c>
      <c r="I460" s="102">
        <v>34.4</v>
      </c>
      <c r="J460" s="102">
        <v>42.31</v>
      </c>
      <c r="K460" s="101" t="s">
        <v>2941</v>
      </c>
      <c r="L460" s="102">
        <v>23.0</v>
      </c>
      <c r="M460" s="13"/>
    </row>
    <row r="461">
      <c r="A461" s="101" t="s">
        <v>3215</v>
      </c>
      <c r="B461" s="101" t="s">
        <v>3216</v>
      </c>
      <c r="D461" s="13"/>
      <c r="E461" s="13"/>
      <c r="F461" s="13"/>
      <c r="G461" s="102">
        <v>2.0</v>
      </c>
      <c r="H461" s="101" t="s">
        <v>2942</v>
      </c>
      <c r="I461" s="102">
        <v>23.0</v>
      </c>
      <c r="J461" s="102">
        <v>28.29</v>
      </c>
      <c r="K461" s="101" t="s">
        <v>2941</v>
      </c>
      <c r="L461" s="102">
        <v>23.0</v>
      </c>
      <c r="M461" s="13"/>
    </row>
    <row r="462">
      <c r="A462" s="101" t="s">
        <v>3217</v>
      </c>
      <c r="B462" s="101">
        <v>170831.0</v>
      </c>
      <c r="C462" s="13"/>
      <c r="D462" s="13"/>
      <c r="E462" s="13"/>
      <c r="F462" s="13"/>
      <c r="G462" s="102">
        <v>1.0</v>
      </c>
      <c r="H462" s="101" t="s">
        <v>2940</v>
      </c>
      <c r="I462" s="102">
        <v>64.47</v>
      </c>
      <c r="J462" s="102">
        <v>79.3</v>
      </c>
      <c r="K462" s="101" t="s">
        <v>2941</v>
      </c>
      <c r="L462" s="102">
        <v>23.0</v>
      </c>
      <c r="M462" s="13"/>
    </row>
    <row r="463">
      <c r="A463" s="101" t="s">
        <v>3217</v>
      </c>
      <c r="B463" s="101">
        <v>170831.0</v>
      </c>
      <c r="C463" s="13"/>
      <c r="D463" s="13"/>
      <c r="E463" s="13"/>
      <c r="F463" s="13"/>
      <c r="G463" s="102">
        <v>2.0</v>
      </c>
      <c r="H463" s="101" t="s">
        <v>2942</v>
      </c>
      <c r="I463" s="102">
        <v>51.6</v>
      </c>
      <c r="J463" s="102">
        <v>63.47</v>
      </c>
      <c r="K463" s="101" t="s">
        <v>2941</v>
      </c>
      <c r="L463" s="102">
        <v>23.0</v>
      </c>
      <c r="M463" s="13"/>
    </row>
    <row r="464">
      <c r="A464" s="101" t="s">
        <v>3218</v>
      </c>
      <c r="B464" s="101">
        <v>170832.0</v>
      </c>
      <c r="C464" s="13"/>
      <c r="D464" s="13"/>
      <c r="E464" s="13"/>
      <c r="F464" s="13"/>
      <c r="G464" s="102">
        <v>1.0</v>
      </c>
      <c r="H464" s="101" t="s">
        <v>2940</v>
      </c>
      <c r="I464" s="102">
        <v>128.86</v>
      </c>
      <c r="J464" s="102">
        <v>158.5</v>
      </c>
      <c r="K464" s="101" t="s">
        <v>2941</v>
      </c>
      <c r="L464" s="102">
        <v>23.0</v>
      </c>
      <c r="M464" s="13"/>
    </row>
    <row r="465">
      <c r="A465" s="101" t="s">
        <v>3218</v>
      </c>
      <c r="B465" s="101">
        <v>170832.0</v>
      </c>
      <c r="C465" s="13"/>
      <c r="D465" s="13"/>
      <c r="E465" s="13"/>
      <c r="F465" s="13"/>
      <c r="G465" s="102">
        <v>2.0</v>
      </c>
      <c r="H465" s="101" t="s">
        <v>2942</v>
      </c>
      <c r="I465" s="102">
        <v>103.1</v>
      </c>
      <c r="J465" s="102">
        <v>126.81</v>
      </c>
      <c r="K465" s="101" t="s">
        <v>2941</v>
      </c>
      <c r="L465" s="102">
        <v>23.0</v>
      </c>
      <c r="M465" s="13"/>
    </row>
    <row r="466">
      <c r="A466" s="101" t="s">
        <v>3219</v>
      </c>
      <c r="B466" s="101">
        <v>170833.0</v>
      </c>
      <c r="C466" s="13"/>
      <c r="D466" s="13"/>
      <c r="E466" s="13"/>
      <c r="F466" s="13"/>
      <c r="G466" s="102">
        <v>1.0</v>
      </c>
      <c r="H466" s="101" t="s">
        <v>2940</v>
      </c>
      <c r="I466" s="102">
        <v>193.33</v>
      </c>
      <c r="J466" s="102">
        <v>237.8</v>
      </c>
      <c r="K466" s="101" t="s">
        <v>2941</v>
      </c>
      <c r="L466" s="102">
        <v>23.0</v>
      </c>
      <c r="M466" s="13"/>
    </row>
    <row r="467">
      <c r="A467" s="101" t="s">
        <v>3219</v>
      </c>
      <c r="B467" s="101">
        <v>170833.0</v>
      </c>
      <c r="C467" s="13"/>
      <c r="D467" s="13"/>
      <c r="E467" s="13"/>
      <c r="F467" s="13"/>
      <c r="G467" s="102">
        <v>2.0</v>
      </c>
      <c r="H467" s="101" t="s">
        <v>2942</v>
      </c>
      <c r="I467" s="102">
        <v>154.7</v>
      </c>
      <c r="J467" s="102">
        <v>190.28</v>
      </c>
      <c r="K467" s="101" t="s">
        <v>2941</v>
      </c>
      <c r="L467" s="102">
        <v>23.0</v>
      </c>
      <c r="M467" s="13"/>
    </row>
    <row r="468">
      <c r="A468" s="101" t="s">
        <v>3220</v>
      </c>
      <c r="B468" s="101">
        <v>170441.0</v>
      </c>
      <c r="C468" s="13"/>
      <c r="D468" s="13"/>
      <c r="E468" s="13"/>
      <c r="F468" s="13"/>
      <c r="G468" s="102">
        <v>1.0</v>
      </c>
      <c r="H468" s="101" t="s">
        <v>2940</v>
      </c>
      <c r="I468" s="102">
        <v>22.76</v>
      </c>
      <c r="J468" s="102">
        <v>27.99</v>
      </c>
      <c r="K468" s="101" t="s">
        <v>2941</v>
      </c>
      <c r="L468" s="102">
        <v>23.0</v>
      </c>
      <c r="M468" s="13"/>
    </row>
    <row r="469">
      <c r="A469" s="101" t="s">
        <v>3220</v>
      </c>
      <c r="B469" s="101">
        <v>170441.0</v>
      </c>
      <c r="C469" s="13"/>
      <c r="D469" s="13"/>
      <c r="E469" s="13"/>
      <c r="F469" s="13"/>
      <c r="G469" s="102">
        <v>2.0</v>
      </c>
      <c r="H469" s="101" t="s">
        <v>2942</v>
      </c>
      <c r="I469" s="102">
        <v>22.61</v>
      </c>
      <c r="J469" s="102">
        <v>27.81</v>
      </c>
      <c r="K469" s="101" t="s">
        <v>2941</v>
      </c>
      <c r="L469" s="102">
        <v>23.0</v>
      </c>
      <c r="M469" s="13"/>
    </row>
    <row r="470">
      <c r="A470" s="101" t="s">
        <v>3221</v>
      </c>
      <c r="B470" s="101">
        <v>1442.0</v>
      </c>
      <c r="C470" s="13"/>
      <c r="D470" s="13"/>
      <c r="E470" s="13"/>
      <c r="F470" s="13"/>
      <c r="G470" s="102">
        <v>1.0</v>
      </c>
      <c r="H470" s="101" t="s">
        <v>2940</v>
      </c>
      <c r="I470" s="102">
        <v>28.37</v>
      </c>
      <c r="J470" s="102">
        <v>34.9</v>
      </c>
      <c r="K470" s="101" t="s">
        <v>2941</v>
      </c>
      <c r="L470" s="102">
        <v>23.0</v>
      </c>
      <c r="M470" s="13"/>
    </row>
    <row r="471">
      <c r="A471" s="101" t="s">
        <v>3221</v>
      </c>
      <c r="B471" s="101">
        <v>1442.0</v>
      </c>
      <c r="C471" s="13"/>
      <c r="D471" s="13"/>
      <c r="E471" s="13"/>
      <c r="F471" s="13"/>
      <c r="G471" s="102">
        <v>2.0</v>
      </c>
      <c r="H471" s="101" t="s">
        <v>2942</v>
      </c>
      <c r="I471" s="102">
        <v>28.4</v>
      </c>
      <c r="J471" s="102">
        <v>34.93</v>
      </c>
      <c r="K471" s="101" t="s">
        <v>2941</v>
      </c>
      <c r="L471" s="102">
        <v>23.0</v>
      </c>
      <c r="M471" s="13"/>
    </row>
    <row r="472">
      <c r="A472" s="101" t="s">
        <v>3222</v>
      </c>
      <c r="B472" s="101">
        <v>170442.0</v>
      </c>
      <c r="C472" s="13"/>
      <c r="D472" s="13"/>
      <c r="E472" s="13"/>
      <c r="F472" s="13"/>
      <c r="G472" s="102">
        <v>1.0</v>
      </c>
      <c r="H472" s="101" t="s">
        <v>2940</v>
      </c>
      <c r="I472" s="102">
        <v>47.15</v>
      </c>
      <c r="J472" s="102">
        <v>58.0</v>
      </c>
      <c r="K472" s="101" t="s">
        <v>2941</v>
      </c>
      <c r="L472" s="102">
        <v>23.0</v>
      </c>
      <c r="M472" s="13"/>
    </row>
    <row r="473">
      <c r="A473" s="101" t="s">
        <v>3222</v>
      </c>
      <c r="B473" s="101">
        <v>170442.0</v>
      </c>
      <c r="C473" s="13"/>
      <c r="D473" s="13"/>
      <c r="E473" s="13"/>
      <c r="F473" s="13"/>
      <c r="G473" s="102">
        <v>2.0</v>
      </c>
      <c r="H473" s="101" t="s">
        <v>2942</v>
      </c>
      <c r="I473" s="102">
        <v>37.4</v>
      </c>
      <c r="J473" s="102">
        <v>46.0</v>
      </c>
      <c r="K473" s="101" t="s">
        <v>2941</v>
      </c>
      <c r="L473" s="102">
        <v>23.0</v>
      </c>
      <c r="M473" s="13"/>
    </row>
    <row r="474">
      <c r="A474" s="101" t="s">
        <v>3223</v>
      </c>
      <c r="B474" s="101">
        <v>372.0</v>
      </c>
      <c r="C474" s="13"/>
      <c r="D474" s="13"/>
      <c r="E474" s="13"/>
      <c r="F474" s="13"/>
      <c r="G474" s="102">
        <v>1.0</v>
      </c>
      <c r="H474" s="101" t="s">
        <v>2940</v>
      </c>
      <c r="I474" s="102">
        <v>51.22</v>
      </c>
      <c r="J474" s="102">
        <v>63.0</v>
      </c>
      <c r="K474" s="101" t="s">
        <v>2941</v>
      </c>
      <c r="L474" s="102">
        <v>23.0</v>
      </c>
      <c r="M474" s="13"/>
    </row>
    <row r="475">
      <c r="A475" s="101" t="s">
        <v>3223</v>
      </c>
      <c r="B475" s="101">
        <v>372.0</v>
      </c>
      <c r="C475" s="13"/>
      <c r="D475" s="13"/>
      <c r="E475" s="13"/>
      <c r="F475" s="13"/>
      <c r="G475" s="102">
        <v>2.0</v>
      </c>
      <c r="H475" s="101" t="s">
        <v>2942</v>
      </c>
      <c r="I475" s="102">
        <v>40.9</v>
      </c>
      <c r="J475" s="102">
        <v>50.31</v>
      </c>
      <c r="K475" s="101" t="s">
        <v>2941</v>
      </c>
      <c r="L475" s="102">
        <v>23.0</v>
      </c>
      <c r="M475" s="13"/>
    </row>
    <row r="476">
      <c r="A476" s="101" t="s">
        <v>3224</v>
      </c>
      <c r="B476" s="101">
        <v>170443.0</v>
      </c>
      <c r="C476" s="13"/>
      <c r="D476" s="13"/>
      <c r="E476" s="13"/>
      <c r="F476" s="13"/>
      <c r="G476" s="102">
        <v>1.0</v>
      </c>
      <c r="H476" s="101" t="s">
        <v>2940</v>
      </c>
      <c r="I476" s="102">
        <v>73.98</v>
      </c>
      <c r="J476" s="102">
        <v>91.0</v>
      </c>
      <c r="K476" s="101" t="s">
        <v>2941</v>
      </c>
      <c r="L476" s="102">
        <v>23.0</v>
      </c>
      <c r="M476" s="13"/>
    </row>
    <row r="477">
      <c r="A477" s="101" t="s">
        <v>3224</v>
      </c>
      <c r="B477" s="101">
        <v>170443.0</v>
      </c>
      <c r="C477" s="13"/>
      <c r="D477" s="13"/>
      <c r="E477" s="13"/>
      <c r="F477" s="13"/>
      <c r="G477" s="102">
        <v>2.0</v>
      </c>
      <c r="H477" s="101" t="s">
        <v>2942</v>
      </c>
      <c r="I477" s="102">
        <v>59.2</v>
      </c>
      <c r="J477" s="102">
        <v>72.82</v>
      </c>
      <c r="K477" s="101" t="s">
        <v>2941</v>
      </c>
      <c r="L477" s="102">
        <v>23.0</v>
      </c>
      <c r="M477" s="13"/>
    </row>
    <row r="478">
      <c r="A478" s="101" t="s">
        <v>3225</v>
      </c>
      <c r="B478" s="101">
        <v>1443.0</v>
      </c>
      <c r="C478" s="13"/>
      <c r="D478" s="13"/>
      <c r="E478" s="13"/>
      <c r="F478" s="13"/>
      <c r="G478" s="102">
        <v>1.0</v>
      </c>
      <c r="H478" s="101" t="s">
        <v>2940</v>
      </c>
      <c r="I478" s="102">
        <v>76.67</v>
      </c>
      <c r="J478" s="102">
        <v>94.3</v>
      </c>
      <c r="K478" s="101" t="s">
        <v>2941</v>
      </c>
      <c r="L478" s="102">
        <v>23.0</v>
      </c>
      <c r="M478" s="13"/>
    </row>
    <row r="479">
      <c r="A479" s="101" t="s">
        <v>3225</v>
      </c>
      <c r="B479" s="101">
        <v>1443.0</v>
      </c>
      <c r="C479" s="13"/>
      <c r="D479" s="13"/>
      <c r="E479" s="13"/>
      <c r="F479" s="13"/>
      <c r="G479" s="102">
        <v>2.0</v>
      </c>
      <c r="H479" s="101" t="s">
        <v>2942</v>
      </c>
      <c r="I479" s="102">
        <v>61.3</v>
      </c>
      <c r="J479" s="102">
        <v>75.4</v>
      </c>
      <c r="K479" s="101" t="s">
        <v>2941</v>
      </c>
      <c r="L479" s="102">
        <v>23.0</v>
      </c>
      <c r="M479" s="13"/>
    </row>
    <row r="480">
      <c r="A480" s="101" t="s">
        <v>3226</v>
      </c>
      <c r="B480" s="101">
        <v>265.0</v>
      </c>
      <c r="C480" s="13"/>
      <c r="D480" s="13"/>
      <c r="E480" s="13"/>
      <c r="F480" s="13"/>
      <c r="G480" s="102">
        <v>1.0</v>
      </c>
      <c r="H480" s="101" t="s">
        <v>2940</v>
      </c>
      <c r="I480" s="102">
        <v>233.98</v>
      </c>
      <c r="J480" s="102">
        <v>287.8</v>
      </c>
      <c r="K480" s="101" t="s">
        <v>2941</v>
      </c>
      <c r="L480" s="102">
        <v>23.0</v>
      </c>
      <c r="M480" s="13"/>
    </row>
    <row r="481">
      <c r="A481" s="101" t="s">
        <v>3226</v>
      </c>
      <c r="B481" s="101">
        <v>265.0</v>
      </c>
      <c r="C481" s="13"/>
      <c r="D481" s="13"/>
      <c r="E481" s="13"/>
      <c r="F481" s="13"/>
      <c r="G481" s="102">
        <v>2.0</v>
      </c>
      <c r="H481" s="101" t="s">
        <v>2942</v>
      </c>
      <c r="I481" s="102">
        <v>187.2</v>
      </c>
      <c r="J481" s="102">
        <v>230.26</v>
      </c>
      <c r="K481" s="101" t="s">
        <v>2941</v>
      </c>
      <c r="L481" s="102">
        <v>23.0</v>
      </c>
      <c r="M481" s="13"/>
    </row>
    <row r="482">
      <c r="A482" s="101" t="s">
        <v>3227</v>
      </c>
      <c r="B482" s="101">
        <v>170321.0</v>
      </c>
      <c r="C482" s="13"/>
      <c r="D482" s="13"/>
      <c r="E482" s="13"/>
      <c r="F482" s="13"/>
      <c r="G482" s="102">
        <v>1.0</v>
      </c>
      <c r="H482" s="101" t="s">
        <v>2940</v>
      </c>
      <c r="I482" s="102">
        <v>23.41</v>
      </c>
      <c r="J482" s="102">
        <v>28.79</v>
      </c>
      <c r="K482" s="101" t="s">
        <v>2941</v>
      </c>
      <c r="L482" s="102">
        <v>23.0</v>
      </c>
      <c r="M482" s="13"/>
    </row>
    <row r="483">
      <c r="A483" s="101" t="s">
        <v>3227</v>
      </c>
      <c r="B483" s="101">
        <v>170321.0</v>
      </c>
      <c r="C483" s="13"/>
      <c r="D483" s="13"/>
      <c r="E483" s="13"/>
      <c r="F483" s="13"/>
      <c r="G483" s="102">
        <v>2.0</v>
      </c>
      <c r="H483" s="101" t="s">
        <v>2942</v>
      </c>
      <c r="I483" s="102">
        <v>18.7</v>
      </c>
      <c r="J483" s="102">
        <v>23.0</v>
      </c>
      <c r="K483" s="101" t="s">
        <v>2941</v>
      </c>
      <c r="L483" s="102">
        <v>23.0</v>
      </c>
      <c r="M483" s="13"/>
    </row>
    <row r="484">
      <c r="A484" s="101" t="s">
        <v>3228</v>
      </c>
      <c r="B484" s="101">
        <v>170322.0</v>
      </c>
      <c r="C484" s="13"/>
      <c r="D484" s="13"/>
      <c r="E484" s="13"/>
      <c r="F484" s="13"/>
      <c r="G484" s="102">
        <v>1.0</v>
      </c>
      <c r="H484" s="101" t="s">
        <v>2940</v>
      </c>
      <c r="I484" s="102">
        <v>46.83</v>
      </c>
      <c r="J484" s="102">
        <v>57.6</v>
      </c>
      <c r="K484" s="101" t="s">
        <v>2941</v>
      </c>
      <c r="L484" s="102">
        <v>23.0</v>
      </c>
      <c r="M484" s="13"/>
    </row>
    <row r="485">
      <c r="A485" s="101" t="s">
        <v>3228</v>
      </c>
      <c r="B485" s="101">
        <v>170322.0</v>
      </c>
      <c r="C485" s="13"/>
      <c r="D485" s="13"/>
      <c r="E485" s="13"/>
      <c r="F485" s="13"/>
      <c r="G485" s="102">
        <v>2.0</v>
      </c>
      <c r="H485" s="101" t="s">
        <v>2942</v>
      </c>
      <c r="I485" s="102">
        <v>37.5</v>
      </c>
      <c r="J485" s="102">
        <v>46.13</v>
      </c>
      <c r="K485" s="101" t="s">
        <v>2941</v>
      </c>
      <c r="L485" s="102">
        <v>23.0</v>
      </c>
      <c r="M485" s="13"/>
    </row>
    <row r="486">
      <c r="A486" s="101" t="s">
        <v>3229</v>
      </c>
      <c r="B486" s="101">
        <v>170323.0</v>
      </c>
      <c r="C486" s="13"/>
      <c r="D486" s="13"/>
      <c r="E486" s="13"/>
      <c r="F486" s="13"/>
      <c r="G486" s="102">
        <v>1.0</v>
      </c>
      <c r="H486" s="101" t="s">
        <v>2940</v>
      </c>
      <c r="I486" s="102">
        <v>70.16</v>
      </c>
      <c r="J486" s="102">
        <v>86.3</v>
      </c>
      <c r="K486" s="101" t="s">
        <v>2941</v>
      </c>
      <c r="L486" s="102">
        <v>23.0</v>
      </c>
      <c r="M486" s="13"/>
    </row>
    <row r="487">
      <c r="A487" s="101" t="s">
        <v>3229</v>
      </c>
      <c r="B487" s="101">
        <v>170323.0</v>
      </c>
      <c r="C487" s="13"/>
      <c r="D487" s="13"/>
      <c r="E487" s="13"/>
      <c r="F487" s="13"/>
      <c r="G487" s="102">
        <v>2.0</v>
      </c>
      <c r="H487" s="101" t="s">
        <v>2942</v>
      </c>
      <c r="I487" s="102">
        <v>56.1</v>
      </c>
      <c r="J487" s="102">
        <v>69.0</v>
      </c>
      <c r="K487" s="101" t="s">
        <v>2941</v>
      </c>
      <c r="L487" s="102">
        <v>23.0</v>
      </c>
      <c r="M487" s="13"/>
    </row>
    <row r="488">
      <c r="A488" s="101" t="s">
        <v>3230</v>
      </c>
      <c r="B488" s="101">
        <v>170324.0</v>
      </c>
      <c r="C488" s="13"/>
      <c r="D488" s="13"/>
      <c r="E488" s="13"/>
      <c r="F488" s="13"/>
      <c r="G488" s="102">
        <v>1.0</v>
      </c>
      <c r="H488" s="101" t="s">
        <v>2940</v>
      </c>
      <c r="I488" s="102">
        <v>104.0</v>
      </c>
      <c r="J488" s="102">
        <v>127.92</v>
      </c>
      <c r="K488" s="101" t="s">
        <v>2941</v>
      </c>
      <c r="L488" s="102">
        <v>23.0</v>
      </c>
      <c r="M488" s="13"/>
    </row>
    <row r="489">
      <c r="A489" s="101" t="s">
        <v>3230</v>
      </c>
      <c r="B489" s="101">
        <v>170324.0</v>
      </c>
      <c r="C489" s="13"/>
      <c r="D489" s="13"/>
      <c r="E489" s="13"/>
      <c r="F489" s="13"/>
      <c r="G489" s="102">
        <v>2.0</v>
      </c>
      <c r="H489" s="101" t="s">
        <v>2942</v>
      </c>
      <c r="I489" s="102">
        <v>104.0</v>
      </c>
      <c r="J489" s="102">
        <v>127.92</v>
      </c>
      <c r="K489" s="101" t="s">
        <v>2941</v>
      </c>
      <c r="L489" s="102">
        <v>23.0</v>
      </c>
      <c r="M489" s="13"/>
    </row>
    <row r="490">
      <c r="A490" s="101" t="s">
        <v>3231</v>
      </c>
      <c r="B490" s="101">
        <v>170326.0</v>
      </c>
      <c r="C490" s="13"/>
      <c r="D490" s="13"/>
      <c r="E490" s="13"/>
      <c r="F490" s="13"/>
      <c r="G490" s="102">
        <v>1.0</v>
      </c>
      <c r="H490" s="101" t="s">
        <v>2940</v>
      </c>
      <c r="I490" s="102">
        <v>156.0</v>
      </c>
      <c r="J490" s="102">
        <v>191.88</v>
      </c>
      <c r="K490" s="101" t="s">
        <v>2941</v>
      </c>
      <c r="L490" s="102">
        <v>23.0</v>
      </c>
      <c r="M490" s="13"/>
    </row>
    <row r="491">
      <c r="A491" s="101" t="s">
        <v>3231</v>
      </c>
      <c r="B491" s="101">
        <v>170326.0</v>
      </c>
      <c r="C491" s="13"/>
      <c r="D491" s="13"/>
      <c r="E491" s="13"/>
      <c r="F491" s="13"/>
      <c r="G491" s="102">
        <v>2.0</v>
      </c>
      <c r="H491" s="101" t="s">
        <v>2942</v>
      </c>
      <c r="I491" s="102">
        <v>156.0</v>
      </c>
      <c r="J491" s="102">
        <v>191.88</v>
      </c>
      <c r="K491" s="101" t="s">
        <v>2941</v>
      </c>
      <c r="L491" s="102">
        <v>23.0</v>
      </c>
      <c r="M491" s="13"/>
    </row>
    <row r="492">
      <c r="A492" s="101" t="s">
        <v>3232</v>
      </c>
      <c r="B492" s="101">
        <v>1088.0</v>
      </c>
      <c r="C492" s="13"/>
      <c r="D492" s="13"/>
      <c r="E492" s="13"/>
      <c r="F492" s="13"/>
      <c r="G492" s="102">
        <v>1.0</v>
      </c>
      <c r="H492" s="101" t="s">
        <v>2940</v>
      </c>
      <c r="I492" s="102">
        <v>117.72</v>
      </c>
      <c r="J492" s="102">
        <v>144.8</v>
      </c>
      <c r="K492" s="101" t="s">
        <v>2941</v>
      </c>
      <c r="L492" s="102">
        <v>23.0</v>
      </c>
      <c r="M492" s="13"/>
    </row>
    <row r="493">
      <c r="A493" s="101" t="s">
        <v>3232</v>
      </c>
      <c r="B493" s="101">
        <v>1088.0</v>
      </c>
      <c r="C493" s="13"/>
      <c r="D493" s="13"/>
      <c r="E493" s="13"/>
      <c r="F493" s="13"/>
      <c r="G493" s="102">
        <v>2.0</v>
      </c>
      <c r="H493" s="101" t="s">
        <v>2942</v>
      </c>
      <c r="I493" s="102">
        <v>94.2</v>
      </c>
      <c r="J493" s="102">
        <v>115.87</v>
      </c>
      <c r="K493" s="101" t="s">
        <v>2941</v>
      </c>
      <c r="L493" s="102">
        <v>23.0</v>
      </c>
      <c r="M493" s="13"/>
    </row>
    <row r="494">
      <c r="A494" s="101" t="s">
        <v>3233</v>
      </c>
      <c r="B494" s="101">
        <v>1696.0</v>
      </c>
      <c r="C494" s="13"/>
      <c r="D494" s="13"/>
      <c r="E494" s="13"/>
      <c r="F494" s="13"/>
      <c r="G494" s="102">
        <v>1.0</v>
      </c>
      <c r="H494" s="101" t="s">
        <v>2940</v>
      </c>
      <c r="I494" s="102">
        <v>348.78</v>
      </c>
      <c r="J494" s="102">
        <v>429.0</v>
      </c>
      <c r="K494" s="101" t="s">
        <v>2941</v>
      </c>
      <c r="L494" s="102">
        <v>23.0</v>
      </c>
      <c r="M494" s="13"/>
    </row>
    <row r="495">
      <c r="A495" s="101" t="s">
        <v>3233</v>
      </c>
      <c r="B495" s="101">
        <v>1696.0</v>
      </c>
      <c r="C495" s="13"/>
      <c r="D495" s="13"/>
      <c r="E495" s="13"/>
      <c r="F495" s="13"/>
      <c r="G495" s="102">
        <v>2.0</v>
      </c>
      <c r="H495" s="101" t="s">
        <v>2942</v>
      </c>
      <c r="I495" s="102">
        <v>348.5</v>
      </c>
      <c r="J495" s="102">
        <v>428.66</v>
      </c>
      <c r="K495" s="101" t="s">
        <v>2941</v>
      </c>
      <c r="L495" s="102">
        <v>23.0</v>
      </c>
      <c r="M495" s="13"/>
    </row>
    <row r="496">
      <c r="A496" s="101" t="s">
        <v>3234</v>
      </c>
      <c r="B496" s="101">
        <v>170861.0</v>
      </c>
      <c r="C496" s="13"/>
      <c r="D496" s="13"/>
      <c r="E496" s="13"/>
      <c r="F496" s="13"/>
      <c r="G496" s="102">
        <v>1.0</v>
      </c>
      <c r="H496" s="101" t="s">
        <v>2940</v>
      </c>
      <c r="I496" s="102">
        <v>31.38</v>
      </c>
      <c r="J496" s="102">
        <v>38.6</v>
      </c>
      <c r="K496" s="101" t="s">
        <v>2941</v>
      </c>
      <c r="L496" s="102">
        <v>23.0</v>
      </c>
      <c r="M496" s="13"/>
    </row>
    <row r="497">
      <c r="A497" s="101" t="s">
        <v>3234</v>
      </c>
      <c r="B497" s="101">
        <v>170861.0</v>
      </c>
      <c r="C497" s="13"/>
      <c r="D497" s="13"/>
      <c r="E497" s="13"/>
      <c r="F497" s="13"/>
      <c r="G497" s="102">
        <v>2.0</v>
      </c>
      <c r="H497" s="101" t="s">
        <v>2942</v>
      </c>
      <c r="I497" s="102">
        <v>25.1</v>
      </c>
      <c r="J497" s="102">
        <v>30.87</v>
      </c>
      <c r="K497" s="101" t="s">
        <v>2941</v>
      </c>
      <c r="L497" s="102">
        <v>23.0</v>
      </c>
      <c r="M497" s="13"/>
    </row>
    <row r="498">
      <c r="A498" s="101" t="s">
        <v>3235</v>
      </c>
      <c r="B498" s="101">
        <v>170862.0</v>
      </c>
      <c r="C498" s="13"/>
      <c r="D498" s="13"/>
      <c r="E498" s="13"/>
      <c r="F498" s="13"/>
      <c r="G498" s="102">
        <v>1.0</v>
      </c>
      <c r="H498" s="101" t="s">
        <v>2940</v>
      </c>
      <c r="I498" s="102">
        <v>62.76</v>
      </c>
      <c r="J498" s="102">
        <v>77.19</v>
      </c>
      <c r="K498" s="101" t="s">
        <v>2941</v>
      </c>
      <c r="L498" s="102">
        <v>23.0</v>
      </c>
      <c r="M498" s="13"/>
    </row>
    <row r="499">
      <c r="A499" s="101" t="s">
        <v>3235</v>
      </c>
      <c r="B499" s="101">
        <v>170862.0</v>
      </c>
      <c r="C499" s="13"/>
      <c r="D499" s="13"/>
      <c r="E499" s="13"/>
      <c r="F499" s="13"/>
      <c r="G499" s="102">
        <v>2.0</v>
      </c>
      <c r="H499" s="101" t="s">
        <v>2942</v>
      </c>
      <c r="I499" s="102">
        <v>50.2</v>
      </c>
      <c r="J499" s="102">
        <v>61.75</v>
      </c>
      <c r="K499" s="101" t="s">
        <v>2941</v>
      </c>
      <c r="L499" s="102">
        <v>23.0</v>
      </c>
      <c r="M499" s="13"/>
    </row>
    <row r="500">
      <c r="A500" s="101" t="s">
        <v>3236</v>
      </c>
      <c r="B500" s="101">
        <v>170863.0</v>
      </c>
      <c r="C500" s="13"/>
      <c r="D500" s="13"/>
      <c r="E500" s="13"/>
      <c r="F500" s="13"/>
      <c r="G500" s="102">
        <v>1.0</v>
      </c>
      <c r="H500" s="101" t="s">
        <v>2940</v>
      </c>
      <c r="I500" s="102">
        <v>94.15</v>
      </c>
      <c r="J500" s="102">
        <v>115.8</v>
      </c>
      <c r="K500" s="101" t="s">
        <v>2941</v>
      </c>
      <c r="L500" s="102">
        <v>23.0</v>
      </c>
      <c r="M500" s="13"/>
    </row>
    <row r="501">
      <c r="A501" s="101" t="s">
        <v>3236</v>
      </c>
      <c r="B501" s="101">
        <v>170863.0</v>
      </c>
      <c r="C501" s="13"/>
      <c r="D501" s="13"/>
      <c r="E501" s="13"/>
      <c r="F501" s="13"/>
      <c r="G501" s="102">
        <v>2.0</v>
      </c>
      <c r="H501" s="101" t="s">
        <v>2942</v>
      </c>
      <c r="I501" s="102">
        <v>75.3</v>
      </c>
      <c r="J501" s="102">
        <v>92.62</v>
      </c>
      <c r="K501" s="101" t="s">
        <v>2941</v>
      </c>
      <c r="L501" s="102">
        <v>23.0</v>
      </c>
      <c r="M501" s="13"/>
    </row>
    <row r="502">
      <c r="A502" s="101" t="s">
        <v>3237</v>
      </c>
      <c r="B502" s="101">
        <v>171641.0</v>
      </c>
      <c r="C502" s="13"/>
      <c r="D502" s="13"/>
      <c r="E502" s="13"/>
      <c r="F502" s="13"/>
      <c r="G502" s="102">
        <v>1.0</v>
      </c>
      <c r="H502" s="101" t="s">
        <v>2940</v>
      </c>
      <c r="I502" s="102">
        <v>6.83</v>
      </c>
      <c r="J502" s="102">
        <v>8.4</v>
      </c>
      <c r="K502" s="101" t="s">
        <v>2941</v>
      </c>
      <c r="L502" s="102">
        <v>23.0</v>
      </c>
      <c r="M502" s="13"/>
    </row>
    <row r="503">
      <c r="A503" s="101" t="s">
        <v>3237</v>
      </c>
      <c r="B503" s="101">
        <v>171641.0</v>
      </c>
      <c r="C503" s="13"/>
      <c r="D503" s="13"/>
      <c r="E503" s="13"/>
      <c r="F503" s="13"/>
      <c r="G503" s="102">
        <v>2.0</v>
      </c>
      <c r="H503" s="101" t="s">
        <v>2942</v>
      </c>
      <c r="I503" s="102">
        <v>5.5</v>
      </c>
      <c r="J503" s="102">
        <v>6.77</v>
      </c>
      <c r="K503" s="101" t="s">
        <v>2941</v>
      </c>
      <c r="L503" s="102">
        <v>23.0</v>
      </c>
      <c r="M503" s="13"/>
    </row>
    <row r="504">
      <c r="A504" s="101" t="s">
        <v>3238</v>
      </c>
      <c r="B504" s="101">
        <v>171642.0</v>
      </c>
      <c r="C504" s="13"/>
      <c r="D504" s="13"/>
      <c r="E504" s="13"/>
      <c r="F504" s="13"/>
      <c r="G504" s="102">
        <v>1.0</v>
      </c>
      <c r="H504" s="101" t="s">
        <v>2940</v>
      </c>
      <c r="I504" s="102">
        <v>13.58</v>
      </c>
      <c r="J504" s="102">
        <v>16.7</v>
      </c>
      <c r="K504" s="101" t="s">
        <v>2941</v>
      </c>
      <c r="L504" s="102">
        <v>23.0</v>
      </c>
      <c r="M504" s="13"/>
    </row>
    <row r="505">
      <c r="A505" s="101" t="s">
        <v>3238</v>
      </c>
      <c r="B505" s="101">
        <v>171642.0</v>
      </c>
      <c r="C505" s="13"/>
      <c r="D505" s="13"/>
      <c r="E505" s="13"/>
      <c r="F505" s="13"/>
      <c r="G505" s="102">
        <v>2.0</v>
      </c>
      <c r="H505" s="101" t="s">
        <v>2942</v>
      </c>
      <c r="I505" s="102">
        <v>10.9</v>
      </c>
      <c r="J505" s="102">
        <v>13.41</v>
      </c>
      <c r="K505" s="101" t="s">
        <v>2941</v>
      </c>
      <c r="L505" s="102">
        <v>23.0</v>
      </c>
      <c r="M505" s="13"/>
    </row>
    <row r="506">
      <c r="A506" s="101" t="s">
        <v>3239</v>
      </c>
      <c r="B506" s="101">
        <v>171643.0</v>
      </c>
      <c r="C506" s="13"/>
      <c r="D506" s="13"/>
      <c r="E506" s="13"/>
      <c r="F506" s="13"/>
      <c r="G506" s="102">
        <v>1.0</v>
      </c>
      <c r="H506" s="101" t="s">
        <v>2940</v>
      </c>
      <c r="I506" s="102">
        <v>20.41</v>
      </c>
      <c r="J506" s="102">
        <v>25.1</v>
      </c>
      <c r="K506" s="101" t="s">
        <v>2941</v>
      </c>
      <c r="L506" s="102">
        <v>23.0</v>
      </c>
      <c r="M506" s="13"/>
    </row>
    <row r="507">
      <c r="A507" s="101" t="s">
        <v>3239</v>
      </c>
      <c r="B507" s="101">
        <v>171643.0</v>
      </c>
      <c r="C507" s="13"/>
      <c r="D507" s="13"/>
      <c r="E507" s="13"/>
      <c r="F507" s="13"/>
      <c r="G507" s="102">
        <v>2.0</v>
      </c>
      <c r="H507" s="101" t="s">
        <v>2942</v>
      </c>
      <c r="I507" s="102">
        <v>16.3</v>
      </c>
      <c r="J507" s="102">
        <v>20.05</v>
      </c>
      <c r="K507" s="101" t="s">
        <v>2941</v>
      </c>
      <c r="L507" s="102">
        <v>23.0</v>
      </c>
      <c r="M507" s="13"/>
    </row>
    <row r="508">
      <c r="A508" s="101" t="s">
        <v>3240</v>
      </c>
      <c r="B508" s="101">
        <v>170382.0</v>
      </c>
      <c r="C508" s="13"/>
      <c r="D508" s="13"/>
      <c r="E508" s="13"/>
      <c r="F508" s="13"/>
      <c r="G508" s="102">
        <v>1.0</v>
      </c>
      <c r="H508" s="101" t="s">
        <v>2940</v>
      </c>
      <c r="I508" s="102">
        <v>28.86</v>
      </c>
      <c r="J508" s="102">
        <v>35.5</v>
      </c>
      <c r="K508" s="101" t="s">
        <v>2941</v>
      </c>
      <c r="L508" s="102">
        <v>23.0</v>
      </c>
      <c r="M508" s="13"/>
    </row>
    <row r="509">
      <c r="A509" s="101" t="s">
        <v>3240</v>
      </c>
      <c r="B509" s="101">
        <v>170382.0</v>
      </c>
      <c r="C509" s="13"/>
      <c r="D509" s="13"/>
      <c r="E509" s="13"/>
      <c r="F509" s="13"/>
      <c r="G509" s="102">
        <v>2.0</v>
      </c>
      <c r="H509" s="101" t="s">
        <v>2942</v>
      </c>
      <c r="I509" s="102">
        <v>23.1</v>
      </c>
      <c r="J509" s="102">
        <v>28.41</v>
      </c>
      <c r="K509" s="101" t="s">
        <v>2941</v>
      </c>
      <c r="L509" s="102">
        <v>23.0</v>
      </c>
      <c r="M509" s="13"/>
    </row>
    <row r="510">
      <c r="A510" s="101" t="s">
        <v>3241</v>
      </c>
      <c r="B510" s="101">
        <v>170383.0</v>
      </c>
      <c r="C510" s="13"/>
      <c r="D510" s="13"/>
      <c r="E510" s="13"/>
      <c r="F510" s="13"/>
      <c r="G510" s="102">
        <v>1.0</v>
      </c>
      <c r="H510" s="101" t="s">
        <v>2940</v>
      </c>
      <c r="I510" s="102">
        <v>43.41</v>
      </c>
      <c r="J510" s="102">
        <v>53.39</v>
      </c>
      <c r="K510" s="101" t="s">
        <v>2941</v>
      </c>
      <c r="L510" s="102">
        <v>23.0</v>
      </c>
      <c r="M510" s="13"/>
    </row>
    <row r="511">
      <c r="A511" s="101" t="s">
        <v>3241</v>
      </c>
      <c r="B511" s="101">
        <v>170383.0</v>
      </c>
      <c r="C511" s="13"/>
      <c r="D511" s="13"/>
      <c r="E511" s="13"/>
      <c r="F511" s="13"/>
      <c r="G511" s="102">
        <v>2.0</v>
      </c>
      <c r="H511" s="101" t="s">
        <v>2942</v>
      </c>
      <c r="I511" s="102">
        <v>34.7</v>
      </c>
      <c r="J511" s="102">
        <v>42.68</v>
      </c>
      <c r="K511" s="101" t="s">
        <v>2941</v>
      </c>
      <c r="L511" s="102">
        <v>23.0</v>
      </c>
      <c r="M511" s="13"/>
    </row>
    <row r="512">
      <c r="A512" s="101" t="s">
        <v>3242</v>
      </c>
      <c r="B512" s="101">
        <v>4281.0</v>
      </c>
      <c r="C512" s="13"/>
      <c r="D512" s="13"/>
      <c r="E512" s="13"/>
      <c r="F512" s="13"/>
      <c r="G512" s="102">
        <v>1.0</v>
      </c>
      <c r="H512" s="101" t="s">
        <v>2940</v>
      </c>
      <c r="I512" s="102">
        <v>51.6</v>
      </c>
      <c r="J512" s="102">
        <v>63.47</v>
      </c>
      <c r="K512" s="101" t="s">
        <v>2941</v>
      </c>
      <c r="L512" s="102">
        <v>23.0</v>
      </c>
      <c r="M512" s="13"/>
    </row>
    <row r="513">
      <c r="A513" s="101" t="s">
        <v>3242</v>
      </c>
      <c r="B513" s="101">
        <v>4281.0</v>
      </c>
      <c r="C513" s="13"/>
      <c r="D513" s="13"/>
      <c r="E513" s="13"/>
      <c r="F513" s="13"/>
      <c r="G513" s="102">
        <v>2.0</v>
      </c>
      <c r="H513" s="101" t="s">
        <v>2942</v>
      </c>
      <c r="I513" s="102">
        <v>51.6</v>
      </c>
      <c r="J513" s="102">
        <v>63.47</v>
      </c>
      <c r="K513" s="101" t="s">
        <v>2941</v>
      </c>
      <c r="L513" s="102">
        <v>23.0</v>
      </c>
      <c r="M513" s="13"/>
    </row>
    <row r="514">
      <c r="A514" s="101" t="s">
        <v>3243</v>
      </c>
      <c r="B514" s="101">
        <v>4282.0</v>
      </c>
      <c r="C514" s="13"/>
      <c r="D514" s="13"/>
      <c r="E514" s="13"/>
      <c r="F514" s="13"/>
      <c r="G514" s="102">
        <v>1.0</v>
      </c>
      <c r="H514" s="101" t="s">
        <v>2940</v>
      </c>
      <c r="I514" s="102">
        <v>103.2</v>
      </c>
      <c r="J514" s="102">
        <v>126.94</v>
      </c>
      <c r="K514" s="101" t="s">
        <v>2941</v>
      </c>
      <c r="L514" s="102">
        <v>23.0</v>
      </c>
      <c r="M514" s="13"/>
    </row>
    <row r="515">
      <c r="A515" s="101" t="s">
        <v>3243</v>
      </c>
      <c r="B515" s="101">
        <v>4282.0</v>
      </c>
      <c r="C515" s="13"/>
      <c r="D515" s="13"/>
      <c r="E515" s="13"/>
      <c r="F515" s="13"/>
      <c r="G515" s="102">
        <v>2.0</v>
      </c>
      <c r="H515" s="101" t="s">
        <v>2942</v>
      </c>
      <c r="I515" s="102">
        <v>103.2</v>
      </c>
      <c r="J515" s="102">
        <v>126.94</v>
      </c>
      <c r="K515" s="101" t="s">
        <v>2941</v>
      </c>
      <c r="L515" s="102">
        <v>23.0</v>
      </c>
      <c r="M515" s="13"/>
    </row>
    <row r="516">
      <c r="A516" s="101" t="s">
        <v>3244</v>
      </c>
      <c r="B516" s="101">
        <v>170422.0</v>
      </c>
      <c r="C516" s="13"/>
      <c r="D516" s="13"/>
      <c r="E516" s="13"/>
      <c r="F516" s="13"/>
      <c r="G516" s="102">
        <v>1.0</v>
      </c>
      <c r="H516" s="101" t="s">
        <v>2940</v>
      </c>
      <c r="I516" s="102">
        <v>42.76</v>
      </c>
      <c r="J516" s="102">
        <v>52.59</v>
      </c>
      <c r="K516" s="101" t="s">
        <v>2941</v>
      </c>
      <c r="L516" s="102">
        <v>23.0</v>
      </c>
      <c r="M516" s="13"/>
    </row>
    <row r="517">
      <c r="A517" s="101" t="s">
        <v>3244</v>
      </c>
      <c r="B517" s="101">
        <v>170422.0</v>
      </c>
      <c r="C517" s="13"/>
      <c r="D517" s="13"/>
      <c r="E517" s="13"/>
      <c r="F517" s="13"/>
      <c r="G517" s="102">
        <v>2.0</v>
      </c>
      <c r="H517" s="101" t="s">
        <v>2942</v>
      </c>
      <c r="I517" s="102">
        <v>34.2</v>
      </c>
      <c r="J517" s="102">
        <v>42.07</v>
      </c>
      <c r="K517" s="101" t="s">
        <v>2941</v>
      </c>
      <c r="L517" s="102">
        <v>23.0</v>
      </c>
      <c r="M517" s="13"/>
    </row>
    <row r="518">
      <c r="A518" s="101" t="s">
        <v>3245</v>
      </c>
      <c r="B518" s="101">
        <v>170423.0</v>
      </c>
      <c r="C518" s="13"/>
      <c r="D518" s="13"/>
      <c r="E518" s="13"/>
      <c r="F518" s="13"/>
      <c r="G518" s="102">
        <v>1.0</v>
      </c>
      <c r="H518" s="101" t="s">
        <v>2940</v>
      </c>
      <c r="I518" s="102">
        <v>64.15</v>
      </c>
      <c r="J518" s="102">
        <v>78.9</v>
      </c>
      <c r="K518" s="101" t="s">
        <v>2941</v>
      </c>
      <c r="L518" s="102">
        <v>23.0</v>
      </c>
      <c r="M518" s="13"/>
    </row>
    <row r="519">
      <c r="A519" s="101" t="s">
        <v>3245</v>
      </c>
      <c r="B519" s="101">
        <v>170423.0</v>
      </c>
      <c r="C519" s="13"/>
      <c r="D519" s="13"/>
      <c r="E519" s="13"/>
      <c r="F519" s="13"/>
      <c r="G519" s="102">
        <v>2.0</v>
      </c>
      <c r="H519" s="101" t="s">
        <v>2942</v>
      </c>
      <c r="I519" s="102">
        <v>51.3</v>
      </c>
      <c r="J519" s="102">
        <v>63.1</v>
      </c>
      <c r="K519" s="101" t="s">
        <v>2941</v>
      </c>
      <c r="L519" s="102">
        <v>23.0</v>
      </c>
      <c r="M519" s="13"/>
    </row>
    <row r="520">
      <c r="A520" s="101" t="s">
        <v>3246</v>
      </c>
      <c r="B520" s="101">
        <v>170421.0</v>
      </c>
      <c r="C520" s="13"/>
      <c r="D520" s="13"/>
      <c r="E520" s="13"/>
      <c r="F520" s="13"/>
      <c r="G520" s="102">
        <v>1.0</v>
      </c>
      <c r="H520" s="101" t="s">
        <v>2940</v>
      </c>
      <c r="I520" s="102">
        <v>21.38</v>
      </c>
      <c r="J520" s="102">
        <v>26.3</v>
      </c>
      <c r="K520" s="101" t="s">
        <v>2941</v>
      </c>
      <c r="L520" s="102">
        <v>23.0</v>
      </c>
      <c r="M520" s="13"/>
    </row>
    <row r="521">
      <c r="A521" s="101" t="s">
        <v>3246</v>
      </c>
      <c r="B521" s="101">
        <v>170421.0</v>
      </c>
      <c r="C521" s="13"/>
      <c r="D521" s="13"/>
      <c r="E521" s="13"/>
      <c r="F521" s="13"/>
      <c r="G521" s="102">
        <v>2.0</v>
      </c>
      <c r="H521" s="101" t="s">
        <v>2942</v>
      </c>
      <c r="I521" s="102">
        <v>17.1</v>
      </c>
      <c r="J521" s="102">
        <v>21.03</v>
      </c>
      <c r="K521" s="101" t="s">
        <v>2941</v>
      </c>
      <c r="L521" s="102">
        <v>23.0</v>
      </c>
      <c r="M521" s="13"/>
    </row>
    <row r="522">
      <c r="A522" s="101" t="s">
        <v>3247</v>
      </c>
      <c r="B522" s="101" t="s">
        <v>3248</v>
      </c>
      <c r="D522" s="13"/>
      <c r="E522" s="13"/>
      <c r="F522" s="13"/>
      <c r="G522" s="102">
        <v>1.0</v>
      </c>
      <c r="H522" s="101" t="s">
        <v>2940</v>
      </c>
      <c r="I522" s="102">
        <v>18.62</v>
      </c>
      <c r="J522" s="102">
        <v>22.9</v>
      </c>
      <c r="K522" s="101" t="s">
        <v>2941</v>
      </c>
      <c r="L522" s="102">
        <v>23.0</v>
      </c>
      <c r="M522" s="13"/>
    </row>
    <row r="523">
      <c r="A523" s="101" t="s">
        <v>3247</v>
      </c>
      <c r="B523" s="101" t="s">
        <v>3248</v>
      </c>
      <c r="D523" s="13"/>
      <c r="E523" s="13"/>
      <c r="F523" s="13"/>
      <c r="G523" s="102">
        <v>2.0</v>
      </c>
      <c r="H523" s="101" t="s">
        <v>2942</v>
      </c>
      <c r="I523" s="102">
        <v>14.9</v>
      </c>
      <c r="J523" s="102">
        <v>18.33</v>
      </c>
      <c r="K523" s="101" t="s">
        <v>2941</v>
      </c>
      <c r="L523" s="102">
        <v>23.0</v>
      </c>
      <c r="M523" s="13"/>
    </row>
    <row r="524">
      <c r="A524" s="101" t="s">
        <v>3249</v>
      </c>
      <c r="B524" s="101">
        <v>170762.0</v>
      </c>
      <c r="C524" s="13"/>
      <c r="D524" s="13"/>
      <c r="E524" s="13"/>
      <c r="F524" s="13"/>
      <c r="G524" s="102">
        <v>1.0</v>
      </c>
      <c r="H524" s="101" t="s">
        <v>2940</v>
      </c>
      <c r="I524" s="102">
        <v>37.32</v>
      </c>
      <c r="J524" s="102">
        <v>45.9</v>
      </c>
      <c r="K524" s="101" t="s">
        <v>2941</v>
      </c>
      <c r="L524" s="102">
        <v>23.0</v>
      </c>
      <c r="M524" s="13"/>
    </row>
    <row r="525">
      <c r="A525" s="101" t="s">
        <v>3249</v>
      </c>
      <c r="B525" s="101">
        <v>170762.0</v>
      </c>
      <c r="C525" s="13"/>
      <c r="D525" s="13"/>
      <c r="E525" s="13"/>
      <c r="F525" s="13"/>
      <c r="G525" s="102">
        <v>2.0</v>
      </c>
      <c r="H525" s="101" t="s">
        <v>2942</v>
      </c>
      <c r="I525" s="102">
        <v>29.9</v>
      </c>
      <c r="J525" s="102">
        <v>36.78</v>
      </c>
      <c r="K525" s="101" t="s">
        <v>2941</v>
      </c>
      <c r="L525" s="102">
        <v>23.0</v>
      </c>
      <c r="M525" s="13"/>
    </row>
    <row r="526">
      <c r="A526" s="101" t="s">
        <v>3250</v>
      </c>
      <c r="B526" s="101" t="s">
        <v>3251</v>
      </c>
      <c r="D526" s="13"/>
      <c r="E526" s="13"/>
      <c r="F526" s="13"/>
      <c r="G526" s="102">
        <v>1.0</v>
      </c>
      <c r="H526" s="101" t="s">
        <v>2940</v>
      </c>
      <c r="I526" s="102">
        <v>56.02</v>
      </c>
      <c r="J526" s="102">
        <v>68.9</v>
      </c>
      <c r="K526" s="101" t="s">
        <v>2941</v>
      </c>
      <c r="L526" s="102">
        <v>23.0</v>
      </c>
      <c r="M526" s="13"/>
    </row>
    <row r="527">
      <c r="A527" s="101" t="s">
        <v>3250</v>
      </c>
      <c r="B527" s="101" t="s">
        <v>3251</v>
      </c>
      <c r="D527" s="13"/>
      <c r="E527" s="13"/>
      <c r="F527" s="13"/>
      <c r="G527" s="102">
        <v>2.0</v>
      </c>
      <c r="H527" s="101" t="s">
        <v>2942</v>
      </c>
      <c r="I527" s="102">
        <v>44.8</v>
      </c>
      <c r="J527" s="102">
        <v>55.1</v>
      </c>
      <c r="K527" s="101" t="s">
        <v>2941</v>
      </c>
      <c r="L527" s="102">
        <v>23.0</v>
      </c>
      <c r="M527" s="13"/>
    </row>
    <row r="528">
      <c r="A528" s="101" t="s">
        <v>3252</v>
      </c>
      <c r="B528" s="101">
        <v>170341.0</v>
      </c>
      <c r="C528" s="13"/>
      <c r="D528" s="13"/>
      <c r="E528" s="13"/>
      <c r="F528" s="13"/>
      <c r="G528" s="102">
        <v>1.0</v>
      </c>
      <c r="H528" s="101" t="s">
        <v>2940</v>
      </c>
      <c r="I528" s="102">
        <v>4.88</v>
      </c>
      <c r="J528" s="102">
        <v>6.0</v>
      </c>
      <c r="K528" s="101" t="s">
        <v>2941</v>
      </c>
      <c r="L528" s="102">
        <v>23.0</v>
      </c>
      <c r="M528" s="13"/>
    </row>
    <row r="529">
      <c r="A529" s="101" t="s">
        <v>3252</v>
      </c>
      <c r="B529" s="101">
        <v>170341.0</v>
      </c>
      <c r="C529" s="13"/>
      <c r="D529" s="13"/>
      <c r="E529" s="13"/>
      <c r="F529" s="13"/>
      <c r="G529" s="102">
        <v>2.0</v>
      </c>
      <c r="H529" s="101" t="s">
        <v>2942</v>
      </c>
      <c r="I529" s="102">
        <v>3.9</v>
      </c>
      <c r="J529" s="102">
        <v>4.8</v>
      </c>
      <c r="K529" s="101" t="s">
        <v>2941</v>
      </c>
      <c r="L529" s="102">
        <v>23.0</v>
      </c>
      <c r="M529" s="13"/>
    </row>
    <row r="530">
      <c r="A530" s="101" t="s">
        <v>3253</v>
      </c>
      <c r="B530" s="101">
        <v>170342.0</v>
      </c>
      <c r="C530" s="13"/>
      <c r="D530" s="13"/>
      <c r="E530" s="13"/>
      <c r="F530" s="13"/>
      <c r="G530" s="102">
        <v>1.0</v>
      </c>
      <c r="H530" s="101" t="s">
        <v>2940</v>
      </c>
      <c r="I530" s="102">
        <v>9.76</v>
      </c>
      <c r="J530" s="102">
        <v>12.0</v>
      </c>
      <c r="K530" s="101" t="s">
        <v>2941</v>
      </c>
      <c r="L530" s="102">
        <v>23.0</v>
      </c>
      <c r="M530" s="13"/>
    </row>
    <row r="531">
      <c r="A531" s="101" t="s">
        <v>3253</v>
      </c>
      <c r="B531" s="101">
        <v>170342.0</v>
      </c>
      <c r="C531" s="13"/>
      <c r="D531" s="13"/>
      <c r="E531" s="13"/>
      <c r="F531" s="13"/>
      <c r="G531" s="102">
        <v>2.0</v>
      </c>
      <c r="H531" s="101" t="s">
        <v>2942</v>
      </c>
      <c r="I531" s="102">
        <v>7.8</v>
      </c>
      <c r="J531" s="102">
        <v>9.59</v>
      </c>
      <c r="K531" s="101" t="s">
        <v>2941</v>
      </c>
      <c r="L531" s="102">
        <v>23.0</v>
      </c>
      <c r="M531" s="13"/>
    </row>
    <row r="532">
      <c r="A532" s="101" t="s">
        <v>3254</v>
      </c>
      <c r="B532" s="101">
        <v>170343.0</v>
      </c>
      <c r="C532" s="13"/>
      <c r="D532" s="13"/>
      <c r="E532" s="13"/>
      <c r="F532" s="13"/>
      <c r="G532" s="102">
        <v>1.0</v>
      </c>
      <c r="H532" s="101" t="s">
        <v>2940</v>
      </c>
      <c r="I532" s="102">
        <v>14.55</v>
      </c>
      <c r="J532" s="102">
        <v>17.9</v>
      </c>
      <c r="K532" s="101" t="s">
        <v>2941</v>
      </c>
      <c r="L532" s="102">
        <v>23.0</v>
      </c>
      <c r="M532" s="13"/>
    </row>
    <row r="533">
      <c r="A533" s="101" t="s">
        <v>3254</v>
      </c>
      <c r="B533" s="101">
        <v>170343.0</v>
      </c>
      <c r="C533" s="13"/>
      <c r="D533" s="13"/>
      <c r="E533" s="13"/>
      <c r="F533" s="13"/>
      <c r="G533" s="102">
        <v>2.0</v>
      </c>
      <c r="H533" s="101" t="s">
        <v>2942</v>
      </c>
      <c r="I533" s="102">
        <v>11.6</v>
      </c>
      <c r="J533" s="102">
        <v>14.27</v>
      </c>
      <c r="K533" s="101" t="s">
        <v>2941</v>
      </c>
      <c r="L533" s="102">
        <v>23.0</v>
      </c>
      <c r="M533" s="13"/>
    </row>
    <row r="534">
      <c r="A534" s="101" t="s">
        <v>3255</v>
      </c>
      <c r="B534" s="101" t="s">
        <v>3256</v>
      </c>
      <c r="D534" s="13"/>
      <c r="E534" s="13"/>
      <c r="F534" s="13"/>
      <c r="G534" s="102">
        <v>1.0</v>
      </c>
      <c r="H534" s="101" t="s">
        <v>2940</v>
      </c>
      <c r="I534" s="102">
        <v>24.88</v>
      </c>
      <c r="J534" s="102">
        <v>30.6</v>
      </c>
      <c r="K534" s="101" t="s">
        <v>2941</v>
      </c>
      <c r="L534" s="102">
        <v>23.0</v>
      </c>
      <c r="M534" s="13"/>
    </row>
    <row r="535">
      <c r="A535" s="101" t="s">
        <v>3255</v>
      </c>
      <c r="B535" s="101" t="s">
        <v>3256</v>
      </c>
      <c r="D535" s="13"/>
      <c r="E535" s="13"/>
      <c r="F535" s="13"/>
      <c r="G535" s="102">
        <v>2.0</v>
      </c>
      <c r="H535" s="101" t="s">
        <v>2942</v>
      </c>
      <c r="I535" s="102">
        <v>19.9</v>
      </c>
      <c r="J535" s="102">
        <v>24.48</v>
      </c>
      <c r="K535" s="101" t="s">
        <v>2941</v>
      </c>
      <c r="L535" s="102">
        <v>23.0</v>
      </c>
      <c r="M535" s="13"/>
    </row>
    <row r="536">
      <c r="A536" s="101" t="s">
        <v>3257</v>
      </c>
      <c r="B536" s="101" t="s">
        <v>3258</v>
      </c>
      <c r="D536" s="13"/>
      <c r="E536" s="13"/>
      <c r="F536" s="13"/>
      <c r="G536" s="102">
        <v>1.0</v>
      </c>
      <c r="H536" s="101" t="s">
        <v>2940</v>
      </c>
      <c r="I536" s="102">
        <v>49.67</v>
      </c>
      <c r="J536" s="102">
        <v>61.09</v>
      </c>
      <c r="K536" s="101" t="s">
        <v>2941</v>
      </c>
      <c r="L536" s="102">
        <v>23.0</v>
      </c>
      <c r="M536" s="13"/>
    </row>
    <row r="537">
      <c r="A537" s="101" t="s">
        <v>3257</v>
      </c>
      <c r="B537" s="101" t="s">
        <v>3258</v>
      </c>
      <c r="D537" s="13"/>
      <c r="E537" s="13"/>
      <c r="F537" s="13"/>
      <c r="G537" s="102">
        <v>2.0</v>
      </c>
      <c r="H537" s="101" t="s">
        <v>2942</v>
      </c>
      <c r="I537" s="102">
        <v>39.7</v>
      </c>
      <c r="J537" s="102">
        <v>48.83</v>
      </c>
      <c r="K537" s="101" t="s">
        <v>2941</v>
      </c>
      <c r="L537" s="102">
        <v>23.0</v>
      </c>
      <c r="M537" s="13"/>
    </row>
    <row r="538">
      <c r="A538" s="101" t="s">
        <v>3259</v>
      </c>
      <c r="B538" s="101" t="s">
        <v>3260</v>
      </c>
      <c r="D538" s="13"/>
      <c r="E538" s="13"/>
      <c r="F538" s="13"/>
      <c r="G538" s="102">
        <v>1.0</v>
      </c>
      <c r="H538" s="101" t="s">
        <v>2940</v>
      </c>
      <c r="I538" s="102">
        <v>74.55</v>
      </c>
      <c r="J538" s="102">
        <v>91.7</v>
      </c>
      <c r="K538" s="101" t="s">
        <v>2941</v>
      </c>
      <c r="L538" s="102">
        <v>23.0</v>
      </c>
      <c r="M538" s="13"/>
    </row>
    <row r="539">
      <c r="A539" s="101" t="s">
        <v>3259</v>
      </c>
      <c r="B539" s="101" t="s">
        <v>3260</v>
      </c>
      <c r="D539" s="13"/>
      <c r="E539" s="13"/>
      <c r="F539" s="13"/>
      <c r="G539" s="102">
        <v>2.0</v>
      </c>
      <c r="H539" s="101" t="s">
        <v>2942</v>
      </c>
      <c r="I539" s="102">
        <v>59.6</v>
      </c>
      <c r="J539" s="102">
        <v>73.31</v>
      </c>
      <c r="K539" s="101" t="s">
        <v>2941</v>
      </c>
      <c r="L539" s="102">
        <v>23.0</v>
      </c>
      <c r="M539" s="13"/>
    </row>
    <row r="540">
      <c r="A540" s="101" t="s">
        <v>3261</v>
      </c>
      <c r="B540" s="101" t="s">
        <v>3262</v>
      </c>
      <c r="D540" s="13"/>
      <c r="E540" s="13"/>
      <c r="F540" s="13"/>
      <c r="G540" s="102">
        <v>1.0</v>
      </c>
      <c r="H540" s="101" t="s">
        <v>2940</v>
      </c>
      <c r="I540" s="102">
        <v>28.29</v>
      </c>
      <c r="J540" s="102">
        <v>34.8</v>
      </c>
      <c r="K540" s="101" t="s">
        <v>2941</v>
      </c>
      <c r="L540" s="102">
        <v>23.0</v>
      </c>
      <c r="M540" s="13"/>
    </row>
    <row r="541">
      <c r="A541" s="101" t="s">
        <v>3261</v>
      </c>
      <c r="B541" s="101" t="s">
        <v>3262</v>
      </c>
      <c r="D541" s="13"/>
      <c r="E541" s="13"/>
      <c r="F541" s="13"/>
      <c r="G541" s="102">
        <v>2.0</v>
      </c>
      <c r="H541" s="101" t="s">
        <v>2942</v>
      </c>
      <c r="I541" s="102">
        <v>22.6</v>
      </c>
      <c r="J541" s="102">
        <v>27.8</v>
      </c>
      <c r="K541" s="101" t="s">
        <v>2941</v>
      </c>
      <c r="L541" s="102">
        <v>23.0</v>
      </c>
      <c r="M541" s="13"/>
    </row>
    <row r="542">
      <c r="A542" s="101" t="s">
        <v>3263</v>
      </c>
      <c r="B542" s="101" t="s">
        <v>3264</v>
      </c>
      <c r="D542" s="13"/>
      <c r="E542" s="13"/>
      <c r="F542" s="13"/>
      <c r="G542" s="102">
        <v>1.0</v>
      </c>
      <c r="H542" s="101" t="s">
        <v>2940</v>
      </c>
      <c r="I542" s="102">
        <v>56.42</v>
      </c>
      <c r="J542" s="102">
        <v>69.4</v>
      </c>
      <c r="K542" s="101" t="s">
        <v>2941</v>
      </c>
      <c r="L542" s="102">
        <v>23.0</v>
      </c>
      <c r="M542" s="13"/>
    </row>
    <row r="543">
      <c r="A543" s="101" t="s">
        <v>3263</v>
      </c>
      <c r="B543" s="101" t="s">
        <v>3264</v>
      </c>
      <c r="D543" s="13"/>
      <c r="E543" s="13"/>
      <c r="F543" s="13"/>
      <c r="G543" s="102">
        <v>2.0</v>
      </c>
      <c r="H543" s="101" t="s">
        <v>2942</v>
      </c>
      <c r="I543" s="102">
        <v>45.1</v>
      </c>
      <c r="J543" s="102">
        <v>55.47</v>
      </c>
      <c r="K543" s="101" t="s">
        <v>2941</v>
      </c>
      <c r="L543" s="102">
        <v>23.0</v>
      </c>
      <c r="M543" s="13"/>
    </row>
    <row r="544">
      <c r="A544" s="101" t="s">
        <v>3265</v>
      </c>
      <c r="B544" s="101" t="s">
        <v>3266</v>
      </c>
      <c r="D544" s="13"/>
      <c r="E544" s="13"/>
      <c r="F544" s="13"/>
      <c r="G544" s="102">
        <v>1.0</v>
      </c>
      <c r="H544" s="101" t="s">
        <v>2940</v>
      </c>
      <c r="I544" s="102">
        <v>84.72</v>
      </c>
      <c r="J544" s="102">
        <v>104.21</v>
      </c>
      <c r="K544" s="101" t="s">
        <v>2941</v>
      </c>
      <c r="L544" s="102">
        <v>23.0</v>
      </c>
      <c r="M544" s="13"/>
    </row>
    <row r="545">
      <c r="A545" s="101" t="s">
        <v>3265</v>
      </c>
      <c r="B545" s="101" t="s">
        <v>3266</v>
      </c>
      <c r="D545" s="13"/>
      <c r="E545" s="13"/>
      <c r="F545" s="13"/>
      <c r="G545" s="102">
        <v>2.0</v>
      </c>
      <c r="H545" s="101" t="s">
        <v>2942</v>
      </c>
      <c r="I545" s="102">
        <v>67.8</v>
      </c>
      <c r="J545" s="102">
        <v>83.39</v>
      </c>
      <c r="K545" s="101" t="s">
        <v>2941</v>
      </c>
      <c r="L545" s="102">
        <v>23.0</v>
      </c>
      <c r="M545" s="13"/>
    </row>
    <row r="546">
      <c r="A546" s="101" t="s">
        <v>3267</v>
      </c>
      <c r="B546" s="101">
        <v>314.0</v>
      </c>
      <c r="C546" s="13"/>
      <c r="D546" s="13"/>
      <c r="E546" s="13"/>
      <c r="F546" s="13"/>
      <c r="G546" s="102">
        <v>1.0</v>
      </c>
      <c r="H546" s="101" t="s">
        <v>2940</v>
      </c>
      <c r="I546" s="102">
        <v>50.24</v>
      </c>
      <c r="J546" s="102">
        <v>61.8</v>
      </c>
      <c r="K546" s="101" t="s">
        <v>2941</v>
      </c>
      <c r="L546" s="102">
        <v>23.0</v>
      </c>
      <c r="M546" s="13"/>
    </row>
    <row r="547">
      <c r="A547" s="101" t="s">
        <v>3267</v>
      </c>
      <c r="B547" s="101">
        <v>314.0</v>
      </c>
      <c r="C547" s="13"/>
      <c r="D547" s="13"/>
      <c r="E547" s="13"/>
      <c r="F547" s="13"/>
      <c r="G547" s="102">
        <v>2.0</v>
      </c>
      <c r="H547" s="101" t="s">
        <v>2942</v>
      </c>
      <c r="I547" s="102">
        <v>50.2</v>
      </c>
      <c r="J547" s="102">
        <v>61.75</v>
      </c>
      <c r="K547" s="101" t="s">
        <v>2941</v>
      </c>
      <c r="L547" s="102">
        <v>23.0</v>
      </c>
      <c r="M547" s="13"/>
    </row>
    <row r="548">
      <c r="A548" s="101" t="s">
        <v>3268</v>
      </c>
      <c r="B548" s="101" t="s">
        <v>3269</v>
      </c>
      <c r="D548" s="13"/>
      <c r="E548" s="13"/>
      <c r="F548" s="13"/>
      <c r="G548" s="102">
        <v>1.0</v>
      </c>
      <c r="H548" s="101" t="s">
        <v>2940</v>
      </c>
      <c r="I548" s="102">
        <v>100.41</v>
      </c>
      <c r="J548" s="102">
        <v>123.5</v>
      </c>
      <c r="K548" s="101" t="s">
        <v>2941</v>
      </c>
      <c r="L548" s="102">
        <v>23.0</v>
      </c>
      <c r="M548" s="13"/>
    </row>
    <row r="549">
      <c r="A549" s="101" t="s">
        <v>3268</v>
      </c>
      <c r="B549" s="101" t="s">
        <v>3269</v>
      </c>
      <c r="D549" s="13"/>
      <c r="E549" s="13"/>
      <c r="F549" s="13"/>
      <c r="G549" s="102">
        <v>2.0</v>
      </c>
      <c r="H549" s="101" t="s">
        <v>2942</v>
      </c>
      <c r="I549" s="102">
        <v>100.4</v>
      </c>
      <c r="J549" s="102">
        <v>123.49</v>
      </c>
      <c r="K549" s="101" t="s">
        <v>2941</v>
      </c>
      <c r="L549" s="102">
        <v>23.0</v>
      </c>
      <c r="M549" s="13"/>
    </row>
    <row r="550">
      <c r="A550" s="101" t="s">
        <v>3270</v>
      </c>
      <c r="B550" s="101" t="s">
        <v>3271</v>
      </c>
      <c r="D550" s="13"/>
      <c r="E550" s="13"/>
      <c r="F550" s="13"/>
      <c r="G550" s="102">
        <v>1.0</v>
      </c>
      <c r="H550" s="101" t="s">
        <v>2940</v>
      </c>
      <c r="I550" s="102">
        <v>14.07</v>
      </c>
      <c r="J550" s="102">
        <v>17.31</v>
      </c>
      <c r="K550" s="101" t="s">
        <v>2941</v>
      </c>
      <c r="L550" s="102">
        <v>23.0</v>
      </c>
      <c r="M550" s="13"/>
    </row>
    <row r="551">
      <c r="A551" s="101" t="s">
        <v>3270</v>
      </c>
      <c r="B551" s="101" t="s">
        <v>3271</v>
      </c>
      <c r="D551" s="13"/>
      <c r="E551" s="13"/>
      <c r="F551" s="13"/>
      <c r="G551" s="102">
        <v>2.0</v>
      </c>
      <c r="H551" s="101" t="s">
        <v>2942</v>
      </c>
      <c r="I551" s="102">
        <v>11.3</v>
      </c>
      <c r="J551" s="102">
        <v>13.9</v>
      </c>
      <c r="K551" s="101" t="s">
        <v>2941</v>
      </c>
      <c r="L551" s="102">
        <v>23.0</v>
      </c>
      <c r="M551" s="13"/>
    </row>
    <row r="552">
      <c r="A552" s="101" t="s">
        <v>3272</v>
      </c>
      <c r="B552" s="101" t="s">
        <v>3273</v>
      </c>
      <c r="D552" s="13"/>
      <c r="E552" s="13"/>
      <c r="F552" s="13"/>
      <c r="G552" s="102">
        <v>1.0</v>
      </c>
      <c r="H552" s="101" t="s">
        <v>2940</v>
      </c>
      <c r="I552" s="102">
        <v>27.97</v>
      </c>
      <c r="J552" s="102">
        <v>34.4</v>
      </c>
      <c r="K552" s="101" t="s">
        <v>2941</v>
      </c>
      <c r="L552" s="102">
        <v>23.0</v>
      </c>
      <c r="M552" s="13"/>
    </row>
    <row r="553">
      <c r="A553" s="101" t="s">
        <v>3272</v>
      </c>
      <c r="B553" s="101" t="s">
        <v>3273</v>
      </c>
      <c r="D553" s="13"/>
      <c r="E553" s="13"/>
      <c r="F553" s="13"/>
      <c r="G553" s="102">
        <v>2.0</v>
      </c>
      <c r="H553" s="101" t="s">
        <v>2942</v>
      </c>
      <c r="I553" s="102">
        <v>22.4</v>
      </c>
      <c r="J553" s="102">
        <v>27.55</v>
      </c>
      <c r="K553" s="101" t="s">
        <v>2941</v>
      </c>
      <c r="L553" s="102">
        <v>23.0</v>
      </c>
      <c r="M553" s="13"/>
    </row>
    <row r="554">
      <c r="A554" s="101" t="s">
        <v>3274</v>
      </c>
      <c r="B554" s="101" t="s">
        <v>3275</v>
      </c>
      <c r="D554" s="13"/>
      <c r="E554" s="13"/>
      <c r="F554" s="13"/>
      <c r="G554" s="102">
        <v>1.0</v>
      </c>
      <c r="H554" s="101" t="s">
        <v>2940</v>
      </c>
      <c r="I554" s="102">
        <v>42.03</v>
      </c>
      <c r="J554" s="102">
        <v>51.7</v>
      </c>
      <c r="K554" s="101" t="s">
        <v>2941</v>
      </c>
      <c r="L554" s="102">
        <v>23.0</v>
      </c>
      <c r="M554" s="13"/>
    </row>
    <row r="555">
      <c r="A555" s="101" t="s">
        <v>3274</v>
      </c>
      <c r="B555" s="101" t="s">
        <v>3275</v>
      </c>
      <c r="D555" s="13"/>
      <c r="E555" s="13"/>
      <c r="F555" s="13"/>
      <c r="G555" s="102">
        <v>2.0</v>
      </c>
      <c r="H555" s="101" t="s">
        <v>2942</v>
      </c>
      <c r="I555" s="102">
        <v>33.6</v>
      </c>
      <c r="J555" s="102">
        <v>41.33</v>
      </c>
      <c r="K555" s="101" t="s">
        <v>2941</v>
      </c>
      <c r="L555" s="102">
        <v>23.0</v>
      </c>
      <c r="M555" s="13"/>
    </row>
    <row r="556">
      <c r="A556" s="101" t="s">
        <v>3276</v>
      </c>
      <c r="B556" s="101">
        <v>2201.0</v>
      </c>
      <c r="C556" s="13"/>
      <c r="D556" s="13"/>
      <c r="E556" s="13"/>
      <c r="F556" s="13"/>
      <c r="G556" s="102">
        <v>1.0</v>
      </c>
      <c r="H556" s="101" t="s">
        <v>2940</v>
      </c>
      <c r="I556" s="102">
        <v>25.05</v>
      </c>
      <c r="J556" s="102">
        <v>30.81</v>
      </c>
      <c r="K556" s="101" t="s">
        <v>2941</v>
      </c>
      <c r="L556" s="102">
        <v>23.0</v>
      </c>
      <c r="M556" s="13"/>
    </row>
    <row r="557">
      <c r="A557" s="101" t="s">
        <v>3276</v>
      </c>
      <c r="B557" s="101">
        <v>2201.0</v>
      </c>
      <c r="C557" s="13"/>
      <c r="D557" s="13"/>
      <c r="E557" s="13"/>
      <c r="F557" s="13"/>
      <c r="G557" s="102">
        <v>2.0</v>
      </c>
      <c r="H557" s="101" t="s">
        <v>2942</v>
      </c>
      <c r="I557" s="102">
        <v>25.05</v>
      </c>
      <c r="J557" s="102">
        <v>30.81</v>
      </c>
      <c r="K557" s="101" t="s">
        <v>2941</v>
      </c>
      <c r="L557" s="102">
        <v>23.0</v>
      </c>
      <c r="M557" s="13"/>
    </row>
    <row r="558">
      <c r="A558" s="101" t="s">
        <v>3277</v>
      </c>
      <c r="B558" s="101">
        <v>2202.0</v>
      </c>
      <c r="C558" s="13"/>
      <c r="D558" s="13"/>
      <c r="E558" s="13"/>
      <c r="F558" s="13"/>
      <c r="G558" s="102">
        <v>1.0</v>
      </c>
      <c r="H558" s="101" t="s">
        <v>2940</v>
      </c>
      <c r="I558" s="102">
        <v>50.1</v>
      </c>
      <c r="J558" s="102">
        <v>61.62</v>
      </c>
      <c r="K558" s="101" t="s">
        <v>2941</v>
      </c>
      <c r="L558" s="102">
        <v>23.0</v>
      </c>
      <c r="M558" s="13"/>
    </row>
    <row r="559">
      <c r="A559" s="101" t="s">
        <v>3277</v>
      </c>
      <c r="B559" s="101">
        <v>2202.0</v>
      </c>
      <c r="C559" s="13"/>
      <c r="D559" s="13"/>
      <c r="E559" s="13"/>
      <c r="F559" s="13"/>
      <c r="G559" s="102">
        <v>2.0</v>
      </c>
      <c r="H559" s="101" t="s">
        <v>2942</v>
      </c>
      <c r="I559" s="102">
        <v>50.1</v>
      </c>
      <c r="J559" s="102">
        <v>61.62</v>
      </c>
      <c r="K559" s="101" t="s">
        <v>2941</v>
      </c>
      <c r="L559" s="102">
        <v>23.0</v>
      </c>
      <c r="M559" s="13"/>
    </row>
    <row r="560">
      <c r="A560" s="101" t="s">
        <v>3278</v>
      </c>
      <c r="B560" s="101">
        <v>2203.0</v>
      </c>
      <c r="C560" s="13"/>
      <c r="D560" s="13"/>
      <c r="E560" s="13"/>
      <c r="F560" s="13"/>
      <c r="G560" s="102">
        <v>1.0</v>
      </c>
      <c r="H560" s="101" t="s">
        <v>2940</v>
      </c>
      <c r="I560" s="102">
        <v>78.94</v>
      </c>
      <c r="J560" s="102">
        <v>97.1</v>
      </c>
      <c r="K560" s="101" t="s">
        <v>2941</v>
      </c>
      <c r="L560" s="102">
        <v>23.0</v>
      </c>
      <c r="M560" s="13"/>
    </row>
    <row r="561">
      <c r="A561" s="101" t="s">
        <v>3278</v>
      </c>
      <c r="B561" s="101">
        <v>2203.0</v>
      </c>
      <c r="C561" s="13"/>
      <c r="D561" s="13"/>
      <c r="E561" s="13"/>
      <c r="F561" s="13"/>
      <c r="G561" s="102">
        <v>2.0</v>
      </c>
      <c r="H561" s="101" t="s">
        <v>2942</v>
      </c>
      <c r="I561" s="102">
        <v>78.9</v>
      </c>
      <c r="J561" s="102">
        <v>97.05</v>
      </c>
      <c r="K561" s="101" t="s">
        <v>2941</v>
      </c>
      <c r="L561" s="102">
        <v>23.0</v>
      </c>
      <c r="M561" s="13"/>
    </row>
    <row r="562">
      <c r="A562" s="101" t="s">
        <v>3279</v>
      </c>
      <c r="B562" s="101">
        <v>1616.0</v>
      </c>
      <c r="C562" s="13"/>
      <c r="D562" s="13"/>
      <c r="E562" s="13"/>
      <c r="F562" s="13"/>
      <c r="G562" s="102">
        <v>1.0</v>
      </c>
      <c r="H562" s="101" t="s">
        <v>2940</v>
      </c>
      <c r="I562" s="102">
        <v>55.6</v>
      </c>
      <c r="J562" s="102">
        <v>68.39</v>
      </c>
      <c r="K562" s="101" t="s">
        <v>2941</v>
      </c>
      <c r="L562" s="102">
        <v>23.0</v>
      </c>
      <c r="M562" s="13"/>
    </row>
    <row r="563">
      <c r="A563" s="101" t="s">
        <v>3279</v>
      </c>
      <c r="B563" s="101">
        <v>1616.0</v>
      </c>
      <c r="C563" s="13"/>
      <c r="D563" s="13"/>
      <c r="E563" s="13"/>
      <c r="F563" s="13"/>
      <c r="G563" s="102">
        <v>2.0</v>
      </c>
      <c r="H563" s="101" t="s">
        <v>2942</v>
      </c>
      <c r="I563" s="102">
        <v>55.6</v>
      </c>
      <c r="J563" s="102">
        <v>68.39</v>
      </c>
      <c r="K563" s="101" t="s">
        <v>2941</v>
      </c>
      <c r="L563" s="102">
        <v>23.0</v>
      </c>
      <c r="M563" s="13"/>
    </row>
    <row r="564">
      <c r="A564" s="101" t="s">
        <v>3280</v>
      </c>
      <c r="B564" s="101">
        <v>1615.0</v>
      </c>
      <c r="C564" s="13"/>
      <c r="D564" s="13"/>
      <c r="E564" s="13"/>
      <c r="F564" s="13"/>
      <c r="G564" s="102">
        <v>1.0</v>
      </c>
      <c r="H564" s="101" t="s">
        <v>2940</v>
      </c>
      <c r="I564" s="102">
        <v>55.6</v>
      </c>
      <c r="J564" s="102">
        <v>68.39</v>
      </c>
      <c r="K564" s="101" t="s">
        <v>2941</v>
      </c>
      <c r="L564" s="102">
        <v>23.0</v>
      </c>
      <c r="M564" s="13"/>
    </row>
    <row r="565">
      <c r="A565" s="101" t="s">
        <v>3280</v>
      </c>
      <c r="B565" s="101">
        <v>1615.0</v>
      </c>
      <c r="C565" s="13"/>
      <c r="D565" s="13"/>
      <c r="E565" s="13"/>
      <c r="F565" s="13"/>
      <c r="G565" s="102">
        <v>2.0</v>
      </c>
      <c r="H565" s="101" t="s">
        <v>2942</v>
      </c>
      <c r="I565" s="102">
        <v>55.6</v>
      </c>
      <c r="J565" s="102">
        <v>68.39</v>
      </c>
      <c r="K565" s="101" t="s">
        <v>2941</v>
      </c>
      <c r="L565" s="102">
        <v>23.0</v>
      </c>
      <c r="M565" s="13"/>
    </row>
    <row r="566">
      <c r="A566" s="101" t="s">
        <v>3281</v>
      </c>
      <c r="B566" s="101">
        <v>171111.0</v>
      </c>
      <c r="C566" s="13"/>
      <c r="D566" s="13"/>
      <c r="E566" s="13"/>
      <c r="F566" s="13"/>
      <c r="G566" s="102">
        <v>1.0</v>
      </c>
      <c r="H566" s="101" t="s">
        <v>2940</v>
      </c>
      <c r="I566" s="102">
        <v>27.56</v>
      </c>
      <c r="J566" s="102">
        <v>33.9</v>
      </c>
      <c r="K566" s="101" t="s">
        <v>2941</v>
      </c>
      <c r="L566" s="102">
        <v>23.0</v>
      </c>
      <c r="M566" s="13"/>
    </row>
    <row r="567">
      <c r="A567" s="101" t="s">
        <v>3281</v>
      </c>
      <c r="B567" s="101">
        <v>171111.0</v>
      </c>
      <c r="C567" s="13"/>
      <c r="D567" s="13"/>
      <c r="E567" s="13"/>
      <c r="F567" s="13"/>
      <c r="G567" s="102">
        <v>2.0</v>
      </c>
      <c r="H567" s="101" t="s">
        <v>2942</v>
      </c>
      <c r="I567" s="102">
        <v>22.0</v>
      </c>
      <c r="J567" s="102">
        <v>27.06</v>
      </c>
      <c r="K567" s="101" t="s">
        <v>2941</v>
      </c>
      <c r="L567" s="102">
        <v>23.0</v>
      </c>
      <c r="M567" s="13"/>
    </row>
    <row r="568">
      <c r="A568" s="101" t="s">
        <v>3282</v>
      </c>
      <c r="B568" s="101">
        <v>171112.0</v>
      </c>
      <c r="C568" s="13"/>
      <c r="D568" s="13"/>
      <c r="E568" s="13"/>
      <c r="F568" s="13"/>
      <c r="G568" s="102">
        <v>1.0</v>
      </c>
      <c r="H568" s="101" t="s">
        <v>2940</v>
      </c>
      <c r="I568" s="102">
        <v>55.04</v>
      </c>
      <c r="J568" s="102">
        <v>67.7</v>
      </c>
      <c r="K568" s="101" t="s">
        <v>2941</v>
      </c>
      <c r="L568" s="102">
        <v>23.0</v>
      </c>
      <c r="M568" s="13"/>
    </row>
    <row r="569">
      <c r="A569" s="101" t="s">
        <v>3282</v>
      </c>
      <c r="B569" s="101">
        <v>171112.0</v>
      </c>
      <c r="C569" s="13"/>
      <c r="D569" s="13"/>
      <c r="E569" s="13"/>
      <c r="F569" s="13"/>
      <c r="G569" s="102">
        <v>2.0</v>
      </c>
      <c r="H569" s="101" t="s">
        <v>2942</v>
      </c>
      <c r="I569" s="102">
        <v>44.0</v>
      </c>
      <c r="J569" s="102">
        <v>54.12</v>
      </c>
      <c r="K569" s="101" t="s">
        <v>2941</v>
      </c>
      <c r="L569" s="102">
        <v>23.0</v>
      </c>
      <c r="M569" s="13"/>
    </row>
    <row r="570">
      <c r="A570" s="101" t="s">
        <v>3283</v>
      </c>
      <c r="B570" s="101">
        <v>171113.0</v>
      </c>
      <c r="C570" s="13"/>
      <c r="D570" s="13"/>
      <c r="E570" s="13"/>
      <c r="F570" s="13"/>
      <c r="G570" s="102">
        <v>1.0</v>
      </c>
      <c r="H570" s="101" t="s">
        <v>2940</v>
      </c>
      <c r="I570" s="102">
        <v>82.52</v>
      </c>
      <c r="J570" s="102">
        <v>101.5</v>
      </c>
      <c r="K570" s="101" t="s">
        <v>2941</v>
      </c>
      <c r="L570" s="102">
        <v>23.0</v>
      </c>
      <c r="M570" s="13"/>
    </row>
    <row r="571">
      <c r="A571" s="101" t="s">
        <v>3283</v>
      </c>
      <c r="B571" s="101">
        <v>171113.0</v>
      </c>
      <c r="C571" s="13"/>
      <c r="D571" s="13"/>
      <c r="E571" s="13"/>
      <c r="F571" s="13"/>
      <c r="G571" s="102">
        <v>2.0</v>
      </c>
      <c r="H571" s="101" t="s">
        <v>2942</v>
      </c>
      <c r="I571" s="102">
        <v>66.0</v>
      </c>
      <c r="J571" s="102">
        <v>81.18</v>
      </c>
      <c r="K571" s="101" t="s">
        <v>2941</v>
      </c>
      <c r="L571" s="102">
        <v>23.0</v>
      </c>
      <c r="M571" s="13"/>
    </row>
    <row r="572">
      <c r="A572" s="101" t="s">
        <v>3284</v>
      </c>
      <c r="B572" s="101">
        <v>170391.0</v>
      </c>
      <c r="C572" s="13"/>
      <c r="D572" s="13"/>
      <c r="E572" s="13"/>
      <c r="F572" s="13"/>
      <c r="G572" s="102">
        <v>1.0</v>
      </c>
      <c r="H572" s="101" t="s">
        <v>2940</v>
      </c>
      <c r="I572" s="102">
        <v>12.52</v>
      </c>
      <c r="J572" s="102">
        <v>15.4</v>
      </c>
      <c r="K572" s="101" t="s">
        <v>2941</v>
      </c>
      <c r="L572" s="102">
        <v>23.0</v>
      </c>
      <c r="M572" s="13"/>
    </row>
    <row r="573">
      <c r="A573" s="101" t="s">
        <v>3284</v>
      </c>
      <c r="B573" s="101">
        <v>170391.0</v>
      </c>
      <c r="C573" s="13"/>
      <c r="D573" s="13"/>
      <c r="E573" s="13"/>
      <c r="F573" s="13"/>
      <c r="G573" s="102">
        <v>2.0</v>
      </c>
      <c r="H573" s="101" t="s">
        <v>2942</v>
      </c>
      <c r="I573" s="102">
        <v>10.0</v>
      </c>
      <c r="J573" s="102">
        <v>12.3</v>
      </c>
      <c r="K573" s="101" t="s">
        <v>2941</v>
      </c>
      <c r="L573" s="102">
        <v>23.0</v>
      </c>
      <c r="M573" s="13"/>
    </row>
    <row r="574">
      <c r="A574" s="101" t="s">
        <v>3285</v>
      </c>
      <c r="B574" s="101">
        <v>170392.0</v>
      </c>
      <c r="C574" s="13"/>
      <c r="D574" s="13"/>
      <c r="E574" s="13"/>
      <c r="F574" s="13"/>
      <c r="G574" s="102">
        <v>1.0</v>
      </c>
      <c r="H574" s="101" t="s">
        <v>2940</v>
      </c>
      <c r="I574" s="102">
        <v>24.96</v>
      </c>
      <c r="J574" s="102">
        <v>30.7</v>
      </c>
      <c r="K574" s="101" t="s">
        <v>2941</v>
      </c>
      <c r="L574" s="102">
        <v>23.0</v>
      </c>
      <c r="M574" s="13"/>
    </row>
    <row r="575">
      <c r="A575" s="101" t="s">
        <v>3285</v>
      </c>
      <c r="B575" s="101">
        <v>170392.0</v>
      </c>
      <c r="C575" s="13"/>
      <c r="D575" s="13"/>
      <c r="E575" s="13"/>
      <c r="F575" s="13"/>
      <c r="G575" s="102">
        <v>2.0</v>
      </c>
      <c r="H575" s="101" t="s">
        <v>2942</v>
      </c>
      <c r="I575" s="102">
        <v>20.0</v>
      </c>
      <c r="J575" s="102">
        <v>24.6</v>
      </c>
      <c r="K575" s="101" t="s">
        <v>2941</v>
      </c>
      <c r="L575" s="102">
        <v>23.0</v>
      </c>
      <c r="M575" s="13"/>
    </row>
    <row r="576">
      <c r="A576" s="101" t="s">
        <v>3286</v>
      </c>
      <c r="B576" s="101">
        <v>170393.0</v>
      </c>
      <c r="C576" s="13"/>
      <c r="D576" s="13"/>
      <c r="E576" s="13"/>
      <c r="F576" s="13"/>
      <c r="G576" s="102">
        <v>1.0</v>
      </c>
      <c r="H576" s="101" t="s">
        <v>2940</v>
      </c>
      <c r="I576" s="102">
        <v>37.48</v>
      </c>
      <c r="J576" s="102">
        <v>46.1</v>
      </c>
      <c r="K576" s="101" t="s">
        <v>2941</v>
      </c>
      <c r="L576" s="102">
        <v>23.0</v>
      </c>
      <c r="M576" s="13"/>
    </row>
    <row r="577">
      <c r="A577" s="101" t="s">
        <v>3286</v>
      </c>
      <c r="B577" s="101">
        <v>170393.0</v>
      </c>
      <c r="C577" s="13"/>
      <c r="D577" s="13"/>
      <c r="E577" s="13"/>
      <c r="F577" s="13"/>
      <c r="G577" s="102">
        <v>2.0</v>
      </c>
      <c r="H577" s="101" t="s">
        <v>2942</v>
      </c>
      <c r="I577" s="102">
        <v>30.0</v>
      </c>
      <c r="J577" s="102">
        <v>36.9</v>
      </c>
      <c r="K577" s="101" t="s">
        <v>2941</v>
      </c>
      <c r="L577" s="102">
        <v>23.0</v>
      </c>
      <c r="M577" s="13"/>
    </row>
    <row r="578">
      <c r="A578" s="101" t="s">
        <v>3287</v>
      </c>
      <c r="B578" s="101">
        <v>170811.0</v>
      </c>
      <c r="C578" s="13"/>
      <c r="D578" s="13"/>
      <c r="E578" s="13"/>
      <c r="F578" s="13"/>
      <c r="G578" s="102">
        <v>1.0</v>
      </c>
      <c r="H578" s="101" t="s">
        <v>2940</v>
      </c>
      <c r="I578" s="102">
        <v>62.44</v>
      </c>
      <c r="J578" s="102">
        <v>76.8</v>
      </c>
      <c r="K578" s="101" t="s">
        <v>2941</v>
      </c>
      <c r="L578" s="102">
        <v>23.0</v>
      </c>
      <c r="M578" s="13"/>
    </row>
    <row r="579">
      <c r="A579" s="101" t="s">
        <v>3287</v>
      </c>
      <c r="B579" s="101">
        <v>170811.0</v>
      </c>
      <c r="C579" s="13"/>
      <c r="D579" s="13"/>
      <c r="E579" s="13"/>
      <c r="F579" s="13"/>
      <c r="G579" s="102">
        <v>2.0</v>
      </c>
      <c r="H579" s="101" t="s">
        <v>2942</v>
      </c>
      <c r="I579" s="102">
        <v>50.0</v>
      </c>
      <c r="J579" s="102">
        <v>61.5</v>
      </c>
      <c r="K579" s="101" t="s">
        <v>2941</v>
      </c>
      <c r="L579" s="102">
        <v>23.0</v>
      </c>
      <c r="M579" s="13"/>
    </row>
    <row r="580">
      <c r="A580" s="101" t="s">
        <v>3288</v>
      </c>
      <c r="B580" s="101">
        <v>170812.0</v>
      </c>
      <c r="C580" s="13"/>
      <c r="D580" s="13"/>
      <c r="E580" s="13"/>
      <c r="F580" s="13"/>
      <c r="G580" s="102">
        <v>1.0</v>
      </c>
      <c r="H580" s="101" t="s">
        <v>2940</v>
      </c>
      <c r="I580" s="102">
        <v>124.8</v>
      </c>
      <c r="J580" s="102">
        <v>153.5</v>
      </c>
      <c r="K580" s="101" t="s">
        <v>2941</v>
      </c>
      <c r="L580" s="102">
        <v>23.0</v>
      </c>
      <c r="M580" s="13"/>
    </row>
    <row r="581">
      <c r="A581" s="101" t="s">
        <v>3288</v>
      </c>
      <c r="B581" s="101">
        <v>170812.0</v>
      </c>
      <c r="C581" s="13"/>
      <c r="D581" s="13"/>
      <c r="E581" s="13"/>
      <c r="F581" s="13"/>
      <c r="G581" s="102">
        <v>2.0</v>
      </c>
      <c r="H581" s="101" t="s">
        <v>2942</v>
      </c>
      <c r="I581" s="102">
        <v>99.8</v>
      </c>
      <c r="J581" s="102">
        <v>122.75</v>
      </c>
      <c r="K581" s="101" t="s">
        <v>2941</v>
      </c>
      <c r="L581" s="102">
        <v>23.0</v>
      </c>
      <c r="M581" s="13"/>
    </row>
    <row r="582">
      <c r="A582" s="101" t="s">
        <v>3289</v>
      </c>
      <c r="B582" s="101">
        <v>170813.0</v>
      </c>
      <c r="C582" s="13"/>
      <c r="D582" s="13"/>
      <c r="E582" s="13"/>
      <c r="F582" s="13"/>
      <c r="G582" s="102">
        <v>1.0</v>
      </c>
      <c r="H582" s="101" t="s">
        <v>2940</v>
      </c>
      <c r="I582" s="102">
        <v>187.32</v>
      </c>
      <c r="J582" s="102">
        <v>230.4</v>
      </c>
      <c r="K582" s="101" t="s">
        <v>2941</v>
      </c>
      <c r="L582" s="102">
        <v>23.0</v>
      </c>
      <c r="M582" s="13"/>
    </row>
    <row r="583">
      <c r="A583" s="101" t="s">
        <v>3289</v>
      </c>
      <c r="B583" s="101">
        <v>170813.0</v>
      </c>
      <c r="C583" s="13"/>
      <c r="D583" s="13"/>
      <c r="E583" s="13"/>
      <c r="F583" s="13"/>
      <c r="G583" s="102">
        <v>2.0</v>
      </c>
      <c r="H583" s="101" t="s">
        <v>2942</v>
      </c>
      <c r="I583" s="102">
        <v>149.9</v>
      </c>
      <c r="J583" s="102">
        <v>184.38</v>
      </c>
      <c r="K583" s="101" t="s">
        <v>2941</v>
      </c>
      <c r="L583" s="102">
        <v>23.0</v>
      </c>
      <c r="M583" s="13"/>
    </row>
    <row r="584">
      <c r="A584" s="101" t="s">
        <v>3290</v>
      </c>
      <c r="B584" s="101">
        <v>170821.0</v>
      </c>
      <c r="C584" s="13"/>
      <c r="D584" s="13"/>
      <c r="E584" s="13"/>
      <c r="F584" s="13"/>
      <c r="G584" s="102">
        <v>1.0</v>
      </c>
      <c r="H584" s="101" t="s">
        <v>2940</v>
      </c>
      <c r="I584" s="102">
        <v>59.43</v>
      </c>
      <c r="J584" s="102">
        <v>73.1</v>
      </c>
      <c r="K584" s="101" t="s">
        <v>2941</v>
      </c>
      <c r="L584" s="102">
        <v>23.0</v>
      </c>
      <c r="M584" s="13"/>
    </row>
    <row r="585">
      <c r="A585" s="101" t="s">
        <v>3290</v>
      </c>
      <c r="B585" s="101">
        <v>170821.0</v>
      </c>
      <c r="C585" s="13"/>
      <c r="D585" s="13"/>
      <c r="E585" s="13"/>
      <c r="F585" s="13"/>
      <c r="G585" s="102">
        <v>2.0</v>
      </c>
      <c r="H585" s="101" t="s">
        <v>2942</v>
      </c>
      <c r="I585" s="102">
        <v>47.5</v>
      </c>
      <c r="J585" s="102">
        <v>58.43</v>
      </c>
      <c r="K585" s="101" t="s">
        <v>2941</v>
      </c>
      <c r="L585" s="102">
        <v>23.0</v>
      </c>
      <c r="M585" s="13"/>
    </row>
    <row r="586">
      <c r="A586" s="101" t="s">
        <v>3291</v>
      </c>
      <c r="B586" s="101">
        <v>170822.0</v>
      </c>
      <c r="C586" s="13"/>
      <c r="D586" s="13"/>
      <c r="E586" s="13"/>
      <c r="F586" s="13"/>
      <c r="G586" s="102">
        <v>1.0</v>
      </c>
      <c r="H586" s="101" t="s">
        <v>2940</v>
      </c>
      <c r="I586" s="102">
        <v>118.7</v>
      </c>
      <c r="J586" s="102">
        <v>146.0</v>
      </c>
      <c r="K586" s="101" t="s">
        <v>2941</v>
      </c>
      <c r="L586" s="102">
        <v>23.0</v>
      </c>
      <c r="M586" s="13"/>
    </row>
    <row r="587">
      <c r="A587" s="101" t="s">
        <v>3291</v>
      </c>
      <c r="B587" s="101">
        <v>170822.0</v>
      </c>
      <c r="C587" s="13"/>
      <c r="D587" s="13"/>
      <c r="E587" s="13"/>
      <c r="F587" s="13"/>
      <c r="G587" s="102">
        <v>2.0</v>
      </c>
      <c r="H587" s="101" t="s">
        <v>2942</v>
      </c>
      <c r="I587" s="102">
        <v>95.0</v>
      </c>
      <c r="J587" s="102">
        <v>116.85</v>
      </c>
      <c r="K587" s="101" t="s">
        <v>2941</v>
      </c>
      <c r="L587" s="102">
        <v>23.0</v>
      </c>
      <c r="M587" s="13"/>
    </row>
    <row r="588">
      <c r="A588" s="101" t="s">
        <v>3292</v>
      </c>
      <c r="B588" s="101">
        <v>170823.0</v>
      </c>
      <c r="C588" s="13"/>
      <c r="D588" s="13"/>
      <c r="E588" s="13"/>
      <c r="F588" s="13"/>
      <c r="G588" s="102">
        <v>1.0</v>
      </c>
      <c r="H588" s="101" t="s">
        <v>2940</v>
      </c>
      <c r="I588" s="102">
        <v>178.13</v>
      </c>
      <c r="J588" s="102">
        <v>219.1</v>
      </c>
      <c r="K588" s="101" t="s">
        <v>2941</v>
      </c>
      <c r="L588" s="102">
        <v>23.0</v>
      </c>
      <c r="M588" s="13"/>
    </row>
    <row r="589">
      <c r="A589" s="101" t="s">
        <v>3292</v>
      </c>
      <c r="B589" s="101">
        <v>170823.0</v>
      </c>
      <c r="C589" s="13"/>
      <c r="D589" s="13"/>
      <c r="E589" s="13"/>
      <c r="F589" s="13"/>
      <c r="G589" s="102">
        <v>2.0</v>
      </c>
      <c r="H589" s="101" t="s">
        <v>2942</v>
      </c>
      <c r="I589" s="102">
        <v>142.5</v>
      </c>
      <c r="J589" s="102">
        <v>175.28</v>
      </c>
      <c r="K589" s="101" t="s">
        <v>2941</v>
      </c>
      <c r="L589" s="102">
        <v>23.0</v>
      </c>
      <c r="M589" s="13"/>
    </row>
    <row r="590">
      <c r="A590" s="101" t="s">
        <v>3293</v>
      </c>
      <c r="B590" s="101">
        <v>170041.0</v>
      </c>
      <c r="C590" s="13"/>
      <c r="D590" s="13"/>
      <c r="E590" s="13"/>
      <c r="F590" s="13"/>
      <c r="G590" s="102">
        <v>1.0</v>
      </c>
      <c r="H590" s="101" t="s">
        <v>2940</v>
      </c>
      <c r="I590" s="102">
        <v>2.36</v>
      </c>
      <c r="J590" s="102">
        <v>2.9</v>
      </c>
      <c r="K590" s="101" t="s">
        <v>2941</v>
      </c>
      <c r="L590" s="102">
        <v>23.0</v>
      </c>
      <c r="M590" s="13"/>
    </row>
    <row r="591">
      <c r="A591" s="101" t="s">
        <v>3293</v>
      </c>
      <c r="B591" s="101" t="s">
        <v>3294</v>
      </c>
      <c r="D591" s="13"/>
      <c r="E591" s="13"/>
      <c r="F591" s="13"/>
      <c r="G591" s="102">
        <v>1.0</v>
      </c>
      <c r="H591" s="101" t="s">
        <v>2940</v>
      </c>
      <c r="I591" s="102">
        <v>3.01</v>
      </c>
      <c r="J591" s="102">
        <v>3.7</v>
      </c>
      <c r="K591" s="101" t="s">
        <v>2941</v>
      </c>
      <c r="L591" s="102">
        <v>23.0</v>
      </c>
      <c r="M591" s="13"/>
    </row>
    <row r="592">
      <c r="A592" s="101" t="s">
        <v>3293</v>
      </c>
      <c r="B592" s="101">
        <v>170041.0</v>
      </c>
      <c r="C592" s="13"/>
      <c r="D592" s="13"/>
      <c r="E592" s="13"/>
      <c r="F592" s="13"/>
      <c r="G592" s="102">
        <v>2.0</v>
      </c>
      <c r="H592" s="101" t="s">
        <v>2942</v>
      </c>
      <c r="I592" s="102">
        <v>2.36</v>
      </c>
      <c r="J592" s="102">
        <v>2.9</v>
      </c>
      <c r="K592" s="101" t="s">
        <v>2941</v>
      </c>
      <c r="L592" s="102">
        <v>23.0</v>
      </c>
      <c r="M592" s="13"/>
    </row>
    <row r="593">
      <c r="A593" s="101" t="s">
        <v>3293</v>
      </c>
      <c r="B593" s="101" t="s">
        <v>3294</v>
      </c>
      <c r="D593" s="13"/>
      <c r="E593" s="13"/>
      <c r="F593" s="13"/>
      <c r="G593" s="102">
        <v>2.0</v>
      </c>
      <c r="H593" s="101" t="s">
        <v>2942</v>
      </c>
      <c r="I593" s="102">
        <v>3.0</v>
      </c>
      <c r="J593" s="102">
        <v>3.69</v>
      </c>
      <c r="K593" s="101" t="s">
        <v>2941</v>
      </c>
      <c r="L593" s="102">
        <v>23.0</v>
      </c>
      <c r="M593" s="13"/>
    </row>
    <row r="594">
      <c r="A594" s="101" t="s">
        <v>3295</v>
      </c>
      <c r="B594" s="101">
        <v>170042.0</v>
      </c>
      <c r="C594" s="13"/>
      <c r="D594" s="13"/>
      <c r="E594" s="13"/>
      <c r="F594" s="13"/>
      <c r="G594" s="102">
        <v>1.0</v>
      </c>
      <c r="H594" s="101" t="s">
        <v>2940</v>
      </c>
      <c r="I594" s="102">
        <v>6.02</v>
      </c>
      <c r="J594" s="102">
        <v>7.4</v>
      </c>
      <c r="K594" s="101" t="s">
        <v>2941</v>
      </c>
      <c r="L594" s="102">
        <v>23.0</v>
      </c>
      <c r="M594" s="13"/>
    </row>
    <row r="595">
      <c r="A595" s="101" t="s">
        <v>3295</v>
      </c>
      <c r="B595" s="101">
        <v>170042.0</v>
      </c>
      <c r="C595" s="13"/>
      <c r="D595" s="13"/>
      <c r="E595" s="13"/>
      <c r="F595" s="13"/>
      <c r="G595" s="102">
        <v>2.0</v>
      </c>
      <c r="H595" s="101" t="s">
        <v>2942</v>
      </c>
      <c r="I595" s="102">
        <v>6.0</v>
      </c>
      <c r="J595" s="102">
        <v>7.38</v>
      </c>
      <c r="K595" s="101" t="s">
        <v>2941</v>
      </c>
      <c r="L595" s="102">
        <v>23.0</v>
      </c>
      <c r="M595" s="13"/>
    </row>
    <row r="596">
      <c r="A596" s="101" t="s">
        <v>3296</v>
      </c>
      <c r="B596" s="101" t="s">
        <v>3297</v>
      </c>
      <c r="D596" s="13"/>
      <c r="E596" s="13"/>
      <c r="F596" s="13"/>
      <c r="G596" s="102">
        <v>1.0</v>
      </c>
      <c r="H596" s="101" t="s">
        <v>2940</v>
      </c>
      <c r="I596" s="102">
        <v>3.58</v>
      </c>
      <c r="J596" s="102">
        <v>4.4</v>
      </c>
      <c r="K596" s="101" t="s">
        <v>2941</v>
      </c>
      <c r="L596" s="102">
        <v>23.0</v>
      </c>
      <c r="M596" s="13"/>
    </row>
    <row r="597">
      <c r="A597" s="101" t="s">
        <v>3296</v>
      </c>
      <c r="B597" s="101" t="s">
        <v>3297</v>
      </c>
      <c r="D597" s="13"/>
      <c r="E597" s="13"/>
      <c r="F597" s="13"/>
      <c r="G597" s="102">
        <v>2.0</v>
      </c>
      <c r="H597" s="101" t="s">
        <v>2942</v>
      </c>
      <c r="I597" s="102">
        <v>2.9</v>
      </c>
      <c r="J597" s="102">
        <v>3.57</v>
      </c>
      <c r="K597" s="101" t="s">
        <v>2941</v>
      </c>
      <c r="L597" s="102">
        <v>23.0</v>
      </c>
      <c r="M597" s="13"/>
    </row>
    <row r="598">
      <c r="A598" s="101" t="s">
        <v>3298</v>
      </c>
      <c r="B598" s="101" t="s">
        <v>3299</v>
      </c>
      <c r="D598" s="13"/>
      <c r="E598" s="13"/>
      <c r="F598" s="13"/>
      <c r="G598" s="102">
        <v>1.0</v>
      </c>
      <c r="H598" s="101" t="s">
        <v>2940</v>
      </c>
      <c r="I598" s="102">
        <v>7.24</v>
      </c>
      <c r="J598" s="102">
        <v>8.91</v>
      </c>
      <c r="K598" s="101" t="s">
        <v>2941</v>
      </c>
      <c r="L598" s="102">
        <v>23.0</v>
      </c>
      <c r="M598" s="13"/>
    </row>
    <row r="599">
      <c r="A599" s="101" t="s">
        <v>3298</v>
      </c>
      <c r="B599" s="101" t="s">
        <v>3299</v>
      </c>
      <c r="D599" s="13"/>
      <c r="E599" s="13"/>
      <c r="F599" s="13"/>
      <c r="G599" s="102">
        <v>2.0</v>
      </c>
      <c r="H599" s="101" t="s">
        <v>2942</v>
      </c>
      <c r="I599" s="102">
        <v>5.8</v>
      </c>
      <c r="J599" s="102">
        <v>7.13</v>
      </c>
      <c r="K599" s="101" t="s">
        <v>2941</v>
      </c>
      <c r="L599" s="102">
        <v>23.0</v>
      </c>
      <c r="M599" s="13"/>
    </row>
    <row r="600">
      <c r="A600" s="101" t="s">
        <v>3300</v>
      </c>
      <c r="B600" s="101" t="s">
        <v>3301</v>
      </c>
      <c r="C600" s="13"/>
      <c r="D600" s="13"/>
      <c r="E600" s="13"/>
      <c r="F600" s="13"/>
      <c r="G600" s="102">
        <v>1.0</v>
      </c>
      <c r="H600" s="101" t="s">
        <v>2940</v>
      </c>
      <c r="I600" s="102">
        <v>16.26</v>
      </c>
      <c r="J600" s="102">
        <v>20.0</v>
      </c>
      <c r="K600" s="101" t="s">
        <v>2941</v>
      </c>
      <c r="L600" s="102">
        <v>23.0</v>
      </c>
      <c r="M600" s="13"/>
    </row>
    <row r="601">
      <c r="A601" s="101" t="s">
        <v>3300</v>
      </c>
      <c r="B601" s="101" t="s">
        <v>3301</v>
      </c>
      <c r="C601" s="13"/>
      <c r="D601" s="13"/>
      <c r="E601" s="13"/>
      <c r="F601" s="13"/>
      <c r="G601" s="102">
        <v>2.0</v>
      </c>
      <c r="H601" s="101" t="s">
        <v>2942</v>
      </c>
      <c r="I601" s="102">
        <v>16.0</v>
      </c>
      <c r="J601" s="102">
        <v>19.68</v>
      </c>
      <c r="K601" s="101" t="s">
        <v>2941</v>
      </c>
      <c r="L601" s="102">
        <v>23.0</v>
      </c>
      <c r="M601" s="13"/>
    </row>
    <row r="602">
      <c r="A602" s="101" t="s">
        <v>3302</v>
      </c>
      <c r="B602" s="101" t="s">
        <v>3303</v>
      </c>
      <c r="C602" s="13"/>
      <c r="D602" s="13"/>
      <c r="E602" s="13"/>
      <c r="F602" s="13"/>
      <c r="G602" s="102">
        <v>1.0</v>
      </c>
      <c r="H602" s="101" t="s">
        <v>2940</v>
      </c>
      <c r="I602" s="102">
        <v>4.07</v>
      </c>
      <c r="J602" s="102">
        <v>5.0</v>
      </c>
      <c r="K602" s="101" t="s">
        <v>2941</v>
      </c>
      <c r="L602" s="102">
        <v>23.0</v>
      </c>
      <c r="M602" s="13"/>
    </row>
    <row r="603">
      <c r="A603" s="101" t="s">
        <v>3302</v>
      </c>
      <c r="B603" s="101" t="s">
        <v>3303</v>
      </c>
      <c r="C603" s="13"/>
      <c r="D603" s="13"/>
      <c r="E603" s="13"/>
      <c r="F603" s="13"/>
      <c r="G603" s="102">
        <v>2.0</v>
      </c>
      <c r="H603" s="101" t="s">
        <v>2942</v>
      </c>
      <c r="I603" s="102">
        <v>3.3</v>
      </c>
      <c r="J603" s="102">
        <v>4.06</v>
      </c>
      <c r="K603" s="101" t="s">
        <v>2941</v>
      </c>
      <c r="L603" s="102">
        <v>23.0</v>
      </c>
      <c r="M603" s="13"/>
    </row>
    <row r="604">
      <c r="A604" s="101" t="s">
        <v>3304</v>
      </c>
      <c r="B604" s="101">
        <v>42712.0</v>
      </c>
      <c r="C604" s="13"/>
      <c r="D604" s="13"/>
      <c r="E604" s="13"/>
      <c r="F604" s="13"/>
      <c r="G604" s="102">
        <v>1.0</v>
      </c>
      <c r="H604" s="101" t="s">
        <v>2940</v>
      </c>
      <c r="I604" s="102">
        <v>5.93</v>
      </c>
      <c r="J604" s="102">
        <v>7.29</v>
      </c>
      <c r="K604" s="101" t="s">
        <v>2941</v>
      </c>
      <c r="L604" s="102">
        <v>23.0</v>
      </c>
      <c r="M604" s="13"/>
    </row>
    <row r="605">
      <c r="A605" s="101" t="s">
        <v>3304</v>
      </c>
      <c r="B605" s="101">
        <v>42712.0</v>
      </c>
      <c r="C605" s="13"/>
      <c r="D605" s="13"/>
      <c r="E605" s="13"/>
      <c r="F605" s="13"/>
      <c r="G605" s="102">
        <v>2.0</v>
      </c>
      <c r="H605" s="101" t="s">
        <v>2942</v>
      </c>
      <c r="I605" s="102">
        <v>5.9</v>
      </c>
      <c r="J605" s="102">
        <v>7.26</v>
      </c>
      <c r="K605" s="101" t="s">
        <v>2941</v>
      </c>
      <c r="L605" s="102">
        <v>23.0</v>
      </c>
      <c r="M605" s="13"/>
    </row>
    <row r="606">
      <c r="A606" s="101" t="s">
        <v>3305</v>
      </c>
      <c r="B606" s="101">
        <v>36.0</v>
      </c>
      <c r="C606" s="13"/>
      <c r="D606" s="13"/>
      <c r="E606" s="13"/>
      <c r="F606" s="13"/>
      <c r="G606" s="102">
        <v>1.0</v>
      </c>
      <c r="H606" s="101" t="s">
        <v>2940</v>
      </c>
      <c r="I606" s="102">
        <v>8.13</v>
      </c>
      <c r="J606" s="102">
        <v>10.0</v>
      </c>
      <c r="K606" s="101" t="s">
        <v>2941</v>
      </c>
      <c r="L606" s="102">
        <v>23.0</v>
      </c>
      <c r="M606" s="13"/>
    </row>
    <row r="607">
      <c r="A607" s="101" t="s">
        <v>3305</v>
      </c>
      <c r="B607" s="101">
        <v>36.0</v>
      </c>
      <c r="C607" s="13"/>
      <c r="D607" s="13"/>
      <c r="E607" s="13"/>
      <c r="F607" s="13"/>
      <c r="G607" s="102">
        <v>2.0</v>
      </c>
      <c r="H607" s="101" t="s">
        <v>2942</v>
      </c>
      <c r="I607" s="102">
        <v>7.43</v>
      </c>
      <c r="J607" s="102">
        <v>9.14</v>
      </c>
      <c r="K607" s="101" t="s">
        <v>2941</v>
      </c>
      <c r="L607" s="102">
        <v>23.0</v>
      </c>
      <c r="M607" s="13"/>
    </row>
    <row r="608">
      <c r="A608" s="101" t="s">
        <v>3306</v>
      </c>
      <c r="B608" s="101" t="s">
        <v>3307</v>
      </c>
      <c r="C608" s="13"/>
      <c r="D608" s="13"/>
      <c r="E608" s="13"/>
      <c r="F608" s="13"/>
      <c r="G608" s="102">
        <v>1.0</v>
      </c>
      <c r="H608" s="101" t="s">
        <v>2940</v>
      </c>
      <c r="I608" s="102">
        <v>14.39</v>
      </c>
      <c r="J608" s="102">
        <v>17.7</v>
      </c>
      <c r="K608" s="101" t="s">
        <v>2941</v>
      </c>
      <c r="L608" s="102">
        <v>23.0</v>
      </c>
      <c r="M608" s="13"/>
    </row>
    <row r="609">
      <c r="A609" s="101" t="s">
        <v>3306</v>
      </c>
      <c r="B609" s="101" t="s">
        <v>3307</v>
      </c>
      <c r="C609" s="13"/>
      <c r="D609" s="13"/>
      <c r="E609" s="13"/>
      <c r="F609" s="13"/>
      <c r="G609" s="102">
        <v>2.0</v>
      </c>
      <c r="H609" s="101" t="s">
        <v>2942</v>
      </c>
      <c r="I609" s="102">
        <v>11.5</v>
      </c>
      <c r="J609" s="102">
        <v>14.15</v>
      </c>
      <c r="K609" s="101" t="s">
        <v>2941</v>
      </c>
      <c r="L609" s="102">
        <v>23.0</v>
      </c>
      <c r="M609" s="13"/>
    </row>
    <row r="610">
      <c r="A610" s="101" t="s">
        <v>3308</v>
      </c>
      <c r="B610" s="101">
        <v>42713.0</v>
      </c>
      <c r="C610" s="13"/>
      <c r="D610" s="13"/>
      <c r="E610" s="13"/>
      <c r="F610" s="13"/>
      <c r="G610" s="102">
        <v>1.0</v>
      </c>
      <c r="H610" s="101" t="s">
        <v>2940</v>
      </c>
      <c r="I610" s="102">
        <v>0.7</v>
      </c>
      <c r="J610" s="102">
        <v>0.86</v>
      </c>
      <c r="K610" s="101" t="s">
        <v>2941</v>
      </c>
      <c r="L610" s="102">
        <v>23.0</v>
      </c>
      <c r="M610" s="13"/>
    </row>
    <row r="611">
      <c r="A611" s="101" t="s">
        <v>3308</v>
      </c>
      <c r="B611" s="101">
        <v>42713.0</v>
      </c>
      <c r="C611" s="13"/>
      <c r="D611" s="13"/>
      <c r="E611" s="13"/>
      <c r="F611" s="13"/>
      <c r="G611" s="102">
        <v>2.0</v>
      </c>
      <c r="H611" s="101" t="s">
        <v>2942</v>
      </c>
      <c r="I611" s="102">
        <v>0.7</v>
      </c>
      <c r="J611" s="102">
        <v>0.86</v>
      </c>
      <c r="K611" s="101" t="s">
        <v>2941</v>
      </c>
      <c r="L611" s="102">
        <v>23.0</v>
      </c>
      <c r="M611" s="13"/>
    </row>
    <row r="612">
      <c r="A612" s="101" t="s">
        <v>3309</v>
      </c>
      <c r="B612" s="101">
        <v>35.0</v>
      </c>
      <c r="C612" s="13"/>
      <c r="D612" s="13"/>
      <c r="E612" s="13"/>
      <c r="F612" s="13"/>
      <c r="G612" s="102">
        <v>1.0</v>
      </c>
      <c r="H612" s="101" t="s">
        <v>2940</v>
      </c>
      <c r="I612" s="102">
        <v>2.28</v>
      </c>
      <c r="J612" s="102">
        <v>2.8</v>
      </c>
      <c r="K612" s="101" t="s">
        <v>2941</v>
      </c>
      <c r="L612" s="102">
        <v>23.0</v>
      </c>
      <c r="M612" s="13"/>
    </row>
    <row r="613">
      <c r="A613" s="101" t="s">
        <v>3309</v>
      </c>
      <c r="B613" s="101">
        <v>35.0</v>
      </c>
      <c r="C613" s="13"/>
      <c r="D613" s="13"/>
      <c r="E613" s="13"/>
      <c r="F613" s="13"/>
      <c r="G613" s="102">
        <v>2.0</v>
      </c>
      <c r="H613" s="101" t="s">
        <v>2942</v>
      </c>
      <c r="I613" s="102">
        <v>1.8</v>
      </c>
      <c r="J613" s="102">
        <v>2.21</v>
      </c>
      <c r="K613" s="101" t="s">
        <v>2941</v>
      </c>
      <c r="L613" s="102">
        <v>23.0</v>
      </c>
      <c r="M613" s="13"/>
    </row>
    <row r="614">
      <c r="A614" s="101" t="s">
        <v>3310</v>
      </c>
      <c r="B614" s="101">
        <v>42518.0</v>
      </c>
      <c r="C614" s="13"/>
      <c r="D614" s="13"/>
      <c r="E614" s="13"/>
      <c r="F614" s="13"/>
      <c r="G614" s="102">
        <v>1.0</v>
      </c>
      <c r="H614" s="101" t="s">
        <v>2940</v>
      </c>
      <c r="I614" s="102">
        <v>49.43</v>
      </c>
      <c r="J614" s="102">
        <v>60.8</v>
      </c>
      <c r="K614" s="101" t="s">
        <v>2941</v>
      </c>
      <c r="L614" s="102">
        <v>23.0</v>
      </c>
      <c r="M614" s="13"/>
    </row>
    <row r="615">
      <c r="A615" s="101" t="s">
        <v>3310</v>
      </c>
      <c r="B615" s="101">
        <v>42518.0</v>
      </c>
      <c r="C615" s="13"/>
      <c r="D615" s="13"/>
      <c r="E615" s="13"/>
      <c r="F615" s="13"/>
      <c r="G615" s="102">
        <v>2.0</v>
      </c>
      <c r="H615" s="101" t="s">
        <v>2942</v>
      </c>
      <c r="I615" s="102">
        <v>39.5</v>
      </c>
      <c r="J615" s="102">
        <v>48.59</v>
      </c>
      <c r="K615" s="101" t="s">
        <v>2941</v>
      </c>
      <c r="L615" s="102">
        <v>23.0</v>
      </c>
      <c r="M615" s="13"/>
    </row>
    <row r="616">
      <c r="A616" s="101" t="s">
        <v>3311</v>
      </c>
      <c r="B616" s="101">
        <v>42501.0</v>
      </c>
      <c r="C616" s="13"/>
      <c r="D616" s="13"/>
      <c r="E616" s="13"/>
      <c r="F616" s="13"/>
      <c r="G616" s="102">
        <v>1.0</v>
      </c>
      <c r="H616" s="101" t="s">
        <v>2940</v>
      </c>
      <c r="I616" s="102">
        <v>23.17</v>
      </c>
      <c r="J616" s="102">
        <v>28.5</v>
      </c>
      <c r="K616" s="101" t="s">
        <v>2941</v>
      </c>
      <c r="L616" s="102">
        <v>23.0</v>
      </c>
      <c r="M616" s="13"/>
    </row>
    <row r="617">
      <c r="A617" s="101" t="s">
        <v>3311</v>
      </c>
      <c r="B617" s="101">
        <v>42501.0</v>
      </c>
      <c r="C617" s="13"/>
      <c r="D617" s="13"/>
      <c r="E617" s="13"/>
      <c r="F617" s="13"/>
      <c r="G617" s="102">
        <v>2.0</v>
      </c>
      <c r="H617" s="101" t="s">
        <v>2942</v>
      </c>
      <c r="I617" s="102">
        <v>23.2</v>
      </c>
      <c r="J617" s="102">
        <v>28.54</v>
      </c>
      <c r="K617" s="101" t="s">
        <v>2941</v>
      </c>
      <c r="L617" s="102">
        <v>23.0</v>
      </c>
      <c r="M617" s="13"/>
    </row>
    <row r="618">
      <c r="A618" s="101" t="s">
        <v>3312</v>
      </c>
      <c r="B618" s="101">
        <v>42502.0</v>
      </c>
      <c r="C618" s="13"/>
      <c r="D618" s="13"/>
      <c r="E618" s="13"/>
      <c r="F618" s="13"/>
      <c r="G618" s="102">
        <v>1.0</v>
      </c>
      <c r="H618" s="101" t="s">
        <v>2940</v>
      </c>
      <c r="I618" s="102">
        <v>34.47</v>
      </c>
      <c r="J618" s="102">
        <v>42.4</v>
      </c>
      <c r="K618" s="101" t="s">
        <v>2941</v>
      </c>
      <c r="L618" s="102">
        <v>23.0</v>
      </c>
      <c r="M618" s="13"/>
    </row>
    <row r="619">
      <c r="A619" s="101" t="s">
        <v>3312</v>
      </c>
      <c r="B619" s="101">
        <v>42502.0</v>
      </c>
      <c r="C619" s="13"/>
      <c r="D619" s="13"/>
      <c r="E619" s="13"/>
      <c r="F619" s="13"/>
      <c r="G619" s="102">
        <v>2.0</v>
      </c>
      <c r="H619" s="101" t="s">
        <v>2942</v>
      </c>
      <c r="I619" s="102">
        <v>27.6</v>
      </c>
      <c r="J619" s="102">
        <v>33.95</v>
      </c>
      <c r="K619" s="101" t="s">
        <v>2941</v>
      </c>
      <c r="L619" s="102">
        <v>23.0</v>
      </c>
      <c r="M619" s="13"/>
    </row>
    <row r="620">
      <c r="A620" s="101" t="s">
        <v>3313</v>
      </c>
      <c r="B620" s="101">
        <v>42503.0</v>
      </c>
      <c r="C620" s="13"/>
      <c r="D620" s="13"/>
      <c r="E620" s="13"/>
      <c r="F620" s="13"/>
      <c r="G620" s="102">
        <v>1.0</v>
      </c>
      <c r="H620" s="101" t="s">
        <v>2940</v>
      </c>
      <c r="I620" s="102">
        <v>11.2</v>
      </c>
      <c r="J620" s="102">
        <v>13.78</v>
      </c>
      <c r="K620" s="101" t="s">
        <v>2941</v>
      </c>
      <c r="L620" s="102">
        <v>23.0</v>
      </c>
      <c r="M620" s="13"/>
    </row>
    <row r="621">
      <c r="A621" s="101" t="s">
        <v>3313</v>
      </c>
      <c r="B621" s="101">
        <v>42503.0</v>
      </c>
      <c r="C621" s="13"/>
      <c r="D621" s="13"/>
      <c r="E621" s="13"/>
      <c r="F621" s="13"/>
      <c r="G621" s="102">
        <v>2.0</v>
      </c>
      <c r="H621" s="101" t="s">
        <v>2942</v>
      </c>
      <c r="I621" s="102">
        <v>11.2</v>
      </c>
      <c r="J621" s="102">
        <v>13.78</v>
      </c>
      <c r="K621" s="101" t="s">
        <v>2941</v>
      </c>
      <c r="L621" s="102">
        <v>23.0</v>
      </c>
      <c r="M621" s="13"/>
    </row>
    <row r="622">
      <c r="A622" s="101" t="s">
        <v>3314</v>
      </c>
      <c r="B622" s="101">
        <v>42220.0</v>
      </c>
      <c r="C622" s="13"/>
      <c r="D622" s="13"/>
      <c r="E622" s="13"/>
      <c r="F622" s="13"/>
      <c r="G622" s="102">
        <v>1.0</v>
      </c>
      <c r="H622" s="101" t="s">
        <v>2940</v>
      </c>
      <c r="I622" s="102">
        <v>10.33</v>
      </c>
      <c r="J622" s="102">
        <v>12.71</v>
      </c>
      <c r="K622" s="101" t="s">
        <v>2941</v>
      </c>
      <c r="L622" s="102">
        <v>23.0</v>
      </c>
      <c r="M622" s="13"/>
    </row>
    <row r="623">
      <c r="A623" s="101" t="s">
        <v>3314</v>
      </c>
      <c r="B623" s="101">
        <v>42220.0</v>
      </c>
      <c r="C623" s="13"/>
      <c r="D623" s="13"/>
      <c r="E623" s="13"/>
      <c r="F623" s="13"/>
      <c r="G623" s="102">
        <v>2.0</v>
      </c>
      <c r="H623" s="101" t="s">
        <v>2942</v>
      </c>
      <c r="I623" s="102">
        <v>8.3</v>
      </c>
      <c r="J623" s="102">
        <v>10.21</v>
      </c>
      <c r="K623" s="101" t="s">
        <v>2941</v>
      </c>
      <c r="L623" s="102">
        <v>23.0</v>
      </c>
      <c r="M623" s="13"/>
    </row>
    <row r="624">
      <c r="A624" s="101" t="s">
        <v>3315</v>
      </c>
      <c r="B624" s="101">
        <v>1523.0</v>
      </c>
      <c r="C624" s="13"/>
      <c r="D624" s="13"/>
      <c r="E624" s="13"/>
      <c r="F624" s="13"/>
      <c r="G624" s="102">
        <v>1.0</v>
      </c>
      <c r="H624" s="101" t="s">
        <v>2940</v>
      </c>
      <c r="I624" s="102">
        <v>10.08</v>
      </c>
      <c r="J624" s="102">
        <v>12.4</v>
      </c>
      <c r="K624" s="101" t="s">
        <v>2941</v>
      </c>
      <c r="L624" s="102">
        <v>23.0</v>
      </c>
      <c r="M624" s="13"/>
    </row>
    <row r="625">
      <c r="A625" s="101" t="s">
        <v>3315</v>
      </c>
      <c r="B625" s="101">
        <v>1523.0</v>
      </c>
      <c r="C625" s="13"/>
      <c r="D625" s="13"/>
      <c r="E625" s="13"/>
      <c r="F625" s="13"/>
      <c r="G625" s="102">
        <v>2.0</v>
      </c>
      <c r="H625" s="101" t="s">
        <v>2942</v>
      </c>
      <c r="I625" s="102">
        <v>8.1</v>
      </c>
      <c r="J625" s="102">
        <v>9.96</v>
      </c>
      <c r="K625" s="101" t="s">
        <v>2941</v>
      </c>
      <c r="L625" s="102">
        <v>23.0</v>
      </c>
      <c r="M625" s="13"/>
    </row>
    <row r="626">
      <c r="A626" s="101" t="s">
        <v>3316</v>
      </c>
      <c r="B626" s="101">
        <v>42504.0</v>
      </c>
      <c r="C626" s="13"/>
      <c r="D626" s="13"/>
      <c r="E626" s="13"/>
      <c r="F626" s="13"/>
      <c r="G626" s="102">
        <v>1.0</v>
      </c>
      <c r="H626" s="101" t="s">
        <v>2940</v>
      </c>
      <c r="I626" s="102">
        <v>20.08</v>
      </c>
      <c r="J626" s="102">
        <v>24.7</v>
      </c>
      <c r="K626" s="101" t="s">
        <v>2941</v>
      </c>
      <c r="L626" s="102">
        <v>23.0</v>
      </c>
      <c r="M626" s="13"/>
    </row>
    <row r="627">
      <c r="A627" s="101" t="s">
        <v>3316</v>
      </c>
      <c r="B627" s="101">
        <v>42504.0</v>
      </c>
      <c r="C627" s="13"/>
      <c r="D627" s="13"/>
      <c r="E627" s="13"/>
      <c r="F627" s="13"/>
      <c r="G627" s="102">
        <v>2.0</v>
      </c>
      <c r="H627" s="101" t="s">
        <v>2942</v>
      </c>
      <c r="I627" s="102">
        <v>16.1</v>
      </c>
      <c r="J627" s="102">
        <v>19.8</v>
      </c>
      <c r="K627" s="101" t="s">
        <v>2941</v>
      </c>
      <c r="L627" s="102">
        <v>23.0</v>
      </c>
      <c r="M627" s="13"/>
    </row>
    <row r="628">
      <c r="A628" s="101" t="s">
        <v>3317</v>
      </c>
      <c r="B628" s="101">
        <v>1528.0</v>
      </c>
      <c r="C628" s="13"/>
      <c r="D628" s="13"/>
      <c r="E628" s="13"/>
      <c r="F628" s="13"/>
      <c r="G628" s="102">
        <v>1.0</v>
      </c>
      <c r="H628" s="101" t="s">
        <v>2940</v>
      </c>
      <c r="I628" s="102">
        <v>17.56</v>
      </c>
      <c r="J628" s="102">
        <v>21.6</v>
      </c>
      <c r="K628" s="101" t="s">
        <v>2941</v>
      </c>
      <c r="L628" s="102">
        <v>23.0</v>
      </c>
      <c r="M628" s="13"/>
    </row>
    <row r="629">
      <c r="A629" s="101" t="s">
        <v>3317</v>
      </c>
      <c r="B629" s="101">
        <v>1528.0</v>
      </c>
      <c r="C629" s="13"/>
      <c r="D629" s="13"/>
      <c r="E629" s="13"/>
      <c r="F629" s="13"/>
      <c r="G629" s="102">
        <v>2.0</v>
      </c>
      <c r="H629" s="101" t="s">
        <v>2942</v>
      </c>
      <c r="I629" s="102">
        <v>14.0</v>
      </c>
      <c r="J629" s="102">
        <v>17.22</v>
      </c>
      <c r="K629" s="101" t="s">
        <v>2941</v>
      </c>
      <c r="L629" s="102">
        <v>23.0</v>
      </c>
      <c r="M629" s="13"/>
    </row>
    <row r="630">
      <c r="A630" s="101" t="s">
        <v>3318</v>
      </c>
      <c r="B630" s="101">
        <v>42207.0</v>
      </c>
      <c r="C630" s="13"/>
      <c r="D630" s="13"/>
      <c r="E630" s="13"/>
      <c r="F630" s="13"/>
      <c r="G630" s="102">
        <v>1.0</v>
      </c>
      <c r="H630" s="101" t="s">
        <v>2940</v>
      </c>
      <c r="I630" s="102">
        <v>5.69</v>
      </c>
      <c r="J630" s="102">
        <v>7.0</v>
      </c>
      <c r="K630" s="101" t="s">
        <v>2941</v>
      </c>
      <c r="L630" s="102">
        <v>23.0</v>
      </c>
      <c r="M630" s="13"/>
    </row>
    <row r="631">
      <c r="A631" s="101" t="s">
        <v>3318</v>
      </c>
      <c r="B631" s="101">
        <v>42207.0</v>
      </c>
      <c r="C631" s="13"/>
      <c r="D631" s="13"/>
      <c r="E631" s="13"/>
      <c r="F631" s="13"/>
      <c r="G631" s="102">
        <v>2.0</v>
      </c>
      <c r="H631" s="101" t="s">
        <v>2942</v>
      </c>
      <c r="I631" s="102">
        <v>5.47</v>
      </c>
      <c r="J631" s="102">
        <v>6.73</v>
      </c>
      <c r="K631" s="101" t="s">
        <v>2941</v>
      </c>
      <c r="L631" s="102">
        <v>23.0</v>
      </c>
      <c r="M631" s="13"/>
    </row>
    <row r="632">
      <c r="A632" s="101" t="s">
        <v>3319</v>
      </c>
      <c r="B632" s="101">
        <v>905.0</v>
      </c>
      <c r="C632" s="13"/>
      <c r="D632" s="13"/>
      <c r="E632" s="13"/>
      <c r="F632" s="13"/>
      <c r="G632" s="102">
        <v>1.0</v>
      </c>
      <c r="H632" s="101" t="s">
        <v>2940</v>
      </c>
      <c r="I632" s="102">
        <v>1.22</v>
      </c>
      <c r="J632" s="102">
        <v>1.5</v>
      </c>
      <c r="K632" s="101" t="s">
        <v>2941</v>
      </c>
      <c r="L632" s="102">
        <v>23.0</v>
      </c>
      <c r="M632" s="13"/>
    </row>
    <row r="633">
      <c r="A633" s="101" t="s">
        <v>3319</v>
      </c>
      <c r="B633" s="101">
        <v>905.0</v>
      </c>
      <c r="C633" s="13"/>
      <c r="D633" s="13"/>
      <c r="E633" s="13"/>
      <c r="F633" s="13"/>
      <c r="G633" s="102">
        <v>2.0</v>
      </c>
      <c r="H633" s="101" t="s">
        <v>2942</v>
      </c>
      <c r="I633" s="102">
        <v>0.85</v>
      </c>
      <c r="J633" s="102">
        <v>1.05</v>
      </c>
      <c r="K633" s="101" t="s">
        <v>2941</v>
      </c>
      <c r="L633" s="102">
        <v>23.0</v>
      </c>
      <c r="M633" s="13"/>
    </row>
    <row r="634">
      <c r="A634" s="101" t="s">
        <v>3320</v>
      </c>
      <c r="B634" s="101" t="s">
        <v>3321</v>
      </c>
      <c r="D634" s="13"/>
      <c r="E634" s="13"/>
      <c r="F634" s="13"/>
      <c r="G634" s="102">
        <v>1.0</v>
      </c>
      <c r="H634" s="101" t="s">
        <v>2940</v>
      </c>
      <c r="I634" s="102">
        <v>4.94</v>
      </c>
      <c r="J634" s="102">
        <v>6.08</v>
      </c>
      <c r="K634" s="101" t="s">
        <v>2941</v>
      </c>
      <c r="L634" s="102">
        <v>23.0</v>
      </c>
      <c r="M634" s="13"/>
    </row>
    <row r="635">
      <c r="A635" s="101" t="s">
        <v>3320</v>
      </c>
      <c r="B635" s="101" t="s">
        <v>3321</v>
      </c>
      <c r="D635" s="13"/>
      <c r="E635" s="13"/>
      <c r="F635" s="13"/>
      <c r="G635" s="102">
        <v>2.0</v>
      </c>
      <c r="H635" s="101" t="s">
        <v>2942</v>
      </c>
      <c r="I635" s="102">
        <v>4.94</v>
      </c>
      <c r="J635" s="102">
        <v>6.08</v>
      </c>
      <c r="K635" s="101" t="s">
        <v>2941</v>
      </c>
      <c r="L635" s="102">
        <v>23.0</v>
      </c>
      <c r="M635" s="13"/>
    </row>
    <row r="636">
      <c r="A636" s="101" t="s">
        <v>3322</v>
      </c>
      <c r="B636" s="101" t="s">
        <v>3323</v>
      </c>
      <c r="D636" s="13"/>
      <c r="E636" s="13"/>
      <c r="F636" s="13"/>
      <c r="G636" s="102">
        <v>1.0</v>
      </c>
      <c r="H636" s="101" t="s">
        <v>2940</v>
      </c>
      <c r="I636" s="102">
        <v>5.74</v>
      </c>
      <c r="J636" s="102">
        <v>7.06</v>
      </c>
      <c r="K636" s="101" t="s">
        <v>2941</v>
      </c>
      <c r="L636" s="102">
        <v>23.0</v>
      </c>
      <c r="M636" s="13"/>
    </row>
    <row r="637">
      <c r="A637" s="101" t="s">
        <v>3322</v>
      </c>
      <c r="B637" s="101" t="s">
        <v>3323</v>
      </c>
      <c r="D637" s="13"/>
      <c r="E637" s="13"/>
      <c r="F637" s="13"/>
      <c r="G637" s="102">
        <v>2.0</v>
      </c>
      <c r="H637" s="101" t="s">
        <v>2942</v>
      </c>
      <c r="I637" s="102">
        <v>5.74</v>
      </c>
      <c r="J637" s="102">
        <v>7.06</v>
      </c>
      <c r="K637" s="101" t="s">
        <v>2941</v>
      </c>
      <c r="L637" s="102">
        <v>23.0</v>
      </c>
      <c r="M637" s="13"/>
    </row>
    <row r="638">
      <c r="A638" s="101" t="s">
        <v>3324</v>
      </c>
      <c r="B638" s="101">
        <v>42513.0</v>
      </c>
      <c r="C638" s="13"/>
      <c r="D638" s="13"/>
      <c r="E638" s="13"/>
      <c r="F638" s="13"/>
      <c r="G638" s="102">
        <v>1.0</v>
      </c>
      <c r="H638" s="101" t="s">
        <v>2940</v>
      </c>
      <c r="I638" s="102">
        <v>4.23</v>
      </c>
      <c r="J638" s="102">
        <v>5.2</v>
      </c>
      <c r="K638" s="101" t="s">
        <v>2941</v>
      </c>
      <c r="L638" s="102">
        <v>23.0</v>
      </c>
      <c r="M638" s="13"/>
    </row>
    <row r="639">
      <c r="A639" s="101" t="s">
        <v>3324</v>
      </c>
      <c r="B639" s="101">
        <v>42513.0</v>
      </c>
      <c r="C639" s="13"/>
      <c r="D639" s="13"/>
      <c r="E639" s="13"/>
      <c r="F639" s="13"/>
      <c r="G639" s="102">
        <v>2.0</v>
      </c>
      <c r="H639" s="101" t="s">
        <v>2942</v>
      </c>
      <c r="I639" s="102">
        <v>3.4</v>
      </c>
      <c r="J639" s="102">
        <v>4.18</v>
      </c>
      <c r="K639" s="101" t="s">
        <v>2941</v>
      </c>
      <c r="L639" s="102">
        <v>23.0</v>
      </c>
      <c r="M639" s="13"/>
    </row>
    <row r="640">
      <c r="A640" s="101" t="s">
        <v>3325</v>
      </c>
      <c r="B640" s="101">
        <v>70011.0</v>
      </c>
      <c r="C640" s="13"/>
      <c r="D640" s="13"/>
      <c r="E640" s="13"/>
      <c r="F640" s="13"/>
      <c r="G640" s="102">
        <v>1.0</v>
      </c>
      <c r="H640" s="101" t="s">
        <v>2940</v>
      </c>
      <c r="I640" s="102">
        <v>37.11</v>
      </c>
      <c r="J640" s="102">
        <v>45.65</v>
      </c>
      <c r="K640" s="101" t="s">
        <v>2941</v>
      </c>
      <c r="L640" s="102">
        <v>23.0</v>
      </c>
      <c r="M640" s="13"/>
    </row>
    <row r="641">
      <c r="A641" s="101" t="s">
        <v>3325</v>
      </c>
      <c r="B641" s="101">
        <v>70011.0</v>
      </c>
      <c r="C641" s="13"/>
      <c r="D641" s="13"/>
      <c r="E641" s="13"/>
      <c r="F641" s="13"/>
      <c r="G641" s="102">
        <v>2.0</v>
      </c>
      <c r="H641" s="101" t="s">
        <v>2942</v>
      </c>
      <c r="I641" s="102">
        <v>37.11</v>
      </c>
      <c r="J641" s="102">
        <v>45.65</v>
      </c>
      <c r="K641" s="101" t="s">
        <v>2941</v>
      </c>
      <c r="L641" s="102">
        <v>23.0</v>
      </c>
      <c r="M641" s="13"/>
    </row>
    <row r="642">
      <c r="A642" s="101" t="s">
        <v>3326</v>
      </c>
      <c r="B642" s="101" t="s">
        <v>3327</v>
      </c>
      <c r="D642" s="13"/>
      <c r="E642" s="13"/>
      <c r="F642" s="13"/>
      <c r="G642" s="102">
        <v>1.0</v>
      </c>
      <c r="H642" s="101" t="s">
        <v>2940</v>
      </c>
      <c r="I642" s="102">
        <v>0.33</v>
      </c>
      <c r="J642" s="102">
        <v>0.41</v>
      </c>
      <c r="K642" s="101" t="s">
        <v>2941</v>
      </c>
      <c r="L642" s="102">
        <v>23.0</v>
      </c>
      <c r="M642" s="13"/>
    </row>
    <row r="643">
      <c r="A643" s="101" t="s">
        <v>3326</v>
      </c>
      <c r="B643" s="101" t="s">
        <v>3327</v>
      </c>
      <c r="D643" s="13"/>
      <c r="E643" s="13"/>
      <c r="F643" s="13"/>
      <c r="G643" s="102">
        <v>2.0</v>
      </c>
      <c r="H643" s="101" t="s">
        <v>2942</v>
      </c>
      <c r="I643" s="102">
        <v>0.3</v>
      </c>
      <c r="J643" s="102">
        <v>0.37</v>
      </c>
      <c r="K643" s="101" t="s">
        <v>2941</v>
      </c>
      <c r="L643" s="102">
        <v>23.0</v>
      </c>
      <c r="M643" s="13"/>
    </row>
    <row r="644">
      <c r="A644" s="101" t="s">
        <v>3328</v>
      </c>
      <c r="B644" s="101">
        <v>1505.0</v>
      </c>
      <c r="C644" s="13"/>
      <c r="D644" s="13"/>
      <c r="E644" s="13"/>
      <c r="F644" s="13"/>
      <c r="G644" s="102">
        <v>1.0</v>
      </c>
      <c r="H644" s="101" t="s">
        <v>2940</v>
      </c>
      <c r="I644" s="102">
        <v>15.85</v>
      </c>
      <c r="J644" s="102">
        <v>19.5</v>
      </c>
      <c r="K644" s="101" t="s">
        <v>2941</v>
      </c>
      <c r="L644" s="102">
        <v>23.0</v>
      </c>
      <c r="M644" s="13"/>
    </row>
    <row r="645">
      <c r="A645" s="101" t="s">
        <v>3328</v>
      </c>
      <c r="B645" s="101">
        <v>1505.0</v>
      </c>
      <c r="C645" s="13"/>
      <c r="D645" s="13"/>
      <c r="E645" s="13"/>
      <c r="F645" s="13"/>
      <c r="G645" s="102">
        <v>2.0</v>
      </c>
      <c r="H645" s="101" t="s">
        <v>2942</v>
      </c>
      <c r="I645" s="102">
        <v>12.7</v>
      </c>
      <c r="J645" s="102">
        <v>15.62</v>
      </c>
      <c r="K645" s="101" t="s">
        <v>2941</v>
      </c>
      <c r="L645" s="102">
        <v>23.0</v>
      </c>
      <c r="M645" s="13"/>
    </row>
    <row r="646">
      <c r="A646" s="101" t="s">
        <v>3329</v>
      </c>
      <c r="B646" s="101">
        <v>42103.0</v>
      </c>
      <c r="C646" s="13"/>
      <c r="D646" s="13"/>
      <c r="E646" s="13"/>
      <c r="F646" s="13"/>
      <c r="G646" s="102">
        <v>1.0</v>
      </c>
      <c r="H646" s="101" t="s">
        <v>2940</v>
      </c>
      <c r="I646" s="102">
        <v>2.3</v>
      </c>
      <c r="J646" s="102">
        <v>2.83</v>
      </c>
      <c r="K646" s="101" t="s">
        <v>2941</v>
      </c>
      <c r="L646" s="102">
        <v>23.0</v>
      </c>
      <c r="M646" s="13"/>
    </row>
    <row r="647">
      <c r="A647" s="101" t="s">
        <v>3329</v>
      </c>
      <c r="B647" s="101">
        <v>42103.0</v>
      </c>
      <c r="C647" s="13"/>
      <c r="D647" s="13"/>
      <c r="E647" s="13"/>
      <c r="F647" s="13"/>
      <c r="G647" s="102">
        <v>2.0</v>
      </c>
      <c r="H647" s="101" t="s">
        <v>2942</v>
      </c>
      <c r="I647" s="102">
        <v>2.3</v>
      </c>
      <c r="J647" s="102">
        <v>2.83</v>
      </c>
      <c r="K647" s="101" t="s">
        <v>2941</v>
      </c>
      <c r="L647" s="102">
        <v>23.0</v>
      </c>
      <c r="M647" s="13"/>
    </row>
    <row r="648">
      <c r="A648" s="101" t="s">
        <v>3330</v>
      </c>
      <c r="B648" s="101" t="s">
        <v>3331</v>
      </c>
      <c r="D648" s="13"/>
      <c r="E648" s="13"/>
      <c r="F648" s="13"/>
      <c r="G648" s="102">
        <v>1.0</v>
      </c>
      <c r="H648" s="101" t="s">
        <v>2940</v>
      </c>
      <c r="I648" s="102">
        <v>72.11</v>
      </c>
      <c r="J648" s="102">
        <v>88.7</v>
      </c>
      <c r="K648" s="101" t="s">
        <v>2941</v>
      </c>
      <c r="L648" s="102">
        <v>23.0</v>
      </c>
      <c r="M648" s="13"/>
    </row>
    <row r="649">
      <c r="A649" s="101" t="s">
        <v>3330</v>
      </c>
      <c r="B649" s="101" t="s">
        <v>3331</v>
      </c>
      <c r="D649" s="13"/>
      <c r="E649" s="13"/>
      <c r="F649" s="13"/>
      <c r="G649" s="102">
        <v>2.0</v>
      </c>
      <c r="H649" s="101" t="s">
        <v>2942</v>
      </c>
      <c r="I649" s="102">
        <v>57.7</v>
      </c>
      <c r="J649" s="102">
        <v>70.97</v>
      </c>
      <c r="K649" s="101" t="s">
        <v>2941</v>
      </c>
      <c r="L649" s="102">
        <v>23.0</v>
      </c>
      <c r="M649" s="13"/>
    </row>
    <row r="650">
      <c r="A650" s="101" t="s">
        <v>3332</v>
      </c>
      <c r="B650" s="101" t="s">
        <v>3333</v>
      </c>
      <c r="D650" s="13"/>
      <c r="E650" s="13"/>
      <c r="F650" s="13"/>
      <c r="G650" s="102">
        <v>1.0</v>
      </c>
      <c r="H650" s="101" t="s">
        <v>2940</v>
      </c>
      <c r="I650" s="102">
        <v>144.15</v>
      </c>
      <c r="J650" s="102">
        <v>177.3</v>
      </c>
      <c r="K650" s="101" t="s">
        <v>2941</v>
      </c>
      <c r="L650" s="102">
        <v>23.0</v>
      </c>
      <c r="M650" s="13"/>
    </row>
    <row r="651">
      <c r="A651" s="101" t="s">
        <v>3332</v>
      </c>
      <c r="B651" s="101" t="s">
        <v>3333</v>
      </c>
      <c r="D651" s="13"/>
      <c r="E651" s="13"/>
      <c r="F651" s="13"/>
      <c r="G651" s="102">
        <v>2.0</v>
      </c>
      <c r="H651" s="101" t="s">
        <v>2942</v>
      </c>
      <c r="I651" s="102">
        <v>115.3</v>
      </c>
      <c r="J651" s="102">
        <v>141.82</v>
      </c>
      <c r="K651" s="101" t="s">
        <v>2941</v>
      </c>
      <c r="L651" s="102">
        <v>23.0</v>
      </c>
      <c r="M651" s="13"/>
    </row>
    <row r="652">
      <c r="A652" s="101" t="s">
        <v>3334</v>
      </c>
      <c r="B652" s="101" t="s">
        <v>3335</v>
      </c>
      <c r="D652" s="13"/>
      <c r="E652" s="13"/>
      <c r="F652" s="13"/>
      <c r="G652" s="102">
        <v>1.0</v>
      </c>
      <c r="H652" s="101" t="s">
        <v>2940</v>
      </c>
      <c r="I652" s="102">
        <v>216.26</v>
      </c>
      <c r="J652" s="102">
        <v>266.0</v>
      </c>
      <c r="K652" s="101" t="s">
        <v>2941</v>
      </c>
      <c r="L652" s="102">
        <v>23.0</v>
      </c>
      <c r="M652" s="13"/>
    </row>
    <row r="653">
      <c r="A653" s="101" t="s">
        <v>3334</v>
      </c>
      <c r="B653" s="101" t="s">
        <v>3335</v>
      </c>
      <c r="D653" s="13"/>
      <c r="E653" s="13"/>
      <c r="F653" s="13"/>
      <c r="G653" s="102">
        <v>2.0</v>
      </c>
      <c r="H653" s="101" t="s">
        <v>2942</v>
      </c>
      <c r="I653" s="102">
        <v>173.0</v>
      </c>
      <c r="J653" s="102">
        <v>212.79</v>
      </c>
      <c r="K653" s="101" t="s">
        <v>2941</v>
      </c>
      <c r="L653" s="102">
        <v>23.0</v>
      </c>
      <c r="M653" s="13"/>
    </row>
    <row r="654">
      <c r="A654" s="101" t="s">
        <v>3336</v>
      </c>
      <c r="B654" s="101" t="s">
        <v>3337</v>
      </c>
      <c r="D654" s="13"/>
      <c r="E654" s="13"/>
      <c r="F654" s="13"/>
      <c r="G654" s="102">
        <v>1.0</v>
      </c>
      <c r="H654" s="101" t="s">
        <v>2940</v>
      </c>
      <c r="I654" s="102">
        <v>14.47</v>
      </c>
      <c r="J654" s="102">
        <v>17.8</v>
      </c>
      <c r="K654" s="101" t="s">
        <v>2941</v>
      </c>
      <c r="L654" s="102">
        <v>23.0</v>
      </c>
      <c r="M654" s="13"/>
    </row>
    <row r="655">
      <c r="A655" s="101" t="s">
        <v>3336</v>
      </c>
      <c r="B655" s="101" t="s">
        <v>3337</v>
      </c>
      <c r="D655" s="13"/>
      <c r="E655" s="13"/>
      <c r="F655" s="13"/>
      <c r="G655" s="102">
        <v>2.0</v>
      </c>
      <c r="H655" s="101" t="s">
        <v>2942</v>
      </c>
      <c r="I655" s="102">
        <v>11.6</v>
      </c>
      <c r="J655" s="102">
        <v>14.27</v>
      </c>
      <c r="K655" s="101" t="s">
        <v>2941</v>
      </c>
      <c r="L655" s="102">
        <v>23.0</v>
      </c>
      <c r="M655" s="13"/>
    </row>
    <row r="656">
      <c r="A656" s="101" t="s">
        <v>3338</v>
      </c>
      <c r="B656" s="101">
        <v>336.0</v>
      </c>
      <c r="C656" s="13"/>
      <c r="D656" s="13"/>
      <c r="E656" s="13"/>
      <c r="F656" s="13"/>
      <c r="G656" s="102">
        <v>1.0</v>
      </c>
      <c r="H656" s="101" t="s">
        <v>2940</v>
      </c>
      <c r="I656" s="102">
        <v>32.11</v>
      </c>
      <c r="J656" s="102">
        <v>39.5</v>
      </c>
      <c r="K656" s="101" t="s">
        <v>2941</v>
      </c>
      <c r="L656" s="102">
        <v>23.0</v>
      </c>
      <c r="M656" s="13"/>
    </row>
    <row r="657">
      <c r="A657" s="101" t="s">
        <v>3338</v>
      </c>
      <c r="B657" s="101">
        <v>336.0</v>
      </c>
      <c r="C657" s="13"/>
      <c r="D657" s="13"/>
      <c r="E657" s="13"/>
      <c r="F657" s="13"/>
      <c r="G657" s="102">
        <v>2.0</v>
      </c>
      <c r="H657" s="101" t="s">
        <v>2942</v>
      </c>
      <c r="I657" s="102">
        <v>32.1</v>
      </c>
      <c r="J657" s="102">
        <v>39.48</v>
      </c>
      <c r="K657" s="101" t="s">
        <v>2941</v>
      </c>
      <c r="L657" s="102">
        <v>23.0</v>
      </c>
      <c r="M657" s="13"/>
    </row>
    <row r="658">
      <c r="A658" s="101" t="s">
        <v>3339</v>
      </c>
      <c r="B658" s="101" t="s">
        <v>3340</v>
      </c>
      <c r="D658" s="13"/>
      <c r="E658" s="13"/>
      <c r="F658" s="13"/>
      <c r="G658" s="102">
        <v>1.0</v>
      </c>
      <c r="H658" s="101" t="s">
        <v>2940</v>
      </c>
      <c r="I658" s="102">
        <v>43.41</v>
      </c>
      <c r="J658" s="102">
        <v>53.39</v>
      </c>
      <c r="K658" s="101" t="s">
        <v>2941</v>
      </c>
      <c r="L658" s="102">
        <v>23.0</v>
      </c>
      <c r="M658" s="13"/>
    </row>
    <row r="659">
      <c r="A659" s="101" t="s">
        <v>3339</v>
      </c>
      <c r="B659" s="101" t="s">
        <v>3340</v>
      </c>
      <c r="D659" s="13"/>
      <c r="E659" s="13"/>
      <c r="F659" s="13"/>
      <c r="G659" s="102">
        <v>2.0</v>
      </c>
      <c r="H659" s="101" t="s">
        <v>2942</v>
      </c>
      <c r="I659" s="102">
        <v>34.7</v>
      </c>
      <c r="J659" s="102">
        <v>42.68</v>
      </c>
      <c r="K659" s="101" t="s">
        <v>2941</v>
      </c>
      <c r="L659" s="102">
        <v>23.0</v>
      </c>
      <c r="M659" s="13"/>
    </row>
    <row r="660">
      <c r="A660" s="101" t="s">
        <v>3341</v>
      </c>
      <c r="B660" s="101">
        <v>337.0</v>
      </c>
      <c r="C660" s="13"/>
      <c r="D660" s="13"/>
      <c r="E660" s="13"/>
      <c r="F660" s="13"/>
      <c r="G660" s="102">
        <v>1.0</v>
      </c>
      <c r="H660" s="101" t="s">
        <v>2940</v>
      </c>
      <c r="I660" s="102">
        <v>5.37</v>
      </c>
      <c r="J660" s="102">
        <v>6.61</v>
      </c>
      <c r="K660" s="101" t="s">
        <v>2941</v>
      </c>
      <c r="L660" s="102">
        <v>23.0</v>
      </c>
      <c r="M660" s="13"/>
    </row>
    <row r="661">
      <c r="A661" s="101" t="s">
        <v>3341</v>
      </c>
      <c r="B661" s="101">
        <v>337.0</v>
      </c>
      <c r="C661" s="13"/>
      <c r="D661" s="13"/>
      <c r="E661" s="13"/>
      <c r="F661" s="13"/>
      <c r="G661" s="102">
        <v>2.0</v>
      </c>
      <c r="H661" s="101" t="s">
        <v>2942</v>
      </c>
      <c r="I661" s="102">
        <v>5.4</v>
      </c>
      <c r="J661" s="102">
        <v>6.64</v>
      </c>
      <c r="K661" s="101" t="s">
        <v>2941</v>
      </c>
      <c r="L661" s="102">
        <v>23.0</v>
      </c>
      <c r="M661" s="13"/>
    </row>
    <row r="662">
      <c r="A662" s="101" t="s">
        <v>3342</v>
      </c>
      <c r="B662" s="101" t="s">
        <v>3343</v>
      </c>
      <c r="D662" s="13"/>
      <c r="E662" s="13"/>
      <c r="F662" s="13"/>
      <c r="G662" s="102">
        <v>1.0</v>
      </c>
      <c r="H662" s="101" t="s">
        <v>2940</v>
      </c>
      <c r="I662" s="102">
        <v>44.72</v>
      </c>
      <c r="J662" s="102">
        <v>55.01</v>
      </c>
      <c r="K662" s="101" t="s">
        <v>2941</v>
      </c>
      <c r="L662" s="102">
        <v>23.0</v>
      </c>
      <c r="M662" s="13"/>
    </row>
    <row r="663">
      <c r="A663" s="101" t="s">
        <v>3342</v>
      </c>
      <c r="B663" s="101" t="s">
        <v>3343</v>
      </c>
      <c r="D663" s="13"/>
      <c r="E663" s="13"/>
      <c r="F663" s="13"/>
      <c r="G663" s="102">
        <v>2.0</v>
      </c>
      <c r="H663" s="101" t="s">
        <v>2942</v>
      </c>
      <c r="I663" s="102">
        <v>35.8</v>
      </c>
      <c r="J663" s="102">
        <v>44.03</v>
      </c>
      <c r="K663" s="101" t="s">
        <v>2941</v>
      </c>
      <c r="L663" s="102">
        <v>23.0</v>
      </c>
      <c r="M663" s="13"/>
    </row>
    <row r="664">
      <c r="A664" s="101" t="s">
        <v>3344</v>
      </c>
      <c r="B664" s="101" t="s">
        <v>3345</v>
      </c>
      <c r="D664" s="13"/>
      <c r="E664" s="13"/>
      <c r="F664" s="13"/>
      <c r="G664" s="102">
        <v>1.0</v>
      </c>
      <c r="H664" s="101" t="s">
        <v>2940</v>
      </c>
      <c r="I664" s="102">
        <v>89.35</v>
      </c>
      <c r="J664" s="102">
        <v>109.9</v>
      </c>
      <c r="K664" s="101" t="s">
        <v>2941</v>
      </c>
      <c r="L664" s="102">
        <v>23.0</v>
      </c>
      <c r="M664" s="13"/>
    </row>
    <row r="665">
      <c r="A665" s="101" t="s">
        <v>3344</v>
      </c>
      <c r="B665" s="101" t="s">
        <v>3345</v>
      </c>
      <c r="D665" s="13"/>
      <c r="E665" s="13"/>
      <c r="F665" s="13"/>
      <c r="G665" s="102">
        <v>2.0</v>
      </c>
      <c r="H665" s="101" t="s">
        <v>2942</v>
      </c>
      <c r="I665" s="102">
        <v>71.5</v>
      </c>
      <c r="J665" s="102">
        <v>87.95</v>
      </c>
      <c r="K665" s="101" t="s">
        <v>2941</v>
      </c>
      <c r="L665" s="102">
        <v>23.0</v>
      </c>
      <c r="M665" s="13"/>
    </row>
    <row r="666">
      <c r="A666" s="101" t="s">
        <v>3346</v>
      </c>
      <c r="B666" s="101" t="s">
        <v>3347</v>
      </c>
      <c r="D666" s="13"/>
      <c r="E666" s="13"/>
      <c r="F666" s="13"/>
      <c r="G666" s="102">
        <v>1.0</v>
      </c>
      <c r="H666" s="101" t="s">
        <v>2940</v>
      </c>
      <c r="I666" s="102">
        <v>134.07</v>
      </c>
      <c r="J666" s="102">
        <v>164.91</v>
      </c>
      <c r="K666" s="101" t="s">
        <v>2941</v>
      </c>
      <c r="L666" s="102">
        <v>23.0</v>
      </c>
      <c r="M666" s="13"/>
    </row>
    <row r="667">
      <c r="A667" s="101" t="s">
        <v>3346</v>
      </c>
      <c r="B667" s="101" t="s">
        <v>3347</v>
      </c>
      <c r="D667" s="13"/>
      <c r="E667" s="13"/>
      <c r="F667" s="13"/>
      <c r="G667" s="102">
        <v>2.0</v>
      </c>
      <c r="H667" s="101" t="s">
        <v>2942</v>
      </c>
      <c r="I667" s="102">
        <v>107.3</v>
      </c>
      <c r="J667" s="102">
        <v>131.98</v>
      </c>
      <c r="K667" s="101" t="s">
        <v>2941</v>
      </c>
      <c r="L667" s="102">
        <v>23.0</v>
      </c>
      <c r="M667" s="13"/>
    </row>
    <row r="668">
      <c r="A668" s="101" t="s">
        <v>3348</v>
      </c>
      <c r="B668" s="101" t="s">
        <v>3349</v>
      </c>
      <c r="D668" s="13"/>
      <c r="E668" s="13"/>
      <c r="F668" s="13"/>
      <c r="G668" s="102">
        <v>1.0</v>
      </c>
      <c r="H668" s="101" t="s">
        <v>2940</v>
      </c>
      <c r="I668" s="102">
        <v>133.01</v>
      </c>
      <c r="J668" s="102">
        <v>163.6</v>
      </c>
      <c r="K668" s="101" t="s">
        <v>2941</v>
      </c>
      <c r="L668" s="102">
        <v>23.0</v>
      </c>
      <c r="M668" s="13"/>
    </row>
    <row r="669">
      <c r="A669" s="101" t="s">
        <v>3348</v>
      </c>
      <c r="B669" s="101" t="s">
        <v>3349</v>
      </c>
      <c r="D669" s="13"/>
      <c r="E669" s="13"/>
      <c r="F669" s="13"/>
      <c r="G669" s="102">
        <v>2.0</v>
      </c>
      <c r="H669" s="101" t="s">
        <v>2942</v>
      </c>
      <c r="I669" s="102">
        <v>106.4</v>
      </c>
      <c r="J669" s="102">
        <v>130.87</v>
      </c>
      <c r="K669" s="101" t="s">
        <v>2941</v>
      </c>
      <c r="L669" s="102">
        <v>23.0</v>
      </c>
      <c r="M669" s="13"/>
    </row>
    <row r="670">
      <c r="A670" s="101" t="s">
        <v>3350</v>
      </c>
      <c r="B670" s="101" t="s">
        <v>3351</v>
      </c>
      <c r="D670" s="13"/>
      <c r="E670" s="13"/>
      <c r="F670" s="13"/>
      <c r="G670" s="102">
        <v>1.0</v>
      </c>
      <c r="H670" s="101" t="s">
        <v>2940</v>
      </c>
      <c r="I670" s="102">
        <v>266.02</v>
      </c>
      <c r="J670" s="102">
        <v>327.2</v>
      </c>
      <c r="K670" s="101" t="s">
        <v>2941</v>
      </c>
      <c r="L670" s="102">
        <v>23.0</v>
      </c>
      <c r="M670" s="13"/>
    </row>
    <row r="671">
      <c r="A671" s="101" t="s">
        <v>3350</v>
      </c>
      <c r="B671" s="101" t="s">
        <v>3351</v>
      </c>
      <c r="D671" s="13"/>
      <c r="E671" s="13"/>
      <c r="F671" s="13"/>
      <c r="G671" s="102">
        <v>2.0</v>
      </c>
      <c r="H671" s="101" t="s">
        <v>2942</v>
      </c>
      <c r="I671" s="102">
        <v>212.8</v>
      </c>
      <c r="J671" s="102">
        <v>261.74</v>
      </c>
      <c r="K671" s="101" t="s">
        <v>2941</v>
      </c>
      <c r="L671" s="102">
        <v>23.0</v>
      </c>
      <c r="M671" s="13"/>
    </row>
    <row r="672">
      <c r="A672" s="101" t="s">
        <v>3352</v>
      </c>
      <c r="B672" s="101" t="s">
        <v>3353</v>
      </c>
      <c r="D672" s="13"/>
      <c r="E672" s="13"/>
      <c r="F672" s="13"/>
      <c r="G672" s="102">
        <v>1.0</v>
      </c>
      <c r="H672" s="101" t="s">
        <v>2940</v>
      </c>
      <c r="I672" s="102">
        <v>399.02</v>
      </c>
      <c r="J672" s="102">
        <v>490.79</v>
      </c>
      <c r="K672" s="101" t="s">
        <v>2941</v>
      </c>
      <c r="L672" s="102">
        <v>23.0</v>
      </c>
      <c r="M672" s="13"/>
    </row>
    <row r="673">
      <c r="A673" s="101" t="s">
        <v>3352</v>
      </c>
      <c r="B673" s="101" t="s">
        <v>3353</v>
      </c>
      <c r="D673" s="13"/>
      <c r="E673" s="13"/>
      <c r="F673" s="13"/>
      <c r="G673" s="102">
        <v>2.0</v>
      </c>
      <c r="H673" s="101" t="s">
        <v>2942</v>
      </c>
      <c r="I673" s="102">
        <v>319.2</v>
      </c>
      <c r="J673" s="102">
        <v>392.62</v>
      </c>
      <c r="K673" s="101" t="s">
        <v>2941</v>
      </c>
      <c r="L673" s="102">
        <v>23.0</v>
      </c>
      <c r="M673" s="13"/>
    </row>
    <row r="674">
      <c r="A674" s="101" t="s">
        <v>3354</v>
      </c>
      <c r="B674" s="101">
        <v>577.0</v>
      </c>
      <c r="C674" s="13"/>
      <c r="D674" s="13"/>
      <c r="E674" s="13"/>
      <c r="F674" s="13"/>
      <c r="G674" s="102">
        <v>1.0</v>
      </c>
      <c r="H674" s="101" t="s">
        <v>2940</v>
      </c>
      <c r="I674" s="102">
        <v>165.77</v>
      </c>
      <c r="J674" s="102">
        <v>203.9</v>
      </c>
      <c r="K674" s="101" t="s">
        <v>2941</v>
      </c>
      <c r="L674" s="102">
        <v>23.0</v>
      </c>
      <c r="M674" s="13"/>
    </row>
    <row r="675">
      <c r="A675" s="101" t="s">
        <v>3354</v>
      </c>
      <c r="B675" s="101">
        <v>577.0</v>
      </c>
      <c r="C675" s="13"/>
      <c r="D675" s="13"/>
      <c r="E675" s="13"/>
      <c r="F675" s="13"/>
      <c r="G675" s="102">
        <v>2.0</v>
      </c>
      <c r="H675" s="101" t="s">
        <v>2942</v>
      </c>
      <c r="I675" s="102">
        <v>165.8</v>
      </c>
      <c r="J675" s="102">
        <v>203.93</v>
      </c>
      <c r="K675" s="101" t="s">
        <v>2941</v>
      </c>
      <c r="L675" s="102">
        <v>23.0</v>
      </c>
      <c r="M675" s="13"/>
    </row>
    <row r="676">
      <c r="A676" s="101" t="s">
        <v>3355</v>
      </c>
      <c r="B676" s="101">
        <v>578.0</v>
      </c>
      <c r="C676" s="13"/>
      <c r="D676" s="13"/>
      <c r="E676" s="13"/>
      <c r="F676" s="13"/>
      <c r="G676" s="102">
        <v>1.0</v>
      </c>
      <c r="H676" s="101" t="s">
        <v>2940</v>
      </c>
      <c r="I676" s="102">
        <v>331.63</v>
      </c>
      <c r="J676" s="102">
        <v>407.9</v>
      </c>
      <c r="K676" s="101" t="s">
        <v>2941</v>
      </c>
      <c r="L676" s="102">
        <v>23.0</v>
      </c>
      <c r="M676" s="13"/>
    </row>
    <row r="677">
      <c r="A677" s="101" t="s">
        <v>3355</v>
      </c>
      <c r="B677" s="101">
        <v>578.0</v>
      </c>
      <c r="C677" s="13"/>
      <c r="D677" s="13"/>
      <c r="E677" s="13"/>
      <c r="F677" s="13"/>
      <c r="G677" s="102">
        <v>2.0</v>
      </c>
      <c r="H677" s="101" t="s">
        <v>2942</v>
      </c>
      <c r="I677" s="102">
        <v>331.6</v>
      </c>
      <c r="J677" s="102">
        <v>407.87</v>
      </c>
      <c r="K677" s="101" t="s">
        <v>2941</v>
      </c>
      <c r="L677" s="102">
        <v>23.0</v>
      </c>
      <c r="M677" s="13"/>
    </row>
    <row r="678">
      <c r="A678" s="101" t="s">
        <v>3356</v>
      </c>
      <c r="B678" s="101">
        <v>579.0</v>
      </c>
      <c r="C678" s="13"/>
      <c r="D678" s="13"/>
      <c r="E678" s="13"/>
      <c r="F678" s="13"/>
      <c r="G678" s="102">
        <v>1.0</v>
      </c>
      <c r="H678" s="101" t="s">
        <v>2940</v>
      </c>
      <c r="I678" s="102">
        <v>497.4</v>
      </c>
      <c r="J678" s="102">
        <v>611.8</v>
      </c>
      <c r="K678" s="101" t="s">
        <v>2941</v>
      </c>
      <c r="L678" s="102">
        <v>23.0</v>
      </c>
      <c r="M678" s="13"/>
    </row>
    <row r="679">
      <c r="A679" s="101" t="s">
        <v>3356</v>
      </c>
      <c r="B679" s="101">
        <v>579.0</v>
      </c>
      <c r="C679" s="13"/>
      <c r="D679" s="13"/>
      <c r="E679" s="13"/>
      <c r="F679" s="13"/>
      <c r="G679" s="102">
        <v>2.0</v>
      </c>
      <c r="H679" s="101" t="s">
        <v>2942</v>
      </c>
      <c r="I679" s="102">
        <v>497.4</v>
      </c>
      <c r="J679" s="102">
        <v>611.8</v>
      </c>
      <c r="K679" s="101" t="s">
        <v>2941</v>
      </c>
      <c r="L679" s="102">
        <v>23.0</v>
      </c>
      <c r="M679" s="13"/>
    </row>
    <row r="680">
      <c r="A680" s="101" t="s">
        <v>3357</v>
      </c>
      <c r="B680" s="101" t="s">
        <v>3358</v>
      </c>
      <c r="D680" s="13"/>
      <c r="E680" s="13"/>
      <c r="F680" s="13"/>
      <c r="G680" s="102">
        <v>1.0</v>
      </c>
      <c r="H680" s="101" t="s">
        <v>2940</v>
      </c>
      <c r="I680" s="102">
        <v>14.88</v>
      </c>
      <c r="J680" s="102">
        <v>18.3</v>
      </c>
      <c r="K680" s="101" t="s">
        <v>2941</v>
      </c>
      <c r="L680" s="102">
        <v>23.0</v>
      </c>
      <c r="M680" s="13"/>
    </row>
    <row r="681">
      <c r="A681" s="101" t="s">
        <v>3357</v>
      </c>
      <c r="B681" s="101" t="s">
        <v>3358</v>
      </c>
      <c r="D681" s="13"/>
      <c r="E681" s="13"/>
      <c r="F681" s="13"/>
      <c r="G681" s="102">
        <v>2.0</v>
      </c>
      <c r="H681" s="101" t="s">
        <v>2942</v>
      </c>
      <c r="I681" s="102">
        <v>11.9</v>
      </c>
      <c r="J681" s="102">
        <v>14.64</v>
      </c>
      <c r="K681" s="101" t="s">
        <v>2941</v>
      </c>
      <c r="L681" s="102">
        <v>23.0</v>
      </c>
      <c r="M681" s="13"/>
    </row>
    <row r="682">
      <c r="A682" s="101" t="s">
        <v>3359</v>
      </c>
      <c r="B682" s="101" t="s">
        <v>3360</v>
      </c>
      <c r="D682" s="13"/>
      <c r="E682" s="13"/>
      <c r="F682" s="13"/>
      <c r="G682" s="102">
        <v>1.0</v>
      </c>
      <c r="H682" s="101" t="s">
        <v>2940</v>
      </c>
      <c r="I682" s="102">
        <v>27.32</v>
      </c>
      <c r="J682" s="102">
        <v>33.6</v>
      </c>
      <c r="K682" s="101" t="s">
        <v>2941</v>
      </c>
      <c r="L682" s="102">
        <v>23.0</v>
      </c>
      <c r="M682" s="13"/>
    </row>
    <row r="683">
      <c r="A683" s="101" t="s">
        <v>3359</v>
      </c>
      <c r="B683" s="101" t="s">
        <v>3360</v>
      </c>
      <c r="D683" s="13"/>
      <c r="E683" s="13"/>
      <c r="F683" s="13"/>
      <c r="G683" s="102">
        <v>2.0</v>
      </c>
      <c r="H683" s="101" t="s">
        <v>2942</v>
      </c>
      <c r="I683" s="102">
        <v>27.3</v>
      </c>
      <c r="J683" s="102">
        <v>33.58</v>
      </c>
      <c r="K683" s="101" t="s">
        <v>2941</v>
      </c>
      <c r="L683" s="102">
        <v>23.0</v>
      </c>
      <c r="M683" s="13"/>
    </row>
    <row r="684">
      <c r="A684" s="101" t="s">
        <v>3361</v>
      </c>
      <c r="B684" s="101" t="s">
        <v>3362</v>
      </c>
      <c r="D684" s="13"/>
      <c r="E684" s="13"/>
      <c r="F684" s="13"/>
      <c r="G684" s="102">
        <v>1.0</v>
      </c>
      <c r="H684" s="101" t="s">
        <v>2940</v>
      </c>
      <c r="I684" s="102">
        <v>21.54</v>
      </c>
      <c r="J684" s="102">
        <v>26.5</v>
      </c>
      <c r="K684" s="101" t="s">
        <v>2941</v>
      </c>
      <c r="L684" s="102">
        <v>23.0</v>
      </c>
      <c r="M684" s="13"/>
    </row>
    <row r="685">
      <c r="A685" s="101" t="s">
        <v>3361</v>
      </c>
      <c r="B685" s="101" t="s">
        <v>3362</v>
      </c>
      <c r="D685" s="13"/>
      <c r="E685" s="13"/>
      <c r="F685" s="13"/>
      <c r="G685" s="102">
        <v>2.0</v>
      </c>
      <c r="H685" s="101" t="s">
        <v>2942</v>
      </c>
      <c r="I685" s="102">
        <v>21.5</v>
      </c>
      <c r="J685" s="102">
        <v>26.45</v>
      </c>
      <c r="K685" s="101" t="s">
        <v>2941</v>
      </c>
      <c r="L685" s="102">
        <v>23.0</v>
      </c>
      <c r="M685" s="13"/>
    </row>
    <row r="686">
      <c r="A686" s="101" t="s">
        <v>3363</v>
      </c>
      <c r="B686" s="101" t="s">
        <v>3364</v>
      </c>
      <c r="D686" s="13"/>
      <c r="E686" s="13"/>
      <c r="F686" s="13"/>
      <c r="G686" s="102">
        <v>1.0</v>
      </c>
      <c r="H686" s="101" t="s">
        <v>2940</v>
      </c>
      <c r="I686" s="102">
        <v>30.89</v>
      </c>
      <c r="J686" s="102">
        <v>37.99</v>
      </c>
      <c r="K686" s="101" t="s">
        <v>2941</v>
      </c>
      <c r="L686" s="102">
        <v>23.0</v>
      </c>
      <c r="M686" s="13"/>
    </row>
    <row r="687">
      <c r="A687" s="101" t="s">
        <v>3363</v>
      </c>
      <c r="B687" s="101" t="s">
        <v>3364</v>
      </c>
      <c r="D687" s="13"/>
      <c r="E687" s="13"/>
      <c r="F687" s="13"/>
      <c r="G687" s="102">
        <v>2.0</v>
      </c>
      <c r="H687" s="101" t="s">
        <v>2942</v>
      </c>
      <c r="I687" s="102">
        <v>30.95</v>
      </c>
      <c r="J687" s="102">
        <v>38.07</v>
      </c>
      <c r="K687" s="101" t="s">
        <v>2941</v>
      </c>
      <c r="L687" s="102">
        <v>23.0</v>
      </c>
      <c r="M687" s="13"/>
    </row>
    <row r="688">
      <c r="A688" s="101" t="s">
        <v>3365</v>
      </c>
      <c r="B688" s="101" t="s">
        <v>3366</v>
      </c>
      <c r="D688" s="13"/>
      <c r="E688" s="13"/>
      <c r="F688" s="13"/>
      <c r="G688" s="102">
        <v>1.0</v>
      </c>
      <c r="H688" s="101" t="s">
        <v>2940</v>
      </c>
      <c r="I688" s="102">
        <v>24.39</v>
      </c>
      <c r="J688" s="102">
        <v>30.0</v>
      </c>
      <c r="K688" s="101" t="s">
        <v>2941</v>
      </c>
      <c r="L688" s="102">
        <v>23.0</v>
      </c>
      <c r="M688" s="13"/>
    </row>
    <row r="689">
      <c r="A689" s="101" t="s">
        <v>3365</v>
      </c>
      <c r="B689" s="101" t="s">
        <v>3366</v>
      </c>
      <c r="D689" s="13"/>
      <c r="E689" s="13"/>
      <c r="F689" s="13"/>
      <c r="G689" s="102">
        <v>2.0</v>
      </c>
      <c r="H689" s="101" t="s">
        <v>2942</v>
      </c>
      <c r="I689" s="102">
        <v>24.5</v>
      </c>
      <c r="J689" s="102">
        <v>30.14</v>
      </c>
      <c r="K689" s="101" t="s">
        <v>2941</v>
      </c>
      <c r="L689" s="102">
        <v>23.0</v>
      </c>
      <c r="M689" s="13"/>
    </row>
    <row r="690">
      <c r="A690" s="101" t="s">
        <v>3367</v>
      </c>
      <c r="B690" s="101" t="s">
        <v>3368</v>
      </c>
      <c r="D690" s="13"/>
      <c r="E690" s="13"/>
      <c r="F690" s="13"/>
      <c r="G690" s="102">
        <v>1.0</v>
      </c>
      <c r="H690" s="101" t="s">
        <v>2940</v>
      </c>
      <c r="I690" s="102">
        <v>19.51</v>
      </c>
      <c r="J690" s="102">
        <v>24.0</v>
      </c>
      <c r="K690" s="101" t="s">
        <v>2941</v>
      </c>
      <c r="L690" s="102">
        <v>23.0</v>
      </c>
      <c r="M690" s="13"/>
    </row>
    <row r="691">
      <c r="A691" s="101" t="s">
        <v>3367</v>
      </c>
      <c r="B691" s="101" t="s">
        <v>3368</v>
      </c>
      <c r="D691" s="13"/>
      <c r="E691" s="13"/>
      <c r="F691" s="13"/>
      <c r="G691" s="102">
        <v>2.0</v>
      </c>
      <c r="H691" s="101" t="s">
        <v>2942</v>
      </c>
      <c r="I691" s="102">
        <v>18.8</v>
      </c>
      <c r="J691" s="102">
        <v>23.12</v>
      </c>
      <c r="K691" s="101" t="s">
        <v>2941</v>
      </c>
      <c r="L691" s="102">
        <v>23.0</v>
      </c>
      <c r="M691" s="13"/>
    </row>
    <row r="692">
      <c r="A692" s="101" t="s">
        <v>3369</v>
      </c>
      <c r="B692" s="101" t="s">
        <v>3370</v>
      </c>
      <c r="D692" s="13"/>
      <c r="E692" s="13"/>
      <c r="F692" s="13"/>
      <c r="G692" s="102">
        <v>1.0</v>
      </c>
      <c r="H692" s="101" t="s">
        <v>2940</v>
      </c>
      <c r="I692" s="102">
        <v>29.67</v>
      </c>
      <c r="J692" s="102">
        <v>36.49</v>
      </c>
      <c r="K692" s="101" t="s">
        <v>2941</v>
      </c>
      <c r="L692" s="102">
        <v>23.0</v>
      </c>
      <c r="M692" s="13"/>
    </row>
    <row r="693">
      <c r="A693" s="101" t="s">
        <v>3369</v>
      </c>
      <c r="B693" s="101" t="s">
        <v>3370</v>
      </c>
      <c r="D693" s="13"/>
      <c r="E693" s="13"/>
      <c r="F693" s="13"/>
      <c r="G693" s="102">
        <v>2.0</v>
      </c>
      <c r="H693" s="101" t="s">
        <v>2942</v>
      </c>
      <c r="I693" s="102">
        <v>23.7</v>
      </c>
      <c r="J693" s="102">
        <v>29.15</v>
      </c>
      <c r="K693" s="101" t="s">
        <v>2941</v>
      </c>
      <c r="L693" s="102">
        <v>23.0</v>
      </c>
      <c r="M693" s="13"/>
    </row>
    <row r="694">
      <c r="A694" s="101" t="s">
        <v>3371</v>
      </c>
      <c r="B694" s="101" t="s">
        <v>3372</v>
      </c>
      <c r="D694" s="13"/>
      <c r="E694" s="13"/>
      <c r="F694" s="13"/>
      <c r="G694" s="102">
        <v>1.0</v>
      </c>
      <c r="H694" s="101" t="s">
        <v>2940</v>
      </c>
      <c r="I694" s="102">
        <v>43.01</v>
      </c>
      <c r="J694" s="102">
        <v>52.9</v>
      </c>
      <c r="K694" s="101" t="s">
        <v>2941</v>
      </c>
      <c r="L694" s="102">
        <v>23.0</v>
      </c>
      <c r="M694" s="13"/>
    </row>
    <row r="695">
      <c r="A695" s="101" t="s">
        <v>3371</v>
      </c>
      <c r="B695" s="101" t="s">
        <v>3372</v>
      </c>
      <c r="D695" s="13"/>
      <c r="E695" s="13"/>
      <c r="F695" s="13"/>
      <c r="G695" s="102">
        <v>2.0</v>
      </c>
      <c r="H695" s="101" t="s">
        <v>2942</v>
      </c>
      <c r="I695" s="102">
        <v>35.0</v>
      </c>
      <c r="J695" s="102">
        <v>43.05</v>
      </c>
      <c r="K695" s="101" t="s">
        <v>2941</v>
      </c>
      <c r="L695" s="102">
        <v>23.0</v>
      </c>
      <c r="M695" s="13"/>
    </row>
    <row r="696">
      <c r="A696" s="101" t="s">
        <v>3373</v>
      </c>
      <c r="B696" s="101" t="s">
        <v>3374</v>
      </c>
      <c r="D696" s="13"/>
      <c r="E696" s="13"/>
      <c r="F696" s="13"/>
      <c r="G696" s="102">
        <v>1.0</v>
      </c>
      <c r="H696" s="101" t="s">
        <v>2940</v>
      </c>
      <c r="I696" s="102">
        <v>37.97</v>
      </c>
      <c r="J696" s="102">
        <v>46.7</v>
      </c>
      <c r="K696" s="101" t="s">
        <v>2941</v>
      </c>
      <c r="L696" s="102">
        <v>23.0</v>
      </c>
      <c r="M696" s="13"/>
    </row>
    <row r="697">
      <c r="A697" s="101" t="s">
        <v>3373</v>
      </c>
      <c r="B697" s="101" t="s">
        <v>3374</v>
      </c>
      <c r="D697" s="13"/>
      <c r="E697" s="13"/>
      <c r="F697" s="13"/>
      <c r="G697" s="102">
        <v>2.0</v>
      </c>
      <c r="H697" s="101" t="s">
        <v>2942</v>
      </c>
      <c r="I697" s="102">
        <v>30.0</v>
      </c>
      <c r="J697" s="102">
        <v>36.9</v>
      </c>
      <c r="K697" s="101" t="s">
        <v>2941</v>
      </c>
      <c r="L697" s="102">
        <v>23.0</v>
      </c>
      <c r="M697" s="13"/>
    </row>
    <row r="698">
      <c r="A698" s="101" t="s">
        <v>3375</v>
      </c>
      <c r="B698" s="101" t="s">
        <v>3376</v>
      </c>
      <c r="D698" s="13"/>
      <c r="E698" s="13"/>
      <c r="F698" s="13"/>
      <c r="G698" s="102">
        <v>1.0</v>
      </c>
      <c r="H698" s="101" t="s">
        <v>2940</v>
      </c>
      <c r="I698" s="102">
        <v>61.79</v>
      </c>
      <c r="J698" s="102">
        <v>76.0</v>
      </c>
      <c r="K698" s="101" t="s">
        <v>2941</v>
      </c>
      <c r="L698" s="102">
        <v>23.0</v>
      </c>
      <c r="M698" s="13"/>
    </row>
    <row r="699">
      <c r="A699" s="101" t="s">
        <v>3375</v>
      </c>
      <c r="B699" s="101" t="s">
        <v>3376</v>
      </c>
      <c r="D699" s="13"/>
      <c r="E699" s="13"/>
      <c r="F699" s="13"/>
      <c r="G699" s="102">
        <v>2.0</v>
      </c>
      <c r="H699" s="101" t="s">
        <v>2942</v>
      </c>
      <c r="I699" s="102">
        <v>61.9</v>
      </c>
      <c r="J699" s="102">
        <v>76.14</v>
      </c>
      <c r="K699" s="101" t="s">
        <v>2941</v>
      </c>
      <c r="L699" s="102">
        <v>23.0</v>
      </c>
      <c r="M699" s="13"/>
    </row>
    <row r="700">
      <c r="A700" s="101" t="s">
        <v>3377</v>
      </c>
      <c r="B700" s="101" t="s">
        <v>3378</v>
      </c>
      <c r="D700" s="13"/>
      <c r="E700" s="13"/>
      <c r="F700" s="13"/>
      <c r="G700" s="102">
        <v>1.0</v>
      </c>
      <c r="H700" s="101" t="s">
        <v>2940</v>
      </c>
      <c r="I700" s="102">
        <v>48.78</v>
      </c>
      <c r="J700" s="102">
        <v>60.0</v>
      </c>
      <c r="K700" s="101" t="s">
        <v>2941</v>
      </c>
      <c r="L700" s="102">
        <v>23.0</v>
      </c>
      <c r="M700" s="13"/>
    </row>
    <row r="701">
      <c r="A701" s="101" t="s">
        <v>3377</v>
      </c>
      <c r="B701" s="101" t="s">
        <v>3378</v>
      </c>
      <c r="D701" s="13"/>
      <c r="E701" s="13"/>
      <c r="F701" s="13"/>
      <c r="G701" s="102">
        <v>2.0</v>
      </c>
      <c r="H701" s="101" t="s">
        <v>2942</v>
      </c>
      <c r="I701" s="102">
        <v>49.0</v>
      </c>
      <c r="J701" s="102">
        <v>60.27</v>
      </c>
      <c r="K701" s="101" t="s">
        <v>2941</v>
      </c>
      <c r="L701" s="102">
        <v>23.0</v>
      </c>
      <c r="M701" s="13"/>
    </row>
    <row r="702">
      <c r="A702" s="101" t="s">
        <v>3379</v>
      </c>
      <c r="B702" s="101" t="s">
        <v>3380</v>
      </c>
      <c r="D702" s="13"/>
      <c r="E702" s="13"/>
      <c r="F702" s="13"/>
      <c r="G702" s="102">
        <v>1.0</v>
      </c>
      <c r="H702" s="101" t="s">
        <v>2940</v>
      </c>
      <c r="I702" s="102">
        <v>37.4</v>
      </c>
      <c r="J702" s="102">
        <v>46.0</v>
      </c>
      <c r="K702" s="101" t="s">
        <v>2941</v>
      </c>
      <c r="L702" s="102">
        <v>23.0</v>
      </c>
      <c r="M702" s="13"/>
    </row>
    <row r="703">
      <c r="A703" s="101" t="s">
        <v>3379</v>
      </c>
      <c r="B703" s="101" t="s">
        <v>3380</v>
      </c>
      <c r="D703" s="13"/>
      <c r="E703" s="13"/>
      <c r="F703" s="13"/>
      <c r="G703" s="102">
        <v>2.0</v>
      </c>
      <c r="H703" s="101" t="s">
        <v>2942</v>
      </c>
      <c r="I703" s="102">
        <v>37.6</v>
      </c>
      <c r="J703" s="102">
        <v>46.25</v>
      </c>
      <c r="K703" s="101" t="s">
        <v>2941</v>
      </c>
      <c r="L703" s="102">
        <v>23.0</v>
      </c>
      <c r="M703" s="13"/>
    </row>
    <row r="704">
      <c r="A704" s="101" t="s">
        <v>3381</v>
      </c>
      <c r="B704" s="101" t="s">
        <v>3382</v>
      </c>
      <c r="D704" s="13"/>
      <c r="E704" s="13"/>
      <c r="F704" s="13"/>
      <c r="G704" s="102">
        <v>1.0</v>
      </c>
      <c r="H704" s="101" t="s">
        <v>2940</v>
      </c>
      <c r="I704" s="102">
        <v>44.47</v>
      </c>
      <c r="J704" s="102">
        <v>54.7</v>
      </c>
      <c r="K704" s="101" t="s">
        <v>2941</v>
      </c>
      <c r="L704" s="102">
        <v>23.0</v>
      </c>
      <c r="M704" s="13"/>
    </row>
    <row r="705">
      <c r="A705" s="101" t="s">
        <v>3381</v>
      </c>
      <c r="B705" s="101" t="s">
        <v>3382</v>
      </c>
      <c r="D705" s="13"/>
      <c r="E705" s="13"/>
      <c r="F705" s="13"/>
      <c r="G705" s="102">
        <v>2.0</v>
      </c>
      <c r="H705" s="101" t="s">
        <v>2942</v>
      </c>
      <c r="I705" s="102">
        <v>35.6</v>
      </c>
      <c r="J705" s="102">
        <v>43.79</v>
      </c>
      <c r="K705" s="101" t="s">
        <v>2941</v>
      </c>
      <c r="L705" s="102">
        <v>23.0</v>
      </c>
      <c r="M705" s="13"/>
    </row>
    <row r="706">
      <c r="A706" s="101" t="s">
        <v>3383</v>
      </c>
      <c r="B706" s="101" t="s">
        <v>3384</v>
      </c>
      <c r="D706" s="13"/>
      <c r="E706" s="13"/>
      <c r="F706" s="13"/>
      <c r="G706" s="102">
        <v>1.0</v>
      </c>
      <c r="H706" s="101" t="s">
        <v>2940</v>
      </c>
      <c r="I706" s="102">
        <v>73.17</v>
      </c>
      <c r="J706" s="102">
        <v>90.0</v>
      </c>
      <c r="K706" s="101" t="s">
        <v>2941</v>
      </c>
      <c r="L706" s="102">
        <v>23.0</v>
      </c>
      <c r="M706" s="13"/>
    </row>
    <row r="707">
      <c r="A707" s="101" t="s">
        <v>3383</v>
      </c>
      <c r="B707" s="101" t="s">
        <v>3384</v>
      </c>
      <c r="D707" s="13"/>
      <c r="E707" s="13"/>
      <c r="F707" s="13"/>
      <c r="G707" s="102">
        <v>2.0</v>
      </c>
      <c r="H707" s="101" t="s">
        <v>2942</v>
      </c>
      <c r="I707" s="102">
        <v>73.5</v>
      </c>
      <c r="J707" s="102">
        <v>90.41</v>
      </c>
      <c r="K707" s="101" t="s">
        <v>2941</v>
      </c>
      <c r="L707" s="102">
        <v>23.0</v>
      </c>
      <c r="M707" s="13"/>
    </row>
    <row r="708">
      <c r="A708" s="101" t="s">
        <v>3385</v>
      </c>
      <c r="B708" s="101" t="s">
        <v>3386</v>
      </c>
      <c r="D708" s="13"/>
      <c r="E708" s="13"/>
      <c r="F708" s="13"/>
      <c r="G708" s="102">
        <v>1.0</v>
      </c>
      <c r="H708" s="101" t="s">
        <v>2940</v>
      </c>
      <c r="I708" s="102">
        <v>56.1</v>
      </c>
      <c r="J708" s="102">
        <v>69.0</v>
      </c>
      <c r="K708" s="101" t="s">
        <v>2941</v>
      </c>
      <c r="L708" s="102">
        <v>23.0</v>
      </c>
      <c r="M708" s="13"/>
    </row>
    <row r="709">
      <c r="A709" s="101" t="s">
        <v>3385</v>
      </c>
      <c r="B709" s="101" t="s">
        <v>3386</v>
      </c>
      <c r="D709" s="13"/>
      <c r="E709" s="13"/>
      <c r="F709" s="13"/>
      <c r="G709" s="102">
        <v>2.0</v>
      </c>
      <c r="H709" s="101" t="s">
        <v>2942</v>
      </c>
      <c r="I709" s="102">
        <v>56.4</v>
      </c>
      <c r="J709" s="102">
        <v>69.37</v>
      </c>
      <c r="K709" s="101" t="s">
        <v>2941</v>
      </c>
      <c r="L709" s="102">
        <v>23.0</v>
      </c>
      <c r="M709" s="13"/>
    </row>
    <row r="710">
      <c r="A710" s="101" t="s">
        <v>3387</v>
      </c>
      <c r="B710" s="101" t="s">
        <v>3388</v>
      </c>
      <c r="D710" s="13"/>
      <c r="E710" s="13"/>
      <c r="F710" s="13"/>
      <c r="G710" s="102">
        <v>1.0</v>
      </c>
      <c r="H710" s="101" t="s">
        <v>2940</v>
      </c>
      <c r="I710" s="102">
        <v>92.68</v>
      </c>
      <c r="J710" s="102">
        <v>114.0</v>
      </c>
      <c r="K710" s="101" t="s">
        <v>2941</v>
      </c>
      <c r="L710" s="102">
        <v>23.0</v>
      </c>
      <c r="M710" s="13"/>
    </row>
    <row r="711">
      <c r="A711" s="101" t="s">
        <v>3387</v>
      </c>
      <c r="B711" s="101" t="s">
        <v>3388</v>
      </c>
      <c r="D711" s="13"/>
      <c r="E711" s="13"/>
      <c r="F711" s="13"/>
      <c r="G711" s="102">
        <v>2.0</v>
      </c>
      <c r="H711" s="101" t="s">
        <v>2942</v>
      </c>
      <c r="I711" s="102">
        <v>92.85</v>
      </c>
      <c r="J711" s="102">
        <v>114.21</v>
      </c>
      <c r="K711" s="101" t="s">
        <v>2941</v>
      </c>
      <c r="L711" s="102">
        <v>23.0</v>
      </c>
      <c r="M711" s="13"/>
    </row>
    <row r="712">
      <c r="A712" s="101" t="s">
        <v>3389</v>
      </c>
      <c r="B712" s="101" t="s">
        <v>3390</v>
      </c>
      <c r="D712" s="13"/>
      <c r="E712" s="13"/>
      <c r="F712" s="13"/>
      <c r="G712" s="102">
        <v>1.0</v>
      </c>
      <c r="H712" s="101" t="s">
        <v>2940</v>
      </c>
      <c r="I712" s="102">
        <v>73.17</v>
      </c>
      <c r="J712" s="102">
        <v>90.0</v>
      </c>
      <c r="K712" s="101" t="s">
        <v>2941</v>
      </c>
      <c r="L712" s="102">
        <v>23.0</v>
      </c>
      <c r="M712" s="13"/>
    </row>
    <row r="713">
      <c r="A713" s="101" t="s">
        <v>3389</v>
      </c>
      <c r="B713" s="101" t="s">
        <v>3390</v>
      </c>
      <c r="D713" s="13"/>
      <c r="E713" s="13"/>
      <c r="F713" s="13"/>
      <c r="G713" s="102">
        <v>2.0</v>
      </c>
      <c r="H713" s="101" t="s">
        <v>2942</v>
      </c>
      <c r="I713" s="102">
        <v>73.5</v>
      </c>
      <c r="J713" s="102">
        <v>90.41</v>
      </c>
      <c r="K713" s="101" t="s">
        <v>2941</v>
      </c>
      <c r="L713" s="102">
        <v>23.0</v>
      </c>
      <c r="M713" s="13"/>
    </row>
    <row r="714">
      <c r="A714" s="101" t="s">
        <v>3391</v>
      </c>
      <c r="B714" s="101" t="s">
        <v>3392</v>
      </c>
      <c r="D714" s="13"/>
      <c r="E714" s="13"/>
      <c r="F714" s="13"/>
      <c r="G714" s="102">
        <v>1.0</v>
      </c>
      <c r="H714" s="101" t="s">
        <v>2940</v>
      </c>
      <c r="I714" s="102">
        <v>56.1</v>
      </c>
      <c r="J714" s="102">
        <v>69.0</v>
      </c>
      <c r="K714" s="101" t="s">
        <v>2941</v>
      </c>
      <c r="L714" s="102">
        <v>23.0</v>
      </c>
      <c r="M714" s="13"/>
    </row>
    <row r="715">
      <c r="A715" s="101" t="s">
        <v>3391</v>
      </c>
      <c r="B715" s="101" t="s">
        <v>3392</v>
      </c>
      <c r="D715" s="13"/>
      <c r="E715" s="13"/>
      <c r="F715" s="13"/>
      <c r="G715" s="102">
        <v>2.0</v>
      </c>
      <c r="H715" s="101" t="s">
        <v>2942</v>
      </c>
      <c r="I715" s="102">
        <v>56.4</v>
      </c>
      <c r="J715" s="102">
        <v>69.37</v>
      </c>
      <c r="K715" s="101" t="s">
        <v>2941</v>
      </c>
      <c r="L715" s="102">
        <v>23.0</v>
      </c>
      <c r="M715" s="13"/>
    </row>
    <row r="716">
      <c r="A716" s="101" t="s">
        <v>3393</v>
      </c>
      <c r="B716" s="101" t="s">
        <v>3394</v>
      </c>
      <c r="D716" s="13"/>
      <c r="E716" s="13"/>
      <c r="F716" s="13"/>
      <c r="G716" s="102">
        <v>1.0</v>
      </c>
      <c r="H716" s="101" t="s">
        <v>2940</v>
      </c>
      <c r="I716" s="102">
        <v>19.51</v>
      </c>
      <c r="J716" s="102">
        <v>24.0</v>
      </c>
      <c r="K716" s="101" t="s">
        <v>2941</v>
      </c>
      <c r="L716" s="102">
        <v>23.0</v>
      </c>
      <c r="M716" s="13"/>
    </row>
    <row r="717">
      <c r="A717" s="101" t="s">
        <v>3393</v>
      </c>
      <c r="B717" s="101" t="s">
        <v>3394</v>
      </c>
      <c r="D717" s="13"/>
      <c r="E717" s="13"/>
      <c r="F717" s="13"/>
      <c r="G717" s="102">
        <v>2.0</v>
      </c>
      <c r="H717" s="101" t="s">
        <v>2942</v>
      </c>
      <c r="I717" s="102">
        <v>15.6</v>
      </c>
      <c r="J717" s="102">
        <v>19.19</v>
      </c>
      <c r="K717" s="101" t="s">
        <v>2941</v>
      </c>
      <c r="L717" s="102">
        <v>23.0</v>
      </c>
      <c r="M717" s="13"/>
    </row>
    <row r="718">
      <c r="A718" s="101" t="s">
        <v>3395</v>
      </c>
      <c r="B718" s="101" t="s">
        <v>3396</v>
      </c>
      <c r="D718" s="13"/>
      <c r="E718" s="13"/>
      <c r="F718" s="13"/>
      <c r="G718" s="102">
        <v>1.0</v>
      </c>
      <c r="H718" s="101" t="s">
        <v>2940</v>
      </c>
      <c r="I718" s="102">
        <v>22.36</v>
      </c>
      <c r="J718" s="102">
        <v>27.5</v>
      </c>
      <c r="K718" s="101" t="s">
        <v>2941</v>
      </c>
      <c r="L718" s="102">
        <v>23.0</v>
      </c>
      <c r="M718" s="13"/>
    </row>
    <row r="719">
      <c r="A719" s="101" t="s">
        <v>3395</v>
      </c>
      <c r="B719" s="101" t="s">
        <v>3396</v>
      </c>
      <c r="D719" s="13"/>
      <c r="E719" s="13"/>
      <c r="F719" s="13"/>
      <c r="G719" s="102">
        <v>2.0</v>
      </c>
      <c r="H719" s="101" t="s">
        <v>2942</v>
      </c>
      <c r="I719" s="102">
        <v>17.9</v>
      </c>
      <c r="J719" s="102">
        <v>22.02</v>
      </c>
      <c r="K719" s="101" t="s">
        <v>2941</v>
      </c>
      <c r="L719" s="102">
        <v>23.0</v>
      </c>
      <c r="M719" s="13"/>
    </row>
    <row r="720">
      <c r="A720" s="101" t="s">
        <v>3397</v>
      </c>
      <c r="B720" s="101" t="s">
        <v>3398</v>
      </c>
      <c r="D720" s="13"/>
      <c r="E720" s="13"/>
      <c r="F720" s="13"/>
      <c r="G720" s="102">
        <v>1.0</v>
      </c>
      <c r="H720" s="101" t="s">
        <v>2940</v>
      </c>
      <c r="I720" s="102">
        <v>33.33</v>
      </c>
      <c r="J720" s="102">
        <v>41.0</v>
      </c>
      <c r="K720" s="101" t="s">
        <v>2941</v>
      </c>
      <c r="L720" s="102">
        <v>23.0</v>
      </c>
      <c r="M720" s="13"/>
    </row>
    <row r="721">
      <c r="A721" s="101" t="s">
        <v>3397</v>
      </c>
      <c r="B721" s="101" t="s">
        <v>3398</v>
      </c>
      <c r="D721" s="13"/>
      <c r="E721" s="13"/>
      <c r="F721" s="13"/>
      <c r="G721" s="102">
        <v>2.0</v>
      </c>
      <c r="H721" s="101" t="s">
        <v>2942</v>
      </c>
      <c r="I721" s="102">
        <v>33.25</v>
      </c>
      <c r="J721" s="102">
        <v>40.9</v>
      </c>
      <c r="K721" s="101" t="s">
        <v>2941</v>
      </c>
      <c r="L721" s="102">
        <v>23.0</v>
      </c>
      <c r="M721" s="13"/>
    </row>
    <row r="722">
      <c r="A722" s="101" t="s">
        <v>3399</v>
      </c>
      <c r="B722" s="101" t="s">
        <v>3400</v>
      </c>
      <c r="D722" s="13"/>
      <c r="E722" s="13"/>
      <c r="F722" s="13"/>
      <c r="G722" s="102">
        <v>1.0</v>
      </c>
      <c r="H722" s="101" t="s">
        <v>2940</v>
      </c>
      <c r="I722" s="102">
        <v>24.39</v>
      </c>
      <c r="J722" s="102">
        <v>30.0</v>
      </c>
      <c r="K722" s="101" t="s">
        <v>2941</v>
      </c>
      <c r="L722" s="102">
        <v>23.0</v>
      </c>
      <c r="M722" s="13"/>
    </row>
    <row r="723">
      <c r="A723" s="101" t="s">
        <v>3399</v>
      </c>
      <c r="B723" s="101" t="s">
        <v>3400</v>
      </c>
      <c r="D723" s="13"/>
      <c r="E723" s="13"/>
      <c r="F723" s="13"/>
      <c r="G723" s="102">
        <v>2.0</v>
      </c>
      <c r="H723" s="101" t="s">
        <v>2942</v>
      </c>
      <c r="I723" s="102">
        <v>24.75</v>
      </c>
      <c r="J723" s="102">
        <v>30.44</v>
      </c>
      <c r="K723" s="101" t="s">
        <v>2941</v>
      </c>
      <c r="L723" s="102">
        <v>23.0</v>
      </c>
      <c r="M723" s="13"/>
    </row>
    <row r="724">
      <c r="A724" s="101" t="s">
        <v>3401</v>
      </c>
      <c r="B724" s="101" t="s">
        <v>3402</v>
      </c>
      <c r="D724" s="13"/>
      <c r="E724" s="13"/>
      <c r="F724" s="13"/>
      <c r="G724" s="102">
        <v>1.0</v>
      </c>
      <c r="H724" s="101" t="s">
        <v>2940</v>
      </c>
      <c r="I724" s="102">
        <v>33.33</v>
      </c>
      <c r="J724" s="102">
        <v>41.0</v>
      </c>
      <c r="K724" s="101" t="s">
        <v>2941</v>
      </c>
      <c r="L724" s="102">
        <v>23.0</v>
      </c>
      <c r="M724" s="13"/>
    </row>
    <row r="725">
      <c r="A725" s="101" t="s">
        <v>3401</v>
      </c>
      <c r="B725" s="101" t="s">
        <v>3402</v>
      </c>
      <c r="D725" s="13"/>
      <c r="E725" s="13"/>
      <c r="F725" s="13"/>
      <c r="G725" s="102">
        <v>2.0</v>
      </c>
      <c r="H725" s="101" t="s">
        <v>2942</v>
      </c>
      <c r="I725" s="102">
        <v>33.25</v>
      </c>
      <c r="J725" s="102">
        <v>40.9</v>
      </c>
      <c r="K725" s="101" t="s">
        <v>2941</v>
      </c>
      <c r="L725" s="102">
        <v>23.0</v>
      </c>
      <c r="M725" s="13"/>
    </row>
    <row r="726">
      <c r="A726" s="101" t="s">
        <v>3403</v>
      </c>
      <c r="B726" s="101" t="s">
        <v>3404</v>
      </c>
      <c r="D726" s="13"/>
      <c r="E726" s="13"/>
      <c r="F726" s="13"/>
      <c r="G726" s="102">
        <v>1.0</v>
      </c>
      <c r="H726" s="101" t="s">
        <v>2940</v>
      </c>
      <c r="I726" s="102">
        <v>24.39</v>
      </c>
      <c r="J726" s="102">
        <v>30.0</v>
      </c>
      <c r="K726" s="101" t="s">
        <v>2941</v>
      </c>
      <c r="L726" s="102">
        <v>23.0</v>
      </c>
      <c r="M726" s="13"/>
    </row>
    <row r="727">
      <c r="A727" s="101" t="s">
        <v>3403</v>
      </c>
      <c r="B727" s="101" t="s">
        <v>3404</v>
      </c>
      <c r="D727" s="13"/>
      <c r="E727" s="13"/>
      <c r="F727" s="13"/>
      <c r="G727" s="102">
        <v>2.0</v>
      </c>
      <c r="H727" s="101" t="s">
        <v>2942</v>
      </c>
      <c r="I727" s="102">
        <v>24.75</v>
      </c>
      <c r="J727" s="102">
        <v>30.44</v>
      </c>
      <c r="K727" s="101" t="s">
        <v>2941</v>
      </c>
      <c r="L727" s="102">
        <v>23.0</v>
      </c>
      <c r="M727" s="13"/>
    </row>
    <row r="728">
      <c r="A728" s="101" t="s">
        <v>3405</v>
      </c>
      <c r="B728" s="101" t="s">
        <v>3406</v>
      </c>
      <c r="D728" s="13"/>
      <c r="E728" s="13"/>
      <c r="F728" s="13"/>
      <c r="G728" s="102">
        <v>1.0</v>
      </c>
      <c r="H728" s="101" t="s">
        <v>2940</v>
      </c>
      <c r="I728" s="102">
        <v>41.06</v>
      </c>
      <c r="J728" s="102">
        <v>50.5</v>
      </c>
      <c r="K728" s="101" t="s">
        <v>2941</v>
      </c>
      <c r="L728" s="102">
        <v>23.0</v>
      </c>
      <c r="M728" s="13"/>
    </row>
    <row r="729">
      <c r="A729" s="101" t="s">
        <v>3405</v>
      </c>
      <c r="B729" s="101" t="s">
        <v>3406</v>
      </c>
      <c r="D729" s="13"/>
      <c r="E729" s="13"/>
      <c r="F729" s="13"/>
      <c r="G729" s="102">
        <v>2.0</v>
      </c>
      <c r="H729" s="101" t="s">
        <v>2942</v>
      </c>
      <c r="I729" s="102">
        <v>32.8</v>
      </c>
      <c r="J729" s="102">
        <v>40.34</v>
      </c>
      <c r="K729" s="101" t="s">
        <v>2941</v>
      </c>
      <c r="L729" s="102">
        <v>23.0</v>
      </c>
      <c r="M729" s="13"/>
    </row>
    <row r="730">
      <c r="A730" s="101" t="s">
        <v>3407</v>
      </c>
      <c r="B730" s="101" t="s">
        <v>3408</v>
      </c>
      <c r="D730" s="13"/>
      <c r="E730" s="13"/>
      <c r="F730" s="13"/>
      <c r="G730" s="102">
        <v>1.0</v>
      </c>
      <c r="H730" s="101" t="s">
        <v>2940</v>
      </c>
      <c r="I730" s="102">
        <v>36.59</v>
      </c>
      <c r="J730" s="102">
        <v>45.0</v>
      </c>
      <c r="K730" s="101" t="s">
        <v>2941</v>
      </c>
      <c r="L730" s="102">
        <v>23.0</v>
      </c>
      <c r="M730" s="13"/>
    </row>
    <row r="731">
      <c r="A731" s="101" t="s">
        <v>3407</v>
      </c>
      <c r="B731" s="101" t="s">
        <v>3408</v>
      </c>
      <c r="D731" s="13"/>
      <c r="E731" s="13"/>
      <c r="F731" s="13"/>
      <c r="G731" s="102">
        <v>2.0</v>
      </c>
      <c r="H731" s="101" t="s">
        <v>2942</v>
      </c>
      <c r="I731" s="102">
        <v>35.0</v>
      </c>
      <c r="J731" s="102">
        <v>43.05</v>
      </c>
      <c r="K731" s="101" t="s">
        <v>2941</v>
      </c>
      <c r="L731" s="102">
        <v>23.0</v>
      </c>
      <c r="M731" s="13"/>
    </row>
    <row r="732">
      <c r="A732" s="101" t="s">
        <v>3409</v>
      </c>
      <c r="B732" s="101" t="s">
        <v>3410</v>
      </c>
      <c r="D732" s="13"/>
      <c r="E732" s="13"/>
      <c r="F732" s="13"/>
      <c r="G732" s="102">
        <v>1.0</v>
      </c>
      <c r="H732" s="101" t="s">
        <v>2940</v>
      </c>
      <c r="I732" s="102">
        <v>26.02</v>
      </c>
      <c r="J732" s="102">
        <v>32.0</v>
      </c>
      <c r="K732" s="101" t="s">
        <v>2941</v>
      </c>
      <c r="L732" s="102">
        <v>23.0</v>
      </c>
      <c r="M732" s="13"/>
    </row>
    <row r="733">
      <c r="A733" s="101" t="s">
        <v>3409</v>
      </c>
      <c r="B733" s="101" t="s">
        <v>3410</v>
      </c>
      <c r="D733" s="13"/>
      <c r="E733" s="13"/>
      <c r="F733" s="13"/>
      <c r="G733" s="102">
        <v>2.0</v>
      </c>
      <c r="H733" s="101" t="s">
        <v>2942</v>
      </c>
      <c r="I733" s="102">
        <v>20.8</v>
      </c>
      <c r="J733" s="102">
        <v>25.58</v>
      </c>
      <c r="K733" s="101" t="s">
        <v>2941</v>
      </c>
      <c r="L733" s="102">
        <v>23.0</v>
      </c>
      <c r="M733" s="13"/>
    </row>
    <row r="734">
      <c r="A734" s="101" t="s">
        <v>3411</v>
      </c>
      <c r="B734" s="101" t="s">
        <v>3412</v>
      </c>
      <c r="D734" s="13"/>
      <c r="E734" s="13"/>
      <c r="F734" s="13"/>
      <c r="G734" s="102">
        <v>1.0</v>
      </c>
      <c r="H734" s="101" t="s">
        <v>2940</v>
      </c>
      <c r="I734" s="102">
        <v>0.0</v>
      </c>
      <c r="J734" s="102">
        <v>0.0</v>
      </c>
      <c r="K734" s="101" t="s">
        <v>2941</v>
      </c>
      <c r="L734" s="102">
        <v>23.0</v>
      </c>
      <c r="M734" s="13"/>
    </row>
    <row r="735">
      <c r="A735" s="101" t="s">
        <v>3411</v>
      </c>
      <c r="B735" s="101" t="s">
        <v>3412</v>
      </c>
      <c r="D735" s="13"/>
      <c r="E735" s="13"/>
      <c r="F735" s="13"/>
      <c r="G735" s="102">
        <v>2.0</v>
      </c>
      <c r="H735" s="101" t="s">
        <v>2942</v>
      </c>
      <c r="I735" s="102">
        <v>0.0</v>
      </c>
      <c r="J735" s="102">
        <v>0.0</v>
      </c>
      <c r="K735" s="101" t="s">
        <v>2941</v>
      </c>
      <c r="L735" s="102">
        <v>23.0</v>
      </c>
      <c r="M735" s="13"/>
    </row>
    <row r="736">
      <c r="A736" s="101" t="s">
        <v>3413</v>
      </c>
      <c r="B736" s="101" t="s">
        <v>3414</v>
      </c>
      <c r="D736" s="13"/>
      <c r="E736" s="13"/>
      <c r="F736" s="13"/>
      <c r="G736" s="102">
        <v>1.0</v>
      </c>
      <c r="H736" s="101" t="s">
        <v>2940</v>
      </c>
      <c r="I736" s="102">
        <v>107.1</v>
      </c>
      <c r="J736" s="102">
        <v>131.73</v>
      </c>
      <c r="K736" s="101" t="s">
        <v>2941</v>
      </c>
      <c r="L736" s="102">
        <v>23.0</v>
      </c>
      <c r="M736" s="13"/>
    </row>
    <row r="737">
      <c r="A737" s="101" t="s">
        <v>3413</v>
      </c>
      <c r="B737" s="101" t="s">
        <v>3414</v>
      </c>
      <c r="D737" s="13"/>
      <c r="E737" s="13"/>
      <c r="F737" s="13"/>
      <c r="G737" s="102">
        <v>2.0</v>
      </c>
      <c r="H737" s="101" t="s">
        <v>2942</v>
      </c>
      <c r="I737" s="102">
        <v>107.1</v>
      </c>
      <c r="J737" s="102">
        <v>131.73</v>
      </c>
      <c r="K737" s="101" t="s">
        <v>2941</v>
      </c>
      <c r="L737" s="102">
        <v>23.0</v>
      </c>
      <c r="M737" s="13"/>
    </row>
    <row r="738">
      <c r="A738" s="101" t="s">
        <v>3415</v>
      </c>
      <c r="B738" s="101" t="s">
        <v>3416</v>
      </c>
      <c r="D738" s="13"/>
      <c r="E738" s="13"/>
      <c r="F738" s="13"/>
      <c r="G738" s="102">
        <v>1.0</v>
      </c>
      <c r="H738" s="101" t="s">
        <v>2940</v>
      </c>
      <c r="I738" s="102">
        <v>30.08</v>
      </c>
      <c r="J738" s="102">
        <v>37.0</v>
      </c>
      <c r="K738" s="101" t="s">
        <v>2941</v>
      </c>
      <c r="L738" s="102">
        <v>23.0</v>
      </c>
      <c r="M738" s="13"/>
    </row>
    <row r="739">
      <c r="A739" s="101" t="s">
        <v>3415</v>
      </c>
      <c r="B739" s="101" t="s">
        <v>3416</v>
      </c>
      <c r="D739" s="13"/>
      <c r="E739" s="13"/>
      <c r="F739" s="13"/>
      <c r="G739" s="102">
        <v>2.0</v>
      </c>
      <c r="H739" s="101" t="s">
        <v>2942</v>
      </c>
      <c r="I739" s="102">
        <v>30.45</v>
      </c>
      <c r="J739" s="102">
        <v>37.45</v>
      </c>
      <c r="K739" s="101" t="s">
        <v>2941</v>
      </c>
      <c r="L739" s="102">
        <v>23.0</v>
      </c>
      <c r="M739" s="13"/>
    </row>
    <row r="740">
      <c r="A740" s="101" t="s">
        <v>3417</v>
      </c>
      <c r="B740" s="101" t="s">
        <v>3418</v>
      </c>
      <c r="D740" s="13"/>
      <c r="E740" s="13"/>
      <c r="F740" s="13"/>
      <c r="G740" s="102">
        <v>1.0</v>
      </c>
      <c r="H740" s="101" t="s">
        <v>2940</v>
      </c>
      <c r="I740" s="102">
        <v>24.39</v>
      </c>
      <c r="J740" s="102">
        <v>30.0</v>
      </c>
      <c r="K740" s="101" t="s">
        <v>2941</v>
      </c>
      <c r="L740" s="102">
        <v>23.0</v>
      </c>
      <c r="M740" s="13"/>
    </row>
    <row r="741">
      <c r="A741" s="101" t="s">
        <v>3417</v>
      </c>
      <c r="B741" s="101" t="s">
        <v>3418</v>
      </c>
      <c r="D741" s="13"/>
      <c r="E741" s="13"/>
      <c r="F741" s="13"/>
      <c r="G741" s="102">
        <v>2.0</v>
      </c>
      <c r="H741" s="101" t="s">
        <v>2942</v>
      </c>
      <c r="I741" s="102">
        <v>24.75</v>
      </c>
      <c r="J741" s="102">
        <v>30.44</v>
      </c>
      <c r="K741" s="101" t="s">
        <v>2941</v>
      </c>
      <c r="L741" s="102">
        <v>23.0</v>
      </c>
      <c r="M741" s="13"/>
    </row>
    <row r="742">
      <c r="A742" s="101" t="s">
        <v>3419</v>
      </c>
      <c r="B742" s="101" t="s">
        <v>3420</v>
      </c>
      <c r="D742" s="13"/>
      <c r="E742" s="13"/>
      <c r="F742" s="13"/>
      <c r="G742" s="102">
        <v>1.0</v>
      </c>
      <c r="H742" s="101" t="s">
        <v>2940</v>
      </c>
      <c r="I742" s="102">
        <v>30.08</v>
      </c>
      <c r="J742" s="102">
        <v>37.0</v>
      </c>
      <c r="K742" s="101" t="s">
        <v>2941</v>
      </c>
      <c r="L742" s="102">
        <v>23.0</v>
      </c>
      <c r="M742" s="13"/>
    </row>
    <row r="743">
      <c r="A743" s="101" t="s">
        <v>3419</v>
      </c>
      <c r="B743" s="101" t="s">
        <v>3420</v>
      </c>
      <c r="D743" s="13"/>
      <c r="E743" s="13"/>
      <c r="F743" s="13"/>
      <c r="G743" s="102">
        <v>2.0</v>
      </c>
      <c r="H743" s="101" t="s">
        <v>2942</v>
      </c>
      <c r="I743" s="102">
        <v>30.45</v>
      </c>
      <c r="J743" s="102">
        <v>37.45</v>
      </c>
      <c r="K743" s="101" t="s">
        <v>2941</v>
      </c>
      <c r="L743" s="102">
        <v>23.0</v>
      </c>
      <c r="M743" s="13"/>
    </row>
    <row r="744">
      <c r="A744" s="101" t="s">
        <v>3421</v>
      </c>
      <c r="B744" s="101" t="s">
        <v>3422</v>
      </c>
      <c r="D744" s="13"/>
      <c r="E744" s="13"/>
      <c r="F744" s="13"/>
      <c r="G744" s="102">
        <v>1.0</v>
      </c>
      <c r="H744" s="101" t="s">
        <v>2940</v>
      </c>
      <c r="I744" s="102">
        <v>30.08</v>
      </c>
      <c r="J744" s="102">
        <v>37.0</v>
      </c>
      <c r="K744" s="101" t="s">
        <v>2941</v>
      </c>
      <c r="L744" s="102">
        <v>23.0</v>
      </c>
      <c r="M744" s="13"/>
    </row>
    <row r="745">
      <c r="A745" s="101" t="s">
        <v>3421</v>
      </c>
      <c r="B745" s="101" t="s">
        <v>3422</v>
      </c>
      <c r="D745" s="13"/>
      <c r="E745" s="13"/>
      <c r="F745" s="13"/>
      <c r="G745" s="102">
        <v>2.0</v>
      </c>
      <c r="H745" s="101" t="s">
        <v>2942</v>
      </c>
      <c r="I745" s="102">
        <v>29.8</v>
      </c>
      <c r="J745" s="102">
        <v>36.65</v>
      </c>
      <c r="K745" s="101" t="s">
        <v>2941</v>
      </c>
      <c r="L745" s="102">
        <v>23.0</v>
      </c>
      <c r="M745" s="13"/>
    </row>
    <row r="746">
      <c r="A746" s="101" t="s">
        <v>3423</v>
      </c>
      <c r="B746" s="101" t="s">
        <v>3424</v>
      </c>
      <c r="D746" s="13"/>
      <c r="E746" s="13"/>
      <c r="F746" s="13"/>
      <c r="G746" s="102">
        <v>1.0</v>
      </c>
      <c r="H746" s="101" t="s">
        <v>2940</v>
      </c>
      <c r="I746" s="102">
        <v>39.02</v>
      </c>
      <c r="J746" s="102">
        <v>47.99</v>
      </c>
      <c r="K746" s="101" t="s">
        <v>2941</v>
      </c>
      <c r="L746" s="102">
        <v>23.0</v>
      </c>
      <c r="M746" s="13"/>
    </row>
    <row r="747">
      <c r="A747" s="101" t="s">
        <v>3423</v>
      </c>
      <c r="B747" s="101" t="s">
        <v>3424</v>
      </c>
      <c r="D747" s="13"/>
      <c r="E747" s="13"/>
      <c r="F747" s="13"/>
      <c r="G747" s="102">
        <v>2.0</v>
      </c>
      <c r="H747" s="101" t="s">
        <v>2942</v>
      </c>
      <c r="I747" s="102">
        <v>31.2</v>
      </c>
      <c r="J747" s="102">
        <v>38.38</v>
      </c>
      <c r="K747" s="101" t="s">
        <v>2941</v>
      </c>
      <c r="L747" s="102">
        <v>23.0</v>
      </c>
      <c r="M747" s="13"/>
    </row>
    <row r="748">
      <c r="A748" s="101" t="s">
        <v>3425</v>
      </c>
      <c r="B748" s="101" t="s">
        <v>3426</v>
      </c>
      <c r="D748" s="13"/>
      <c r="E748" s="13"/>
      <c r="F748" s="13"/>
      <c r="G748" s="102">
        <v>1.0</v>
      </c>
      <c r="H748" s="101" t="s">
        <v>2940</v>
      </c>
      <c r="I748" s="102">
        <v>44.72</v>
      </c>
      <c r="J748" s="102">
        <v>55.01</v>
      </c>
      <c r="K748" s="101" t="s">
        <v>2941</v>
      </c>
      <c r="L748" s="102">
        <v>23.0</v>
      </c>
      <c r="M748" s="13"/>
    </row>
    <row r="749">
      <c r="A749" s="101" t="s">
        <v>3425</v>
      </c>
      <c r="B749" s="101" t="s">
        <v>3426</v>
      </c>
      <c r="D749" s="13"/>
      <c r="E749" s="13"/>
      <c r="F749" s="13"/>
      <c r="G749" s="102">
        <v>2.0</v>
      </c>
      <c r="H749" s="101" t="s">
        <v>2942</v>
      </c>
      <c r="I749" s="102">
        <v>35.8</v>
      </c>
      <c r="J749" s="102">
        <v>44.03</v>
      </c>
      <c r="K749" s="101" t="s">
        <v>2941</v>
      </c>
      <c r="L749" s="102">
        <v>23.0</v>
      </c>
      <c r="M749" s="13"/>
    </row>
    <row r="750">
      <c r="A750" s="101" t="s">
        <v>3427</v>
      </c>
      <c r="B750" s="101" t="s">
        <v>3428</v>
      </c>
      <c r="D750" s="13"/>
      <c r="E750" s="13"/>
      <c r="F750" s="13"/>
      <c r="G750" s="102">
        <v>1.0</v>
      </c>
      <c r="H750" s="101" t="s">
        <v>2940</v>
      </c>
      <c r="I750" s="102">
        <v>66.67</v>
      </c>
      <c r="J750" s="102">
        <v>82.0</v>
      </c>
      <c r="K750" s="101" t="s">
        <v>2941</v>
      </c>
      <c r="L750" s="102">
        <v>23.0</v>
      </c>
      <c r="M750" s="13"/>
    </row>
    <row r="751">
      <c r="A751" s="101" t="s">
        <v>3427</v>
      </c>
      <c r="B751" s="101" t="s">
        <v>3428</v>
      </c>
      <c r="D751" s="13"/>
      <c r="E751" s="13"/>
      <c r="F751" s="13"/>
      <c r="G751" s="102">
        <v>2.0</v>
      </c>
      <c r="H751" s="101" t="s">
        <v>2942</v>
      </c>
      <c r="I751" s="102">
        <v>66.5</v>
      </c>
      <c r="J751" s="102">
        <v>81.8</v>
      </c>
      <c r="K751" s="101" t="s">
        <v>2941</v>
      </c>
      <c r="L751" s="102">
        <v>23.0</v>
      </c>
      <c r="M751" s="13"/>
    </row>
    <row r="752">
      <c r="A752" s="101" t="s">
        <v>3429</v>
      </c>
      <c r="B752" s="101" t="s">
        <v>3430</v>
      </c>
      <c r="D752" s="13"/>
      <c r="E752" s="13"/>
      <c r="F752" s="13"/>
      <c r="G752" s="102">
        <v>1.0</v>
      </c>
      <c r="H752" s="101" t="s">
        <v>2940</v>
      </c>
      <c r="I752" s="102">
        <v>55.28</v>
      </c>
      <c r="J752" s="102">
        <v>67.99</v>
      </c>
      <c r="K752" s="101" t="s">
        <v>2941</v>
      </c>
      <c r="L752" s="102">
        <v>23.0</v>
      </c>
      <c r="M752" s="13"/>
    </row>
    <row r="753">
      <c r="A753" s="101" t="s">
        <v>3429</v>
      </c>
      <c r="B753" s="101" t="s">
        <v>3430</v>
      </c>
      <c r="D753" s="13"/>
      <c r="E753" s="13"/>
      <c r="F753" s="13"/>
      <c r="G753" s="102">
        <v>2.0</v>
      </c>
      <c r="H753" s="101" t="s">
        <v>2942</v>
      </c>
      <c r="I753" s="102">
        <v>55.1</v>
      </c>
      <c r="J753" s="102">
        <v>67.77</v>
      </c>
      <c r="K753" s="101" t="s">
        <v>2941</v>
      </c>
      <c r="L753" s="102">
        <v>23.0</v>
      </c>
      <c r="M753" s="13"/>
    </row>
    <row r="754">
      <c r="A754" s="101" t="s">
        <v>3431</v>
      </c>
      <c r="B754" s="101" t="s">
        <v>3432</v>
      </c>
      <c r="D754" s="13"/>
      <c r="E754" s="13"/>
      <c r="F754" s="13"/>
      <c r="G754" s="102">
        <v>1.0</v>
      </c>
      <c r="H754" s="101" t="s">
        <v>2940</v>
      </c>
      <c r="I754" s="102">
        <v>66.67</v>
      </c>
      <c r="J754" s="102">
        <v>82.0</v>
      </c>
      <c r="K754" s="101" t="s">
        <v>2941</v>
      </c>
      <c r="L754" s="102">
        <v>23.0</v>
      </c>
      <c r="M754" s="13"/>
    </row>
    <row r="755">
      <c r="A755" s="101" t="s">
        <v>3431</v>
      </c>
      <c r="B755" s="101" t="s">
        <v>3432</v>
      </c>
      <c r="D755" s="13"/>
      <c r="E755" s="13"/>
      <c r="F755" s="13"/>
      <c r="G755" s="102">
        <v>2.0</v>
      </c>
      <c r="H755" s="101" t="s">
        <v>2942</v>
      </c>
      <c r="I755" s="102">
        <v>66.5</v>
      </c>
      <c r="J755" s="102">
        <v>81.8</v>
      </c>
      <c r="K755" s="101" t="s">
        <v>2941</v>
      </c>
      <c r="L755" s="102">
        <v>23.0</v>
      </c>
      <c r="M755" s="13"/>
    </row>
    <row r="756">
      <c r="A756" s="101" t="s">
        <v>3433</v>
      </c>
      <c r="B756" s="101" t="s">
        <v>3434</v>
      </c>
      <c r="D756" s="13"/>
      <c r="E756" s="13"/>
      <c r="F756" s="13"/>
      <c r="G756" s="102">
        <v>1.0</v>
      </c>
      <c r="H756" s="101" t="s">
        <v>2940</v>
      </c>
      <c r="I756" s="102">
        <v>55.28</v>
      </c>
      <c r="J756" s="102">
        <v>67.99</v>
      </c>
      <c r="K756" s="101" t="s">
        <v>2941</v>
      </c>
      <c r="L756" s="102">
        <v>23.0</v>
      </c>
      <c r="M756" s="13"/>
    </row>
    <row r="757">
      <c r="A757" s="101" t="s">
        <v>3433</v>
      </c>
      <c r="B757" s="101" t="s">
        <v>3434</v>
      </c>
      <c r="D757" s="13"/>
      <c r="E757" s="13"/>
      <c r="F757" s="13"/>
      <c r="G757" s="102">
        <v>2.0</v>
      </c>
      <c r="H757" s="101" t="s">
        <v>2942</v>
      </c>
      <c r="I757" s="102">
        <v>55.1</v>
      </c>
      <c r="J757" s="102">
        <v>67.77</v>
      </c>
      <c r="K757" s="101" t="s">
        <v>2941</v>
      </c>
      <c r="L757" s="102">
        <v>23.0</v>
      </c>
      <c r="M757" s="13"/>
    </row>
    <row r="758">
      <c r="A758" s="101" t="s">
        <v>3435</v>
      </c>
      <c r="B758" s="101" t="s">
        <v>3436</v>
      </c>
      <c r="D758" s="13"/>
      <c r="E758" s="13"/>
      <c r="F758" s="13"/>
      <c r="G758" s="102">
        <v>1.0</v>
      </c>
      <c r="H758" s="101" t="s">
        <v>2940</v>
      </c>
      <c r="I758" s="102">
        <v>81.3</v>
      </c>
      <c r="J758" s="102">
        <v>100.0</v>
      </c>
      <c r="K758" s="101" t="s">
        <v>2941</v>
      </c>
      <c r="L758" s="102">
        <v>23.0</v>
      </c>
      <c r="M758" s="13"/>
    </row>
    <row r="759">
      <c r="A759" s="101" t="s">
        <v>3435</v>
      </c>
      <c r="B759" s="101" t="s">
        <v>3436</v>
      </c>
      <c r="D759" s="13"/>
      <c r="E759" s="13"/>
      <c r="F759" s="13"/>
      <c r="G759" s="102">
        <v>2.0</v>
      </c>
      <c r="H759" s="101" t="s">
        <v>2942</v>
      </c>
      <c r="I759" s="102">
        <v>82.4</v>
      </c>
      <c r="J759" s="102">
        <v>101.35</v>
      </c>
      <c r="K759" s="101" t="s">
        <v>2941</v>
      </c>
      <c r="L759" s="102">
        <v>23.0</v>
      </c>
      <c r="M759" s="13"/>
    </row>
    <row r="760">
      <c r="A760" s="101" t="s">
        <v>3437</v>
      </c>
      <c r="B760" s="101" t="s">
        <v>3438</v>
      </c>
      <c r="D760" s="13"/>
      <c r="E760" s="13"/>
      <c r="F760" s="13"/>
      <c r="G760" s="102">
        <v>1.0</v>
      </c>
      <c r="H760" s="101" t="s">
        <v>2940</v>
      </c>
      <c r="I760" s="102">
        <v>0.0</v>
      </c>
      <c r="J760" s="102">
        <v>0.0</v>
      </c>
      <c r="K760" s="101" t="s">
        <v>2941</v>
      </c>
      <c r="L760" s="102">
        <v>23.0</v>
      </c>
      <c r="M760" s="13"/>
    </row>
    <row r="761">
      <c r="A761" s="101" t="s">
        <v>3437</v>
      </c>
      <c r="B761" s="101" t="s">
        <v>3438</v>
      </c>
      <c r="D761" s="13"/>
      <c r="E761" s="13"/>
      <c r="F761" s="13"/>
      <c r="G761" s="102">
        <v>2.0</v>
      </c>
      <c r="H761" s="101" t="s">
        <v>2942</v>
      </c>
      <c r="I761" s="102">
        <v>0.0</v>
      </c>
      <c r="J761" s="102">
        <v>0.0</v>
      </c>
      <c r="K761" s="101" t="s">
        <v>2941</v>
      </c>
      <c r="L761" s="102">
        <v>23.0</v>
      </c>
      <c r="M761" s="13"/>
    </row>
    <row r="762">
      <c r="A762" s="101" t="s">
        <v>3439</v>
      </c>
      <c r="B762" s="101" t="s">
        <v>3440</v>
      </c>
      <c r="D762" s="13"/>
      <c r="E762" s="13"/>
      <c r="F762" s="13"/>
      <c r="G762" s="102">
        <v>1.0</v>
      </c>
      <c r="H762" s="101" t="s">
        <v>2940</v>
      </c>
      <c r="I762" s="102">
        <v>92.68</v>
      </c>
      <c r="J762" s="102">
        <v>114.0</v>
      </c>
      <c r="K762" s="101" t="s">
        <v>2941</v>
      </c>
      <c r="L762" s="102">
        <v>23.0</v>
      </c>
      <c r="M762" s="13"/>
    </row>
    <row r="763">
      <c r="A763" s="101" t="s">
        <v>3439</v>
      </c>
      <c r="B763" s="101" t="s">
        <v>3440</v>
      </c>
      <c r="D763" s="13"/>
      <c r="E763" s="13"/>
      <c r="F763" s="13"/>
      <c r="G763" s="102">
        <v>2.0</v>
      </c>
      <c r="H763" s="101" t="s">
        <v>2942</v>
      </c>
      <c r="I763" s="102">
        <v>92.5</v>
      </c>
      <c r="J763" s="102">
        <v>113.78</v>
      </c>
      <c r="K763" s="101" t="s">
        <v>2941</v>
      </c>
      <c r="L763" s="102">
        <v>23.0</v>
      </c>
      <c r="M763" s="13"/>
    </row>
    <row r="764">
      <c r="A764" s="101" t="s">
        <v>3441</v>
      </c>
      <c r="B764" s="101" t="s">
        <v>3442</v>
      </c>
      <c r="D764" s="13"/>
      <c r="E764" s="13"/>
      <c r="F764" s="13"/>
      <c r="G764" s="102">
        <v>1.0</v>
      </c>
      <c r="H764" s="101" t="s">
        <v>2940</v>
      </c>
      <c r="I764" s="102">
        <v>52.03</v>
      </c>
      <c r="J764" s="102">
        <v>64.0</v>
      </c>
      <c r="K764" s="101" t="s">
        <v>2941</v>
      </c>
      <c r="L764" s="102">
        <v>23.0</v>
      </c>
      <c r="M764" s="13"/>
    </row>
    <row r="765">
      <c r="A765" s="101" t="s">
        <v>3441</v>
      </c>
      <c r="B765" s="101" t="s">
        <v>3442</v>
      </c>
      <c r="D765" s="13"/>
      <c r="E765" s="13"/>
      <c r="F765" s="13"/>
      <c r="G765" s="102">
        <v>2.0</v>
      </c>
      <c r="H765" s="101" t="s">
        <v>2942</v>
      </c>
      <c r="I765" s="102">
        <v>41.6</v>
      </c>
      <c r="J765" s="102">
        <v>51.17</v>
      </c>
      <c r="K765" s="101" t="s">
        <v>2941</v>
      </c>
      <c r="L765" s="102">
        <v>23.0</v>
      </c>
      <c r="M765" s="13"/>
    </row>
    <row r="766">
      <c r="A766" s="101" t="s">
        <v>3443</v>
      </c>
      <c r="B766" s="101" t="s">
        <v>3444</v>
      </c>
      <c r="D766" s="13"/>
      <c r="E766" s="13"/>
      <c r="F766" s="13"/>
      <c r="G766" s="102">
        <v>1.0</v>
      </c>
      <c r="H766" s="101" t="s">
        <v>2940</v>
      </c>
      <c r="I766" s="102">
        <v>0.0</v>
      </c>
      <c r="J766" s="102">
        <v>0.0</v>
      </c>
      <c r="K766" s="101" t="s">
        <v>2941</v>
      </c>
      <c r="L766" s="102">
        <v>23.0</v>
      </c>
      <c r="M766" s="13"/>
    </row>
    <row r="767">
      <c r="A767" s="101" t="s">
        <v>3443</v>
      </c>
      <c r="B767" s="101" t="s">
        <v>3444</v>
      </c>
      <c r="D767" s="13"/>
      <c r="E767" s="13"/>
      <c r="F767" s="13"/>
      <c r="G767" s="102">
        <v>2.0</v>
      </c>
      <c r="H767" s="101" t="s">
        <v>2942</v>
      </c>
      <c r="I767" s="102">
        <v>0.0</v>
      </c>
      <c r="J767" s="102">
        <v>0.0</v>
      </c>
      <c r="K767" s="101" t="s">
        <v>2941</v>
      </c>
      <c r="L767" s="102">
        <v>23.0</v>
      </c>
      <c r="M767" s="13"/>
    </row>
    <row r="768">
      <c r="A768" s="101" t="s">
        <v>3445</v>
      </c>
      <c r="B768" s="101" t="s">
        <v>3446</v>
      </c>
      <c r="D768" s="13"/>
      <c r="E768" s="13"/>
      <c r="F768" s="13"/>
      <c r="G768" s="102">
        <v>1.0</v>
      </c>
      <c r="H768" s="101" t="s">
        <v>2940</v>
      </c>
      <c r="I768" s="102">
        <v>0.0</v>
      </c>
      <c r="J768" s="102">
        <v>0.0</v>
      </c>
      <c r="K768" s="101" t="s">
        <v>2941</v>
      </c>
      <c r="L768" s="102">
        <v>23.0</v>
      </c>
      <c r="M768" s="13"/>
    </row>
    <row r="769">
      <c r="A769" s="101" t="s">
        <v>3445</v>
      </c>
      <c r="B769" s="101" t="s">
        <v>3446</v>
      </c>
      <c r="D769" s="13"/>
      <c r="E769" s="13"/>
      <c r="F769" s="13"/>
      <c r="G769" s="102">
        <v>2.0</v>
      </c>
      <c r="H769" s="101" t="s">
        <v>2942</v>
      </c>
      <c r="I769" s="102">
        <v>0.0</v>
      </c>
      <c r="J769" s="102">
        <v>0.0</v>
      </c>
      <c r="K769" s="101" t="s">
        <v>2941</v>
      </c>
      <c r="L769" s="102">
        <v>23.0</v>
      </c>
      <c r="M769" s="13"/>
    </row>
    <row r="770">
      <c r="A770" s="101" t="s">
        <v>3447</v>
      </c>
      <c r="B770" s="101" t="s">
        <v>3448</v>
      </c>
      <c r="D770" s="13"/>
      <c r="E770" s="13"/>
      <c r="F770" s="13"/>
      <c r="G770" s="102">
        <v>1.0</v>
      </c>
      <c r="H770" s="101" t="s">
        <v>2940</v>
      </c>
      <c r="I770" s="102">
        <v>0.0</v>
      </c>
      <c r="J770" s="102">
        <v>0.0</v>
      </c>
      <c r="K770" s="101" t="s">
        <v>2941</v>
      </c>
      <c r="L770" s="102">
        <v>23.0</v>
      </c>
      <c r="M770" s="13"/>
    </row>
    <row r="771">
      <c r="A771" s="101" t="s">
        <v>3447</v>
      </c>
      <c r="B771" s="101" t="s">
        <v>3448</v>
      </c>
      <c r="D771" s="13"/>
      <c r="E771" s="13"/>
      <c r="F771" s="13"/>
      <c r="G771" s="102">
        <v>2.0</v>
      </c>
      <c r="H771" s="101" t="s">
        <v>2942</v>
      </c>
      <c r="I771" s="102">
        <v>0.0</v>
      </c>
      <c r="J771" s="102">
        <v>0.0</v>
      </c>
      <c r="K771" s="101" t="s">
        <v>2941</v>
      </c>
      <c r="L771" s="102">
        <v>23.0</v>
      </c>
      <c r="M771" s="13"/>
    </row>
    <row r="772">
      <c r="A772" s="101" t="s">
        <v>3449</v>
      </c>
      <c r="B772" s="101" t="s">
        <v>3450</v>
      </c>
      <c r="D772" s="13"/>
      <c r="E772" s="13"/>
      <c r="F772" s="13"/>
      <c r="G772" s="102">
        <v>1.0</v>
      </c>
      <c r="H772" s="101" t="s">
        <v>2940</v>
      </c>
      <c r="I772" s="102">
        <v>60.98</v>
      </c>
      <c r="J772" s="102">
        <v>75.01</v>
      </c>
      <c r="K772" s="101" t="s">
        <v>2941</v>
      </c>
      <c r="L772" s="102">
        <v>23.0</v>
      </c>
      <c r="M772" s="13"/>
    </row>
    <row r="773">
      <c r="A773" s="101" t="s">
        <v>3449</v>
      </c>
      <c r="B773" s="101" t="s">
        <v>3450</v>
      </c>
      <c r="D773" s="13"/>
      <c r="E773" s="13"/>
      <c r="F773" s="13"/>
      <c r="G773" s="102">
        <v>2.0</v>
      </c>
      <c r="H773" s="101" t="s">
        <v>2942</v>
      </c>
      <c r="I773" s="102">
        <v>60.9</v>
      </c>
      <c r="J773" s="102">
        <v>74.91</v>
      </c>
      <c r="K773" s="101" t="s">
        <v>2941</v>
      </c>
      <c r="L773" s="102">
        <v>23.0</v>
      </c>
      <c r="M773" s="13"/>
    </row>
    <row r="774">
      <c r="A774" s="101" t="s">
        <v>3451</v>
      </c>
      <c r="B774" s="101" t="s">
        <v>3452</v>
      </c>
      <c r="D774" s="13"/>
      <c r="E774" s="13"/>
      <c r="F774" s="13"/>
      <c r="G774" s="102">
        <v>1.0</v>
      </c>
      <c r="H774" s="101" t="s">
        <v>2940</v>
      </c>
      <c r="I774" s="102">
        <v>49.59</v>
      </c>
      <c r="J774" s="102">
        <v>61.0</v>
      </c>
      <c r="K774" s="101" t="s">
        <v>2941</v>
      </c>
      <c r="L774" s="102">
        <v>23.0</v>
      </c>
      <c r="M774" s="13"/>
    </row>
    <row r="775">
      <c r="A775" s="101" t="s">
        <v>3451</v>
      </c>
      <c r="B775" s="101" t="s">
        <v>3452</v>
      </c>
      <c r="D775" s="13"/>
      <c r="E775" s="13"/>
      <c r="F775" s="13"/>
      <c r="G775" s="102">
        <v>2.0</v>
      </c>
      <c r="H775" s="101" t="s">
        <v>2942</v>
      </c>
      <c r="I775" s="102">
        <v>49.5</v>
      </c>
      <c r="J775" s="102">
        <v>60.89</v>
      </c>
      <c r="K775" s="101" t="s">
        <v>2941</v>
      </c>
      <c r="L775" s="102">
        <v>23.0</v>
      </c>
      <c r="M775" s="13"/>
    </row>
    <row r="776">
      <c r="A776" s="101" t="s">
        <v>3453</v>
      </c>
      <c r="B776" s="101" t="s">
        <v>3454</v>
      </c>
      <c r="D776" s="13"/>
      <c r="E776" s="13"/>
      <c r="F776" s="13"/>
      <c r="G776" s="102">
        <v>1.0</v>
      </c>
      <c r="H776" s="101" t="s">
        <v>2940</v>
      </c>
      <c r="I776" s="102">
        <v>60.98</v>
      </c>
      <c r="J776" s="102">
        <v>75.01</v>
      </c>
      <c r="K776" s="101" t="s">
        <v>2941</v>
      </c>
      <c r="L776" s="102">
        <v>23.0</v>
      </c>
      <c r="M776" s="13"/>
    </row>
    <row r="777">
      <c r="A777" s="101" t="s">
        <v>3453</v>
      </c>
      <c r="B777" s="101" t="s">
        <v>3454</v>
      </c>
      <c r="D777" s="13"/>
      <c r="E777" s="13"/>
      <c r="F777" s="13"/>
      <c r="G777" s="102">
        <v>2.0</v>
      </c>
      <c r="H777" s="101" t="s">
        <v>2942</v>
      </c>
      <c r="I777" s="102">
        <v>60.9</v>
      </c>
      <c r="J777" s="102">
        <v>74.91</v>
      </c>
      <c r="K777" s="101" t="s">
        <v>2941</v>
      </c>
      <c r="L777" s="102">
        <v>23.0</v>
      </c>
      <c r="M777" s="13"/>
    </row>
    <row r="778">
      <c r="A778" s="101" t="s">
        <v>3455</v>
      </c>
      <c r="B778" s="101" t="s">
        <v>3456</v>
      </c>
      <c r="D778" s="13"/>
      <c r="E778" s="13"/>
      <c r="F778" s="13"/>
      <c r="G778" s="102">
        <v>1.0</v>
      </c>
      <c r="H778" s="101" t="s">
        <v>2940</v>
      </c>
      <c r="I778" s="102">
        <v>49.11</v>
      </c>
      <c r="J778" s="102">
        <v>60.4</v>
      </c>
      <c r="K778" s="101" t="s">
        <v>2941</v>
      </c>
      <c r="L778" s="102">
        <v>23.0</v>
      </c>
      <c r="M778" s="13"/>
    </row>
    <row r="779">
      <c r="A779" s="101" t="s">
        <v>3455</v>
      </c>
      <c r="B779" s="101" t="s">
        <v>3456</v>
      </c>
      <c r="D779" s="13"/>
      <c r="E779" s="13"/>
      <c r="F779" s="13"/>
      <c r="G779" s="102">
        <v>2.0</v>
      </c>
      <c r="H779" s="101" t="s">
        <v>2942</v>
      </c>
      <c r="I779" s="102">
        <v>39.3</v>
      </c>
      <c r="J779" s="102">
        <v>48.34</v>
      </c>
      <c r="K779" s="101" t="s">
        <v>2941</v>
      </c>
      <c r="L779" s="102">
        <v>23.0</v>
      </c>
      <c r="M779" s="13"/>
    </row>
    <row r="780">
      <c r="A780" s="101" t="s">
        <v>3457</v>
      </c>
      <c r="B780" s="101" t="s">
        <v>3458</v>
      </c>
      <c r="D780" s="13"/>
      <c r="E780" s="13"/>
      <c r="F780" s="13"/>
      <c r="G780" s="102">
        <v>1.0</v>
      </c>
      <c r="H780" s="101" t="s">
        <v>2940</v>
      </c>
      <c r="I780" s="102">
        <v>58.54</v>
      </c>
      <c r="J780" s="102">
        <v>72.0</v>
      </c>
      <c r="K780" s="101" t="s">
        <v>2941</v>
      </c>
      <c r="L780" s="102">
        <v>23.0</v>
      </c>
      <c r="M780" s="13"/>
    </row>
    <row r="781">
      <c r="A781" s="101" t="s">
        <v>3457</v>
      </c>
      <c r="B781" s="101" t="s">
        <v>3458</v>
      </c>
      <c r="D781" s="13"/>
      <c r="E781" s="13"/>
      <c r="F781" s="13"/>
      <c r="G781" s="102">
        <v>2.0</v>
      </c>
      <c r="H781" s="101" t="s">
        <v>2942</v>
      </c>
      <c r="I781" s="102">
        <v>46.8</v>
      </c>
      <c r="J781" s="102">
        <v>57.56</v>
      </c>
      <c r="K781" s="101" t="s">
        <v>2941</v>
      </c>
      <c r="L781" s="102">
        <v>23.0</v>
      </c>
      <c r="M781" s="13"/>
    </row>
    <row r="782">
      <c r="A782" s="101" t="s">
        <v>3459</v>
      </c>
      <c r="B782" s="101" t="s">
        <v>3460</v>
      </c>
      <c r="D782" s="13"/>
      <c r="E782" s="13"/>
      <c r="F782" s="13"/>
      <c r="G782" s="102">
        <v>1.0</v>
      </c>
      <c r="H782" s="101" t="s">
        <v>2940</v>
      </c>
      <c r="I782" s="102">
        <v>67.07</v>
      </c>
      <c r="J782" s="102">
        <v>82.5</v>
      </c>
      <c r="K782" s="101" t="s">
        <v>2941</v>
      </c>
      <c r="L782" s="102">
        <v>23.0</v>
      </c>
      <c r="M782" s="13"/>
    </row>
    <row r="783">
      <c r="A783" s="101" t="s">
        <v>3459</v>
      </c>
      <c r="B783" s="101" t="s">
        <v>3460</v>
      </c>
      <c r="D783" s="13"/>
      <c r="E783" s="13"/>
      <c r="F783" s="13"/>
      <c r="G783" s="102">
        <v>2.0</v>
      </c>
      <c r="H783" s="101" t="s">
        <v>2942</v>
      </c>
      <c r="I783" s="102">
        <v>53.7</v>
      </c>
      <c r="J783" s="102">
        <v>66.05</v>
      </c>
      <c r="K783" s="101" t="s">
        <v>2941</v>
      </c>
      <c r="L783" s="102">
        <v>23.0</v>
      </c>
      <c r="M783" s="13"/>
    </row>
    <row r="784">
      <c r="A784" s="101" t="s">
        <v>3461</v>
      </c>
      <c r="B784" s="101" t="s">
        <v>3462</v>
      </c>
      <c r="D784" s="13"/>
      <c r="E784" s="13"/>
      <c r="F784" s="13"/>
      <c r="G784" s="102">
        <v>1.0</v>
      </c>
      <c r="H784" s="101" t="s">
        <v>2940</v>
      </c>
      <c r="I784" s="102">
        <v>100.0</v>
      </c>
      <c r="J784" s="102">
        <v>123.0</v>
      </c>
      <c r="K784" s="101" t="s">
        <v>2941</v>
      </c>
      <c r="L784" s="102">
        <v>23.0</v>
      </c>
      <c r="M784" s="13"/>
    </row>
    <row r="785">
      <c r="A785" s="101" t="s">
        <v>3461</v>
      </c>
      <c r="B785" s="101" t="s">
        <v>3462</v>
      </c>
      <c r="D785" s="13"/>
      <c r="E785" s="13"/>
      <c r="F785" s="13"/>
      <c r="G785" s="102">
        <v>2.0</v>
      </c>
      <c r="H785" s="101" t="s">
        <v>2942</v>
      </c>
      <c r="I785" s="102">
        <v>99.75</v>
      </c>
      <c r="J785" s="102">
        <v>122.69</v>
      </c>
      <c r="K785" s="101" t="s">
        <v>2941</v>
      </c>
      <c r="L785" s="102">
        <v>23.0</v>
      </c>
      <c r="M785" s="13"/>
    </row>
    <row r="786">
      <c r="A786" s="101" t="s">
        <v>3463</v>
      </c>
      <c r="B786" s="101" t="s">
        <v>3464</v>
      </c>
      <c r="D786" s="13"/>
      <c r="E786" s="13"/>
      <c r="F786" s="13"/>
      <c r="G786" s="102">
        <v>1.0</v>
      </c>
      <c r="H786" s="101" t="s">
        <v>2940</v>
      </c>
      <c r="I786" s="102">
        <v>76.1</v>
      </c>
      <c r="J786" s="102">
        <v>93.6</v>
      </c>
      <c r="K786" s="101" t="s">
        <v>2941</v>
      </c>
      <c r="L786" s="102">
        <v>23.0</v>
      </c>
      <c r="M786" s="13"/>
    </row>
    <row r="787">
      <c r="A787" s="101" t="s">
        <v>3463</v>
      </c>
      <c r="B787" s="101" t="s">
        <v>3464</v>
      </c>
      <c r="D787" s="13"/>
      <c r="E787" s="13"/>
      <c r="F787" s="13"/>
      <c r="G787" s="102">
        <v>2.0</v>
      </c>
      <c r="H787" s="101" t="s">
        <v>2942</v>
      </c>
      <c r="I787" s="102">
        <v>60.9</v>
      </c>
      <c r="J787" s="102">
        <v>74.91</v>
      </c>
      <c r="K787" s="101" t="s">
        <v>2941</v>
      </c>
      <c r="L787" s="102">
        <v>23.0</v>
      </c>
      <c r="M787" s="13"/>
    </row>
    <row r="788">
      <c r="A788" s="101" t="s">
        <v>3465</v>
      </c>
      <c r="B788" s="101" t="s">
        <v>3466</v>
      </c>
      <c r="D788" s="13"/>
      <c r="E788" s="13"/>
      <c r="F788" s="13"/>
      <c r="G788" s="102">
        <v>1.0</v>
      </c>
      <c r="H788" s="101" t="s">
        <v>2940</v>
      </c>
      <c r="I788" s="102">
        <v>100.0</v>
      </c>
      <c r="J788" s="102">
        <v>123.0</v>
      </c>
      <c r="K788" s="101" t="s">
        <v>2941</v>
      </c>
      <c r="L788" s="102">
        <v>23.0</v>
      </c>
      <c r="M788" s="13"/>
    </row>
    <row r="789">
      <c r="A789" s="101" t="s">
        <v>3465</v>
      </c>
      <c r="B789" s="101" t="s">
        <v>3466</v>
      </c>
      <c r="D789" s="13"/>
      <c r="E789" s="13"/>
      <c r="F789" s="13"/>
      <c r="G789" s="102">
        <v>2.0</v>
      </c>
      <c r="H789" s="101" t="s">
        <v>2942</v>
      </c>
      <c r="I789" s="102">
        <v>99.75</v>
      </c>
      <c r="J789" s="102">
        <v>122.69</v>
      </c>
      <c r="K789" s="101" t="s">
        <v>2941</v>
      </c>
      <c r="L789" s="102">
        <v>23.0</v>
      </c>
      <c r="M789" s="13"/>
    </row>
    <row r="790">
      <c r="A790" s="101" t="s">
        <v>3467</v>
      </c>
      <c r="B790" s="101" t="s">
        <v>3468</v>
      </c>
      <c r="D790" s="13"/>
      <c r="E790" s="13"/>
      <c r="F790" s="13"/>
      <c r="G790" s="102">
        <v>1.0</v>
      </c>
      <c r="H790" s="101" t="s">
        <v>2940</v>
      </c>
      <c r="I790" s="102">
        <v>82.93</v>
      </c>
      <c r="J790" s="102">
        <v>102.0</v>
      </c>
      <c r="K790" s="101" t="s">
        <v>2941</v>
      </c>
      <c r="L790" s="102">
        <v>23.0</v>
      </c>
      <c r="M790" s="13"/>
    </row>
    <row r="791">
      <c r="A791" s="101" t="s">
        <v>3467</v>
      </c>
      <c r="B791" s="101" t="s">
        <v>3468</v>
      </c>
      <c r="D791" s="13"/>
      <c r="E791" s="13"/>
      <c r="F791" s="13"/>
      <c r="G791" s="102">
        <v>2.0</v>
      </c>
      <c r="H791" s="101" t="s">
        <v>2942</v>
      </c>
      <c r="I791" s="102">
        <v>82.65</v>
      </c>
      <c r="J791" s="102">
        <v>101.66</v>
      </c>
      <c r="K791" s="101" t="s">
        <v>2941</v>
      </c>
      <c r="L791" s="102">
        <v>23.0</v>
      </c>
      <c r="M791" s="13"/>
    </row>
    <row r="792">
      <c r="A792" s="101" t="s">
        <v>3469</v>
      </c>
      <c r="B792" s="101" t="s">
        <v>3470</v>
      </c>
      <c r="D792" s="13"/>
      <c r="E792" s="13"/>
      <c r="F792" s="13"/>
      <c r="G792" s="102">
        <v>1.0</v>
      </c>
      <c r="H792" s="101" t="s">
        <v>2940</v>
      </c>
      <c r="I792" s="102">
        <v>0.0</v>
      </c>
      <c r="J792" s="102">
        <v>0.0</v>
      </c>
      <c r="K792" s="101" t="s">
        <v>2941</v>
      </c>
      <c r="L792" s="102">
        <v>23.0</v>
      </c>
      <c r="M792" s="13"/>
    </row>
    <row r="793">
      <c r="A793" s="101" t="s">
        <v>3469</v>
      </c>
      <c r="B793" s="101" t="s">
        <v>3470</v>
      </c>
      <c r="D793" s="13"/>
      <c r="E793" s="13"/>
      <c r="F793" s="13"/>
      <c r="G793" s="102">
        <v>2.0</v>
      </c>
      <c r="H793" s="101" t="s">
        <v>2942</v>
      </c>
      <c r="I793" s="102">
        <v>0.0</v>
      </c>
      <c r="J793" s="102">
        <v>0.0</v>
      </c>
      <c r="K793" s="101" t="s">
        <v>2941</v>
      </c>
      <c r="L793" s="102">
        <v>23.0</v>
      </c>
      <c r="M793" s="13"/>
    </row>
    <row r="794">
      <c r="A794" s="101" t="s">
        <v>3471</v>
      </c>
      <c r="B794" s="101">
        <v>1032.0</v>
      </c>
      <c r="C794" s="13"/>
      <c r="D794" s="13"/>
      <c r="E794" s="13"/>
      <c r="F794" s="13"/>
      <c r="G794" s="102">
        <v>1.0</v>
      </c>
      <c r="H794" s="101" t="s">
        <v>2940</v>
      </c>
      <c r="I794" s="102">
        <v>86.67</v>
      </c>
      <c r="J794" s="102">
        <v>106.6</v>
      </c>
      <c r="K794" s="101" t="s">
        <v>2941</v>
      </c>
      <c r="L794" s="102">
        <v>23.0</v>
      </c>
      <c r="M794" s="13"/>
    </row>
    <row r="795">
      <c r="A795" s="101" t="s">
        <v>3471</v>
      </c>
      <c r="B795" s="101">
        <v>1032.0</v>
      </c>
      <c r="C795" s="13"/>
      <c r="D795" s="13"/>
      <c r="E795" s="13"/>
      <c r="F795" s="13"/>
      <c r="G795" s="102">
        <v>2.0</v>
      </c>
      <c r="H795" s="101" t="s">
        <v>2942</v>
      </c>
      <c r="I795" s="102">
        <v>86.7</v>
      </c>
      <c r="J795" s="102">
        <v>106.64</v>
      </c>
      <c r="K795" s="101" t="s">
        <v>2941</v>
      </c>
      <c r="L795" s="102">
        <v>23.0</v>
      </c>
      <c r="M795" s="13"/>
    </row>
    <row r="796">
      <c r="A796" s="101" t="s">
        <v>3472</v>
      </c>
      <c r="B796" s="101" t="s">
        <v>3473</v>
      </c>
      <c r="D796" s="13"/>
      <c r="E796" s="13"/>
      <c r="F796" s="13"/>
      <c r="G796" s="102">
        <v>1.0</v>
      </c>
      <c r="H796" s="101" t="s">
        <v>2940</v>
      </c>
      <c r="I796" s="102">
        <v>91.06</v>
      </c>
      <c r="J796" s="102">
        <v>112.0</v>
      </c>
      <c r="K796" s="101" t="s">
        <v>2941</v>
      </c>
      <c r="L796" s="102">
        <v>23.0</v>
      </c>
      <c r="M796" s="13"/>
    </row>
    <row r="797">
      <c r="A797" s="101" t="s">
        <v>3472</v>
      </c>
      <c r="B797" s="101" t="s">
        <v>3473</v>
      </c>
      <c r="D797" s="13"/>
      <c r="E797" s="13"/>
      <c r="F797" s="13"/>
      <c r="G797" s="102">
        <v>2.0</v>
      </c>
      <c r="H797" s="101" t="s">
        <v>2942</v>
      </c>
      <c r="I797" s="102">
        <v>91.35</v>
      </c>
      <c r="J797" s="102">
        <v>112.36</v>
      </c>
      <c r="K797" s="101" t="s">
        <v>2941</v>
      </c>
      <c r="L797" s="102">
        <v>23.0</v>
      </c>
      <c r="M797" s="13"/>
    </row>
    <row r="798">
      <c r="A798" s="101" t="s">
        <v>3474</v>
      </c>
      <c r="B798" s="101" t="s">
        <v>3475</v>
      </c>
      <c r="D798" s="13"/>
      <c r="E798" s="13"/>
      <c r="F798" s="13"/>
      <c r="G798" s="102">
        <v>1.0</v>
      </c>
      <c r="H798" s="101" t="s">
        <v>2940</v>
      </c>
      <c r="I798" s="102">
        <v>73.98</v>
      </c>
      <c r="J798" s="102">
        <v>91.0</v>
      </c>
      <c r="K798" s="101" t="s">
        <v>2941</v>
      </c>
      <c r="L798" s="102">
        <v>23.0</v>
      </c>
      <c r="M798" s="13"/>
    </row>
    <row r="799">
      <c r="A799" s="101" t="s">
        <v>3474</v>
      </c>
      <c r="B799" s="101" t="s">
        <v>3475</v>
      </c>
      <c r="D799" s="13"/>
      <c r="E799" s="13"/>
      <c r="F799" s="13"/>
      <c r="G799" s="102">
        <v>2.0</v>
      </c>
      <c r="H799" s="101" t="s">
        <v>2942</v>
      </c>
      <c r="I799" s="102">
        <v>74.25</v>
      </c>
      <c r="J799" s="102">
        <v>91.33</v>
      </c>
      <c r="K799" s="101" t="s">
        <v>2941</v>
      </c>
      <c r="L799" s="102">
        <v>23.0</v>
      </c>
      <c r="M799" s="13"/>
    </row>
    <row r="800">
      <c r="A800" s="101" t="s">
        <v>3476</v>
      </c>
      <c r="B800" s="101" t="s">
        <v>3477</v>
      </c>
      <c r="D800" s="13"/>
      <c r="E800" s="13"/>
      <c r="F800" s="13"/>
      <c r="G800" s="102">
        <v>1.0</v>
      </c>
      <c r="H800" s="101" t="s">
        <v>2940</v>
      </c>
      <c r="I800" s="102">
        <v>91.06</v>
      </c>
      <c r="J800" s="102">
        <v>112.0</v>
      </c>
      <c r="K800" s="101" t="s">
        <v>2941</v>
      </c>
      <c r="L800" s="102">
        <v>23.0</v>
      </c>
      <c r="M800" s="13"/>
    </row>
    <row r="801">
      <c r="A801" s="101" t="s">
        <v>3476</v>
      </c>
      <c r="B801" s="101" t="s">
        <v>3477</v>
      </c>
      <c r="D801" s="13"/>
      <c r="E801" s="13"/>
      <c r="F801" s="13"/>
      <c r="G801" s="102">
        <v>2.0</v>
      </c>
      <c r="H801" s="101" t="s">
        <v>2942</v>
      </c>
      <c r="I801" s="102">
        <v>91.35</v>
      </c>
      <c r="J801" s="102">
        <v>112.36</v>
      </c>
      <c r="K801" s="101" t="s">
        <v>2941</v>
      </c>
      <c r="L801" s="102">
        <v>23.0</v>
      </c>
      <c r="M801" s="13"/>
    </row>
    <row r="802">
      <c r="A802" s="101" t="s">
        <v>3478</v>
      </c>
      <c r="B802" s="101" t="s">
        <v>3479</v>
      </c>
      <c r="D802" s="13"/>
      <c r="E802" s="13"/>
      <c r="F802" s="13"/>
      <c r="G802" s="102">
        <v>1.0</v>
      </c>
      <c r="H802" s="101" t="s">
        <v>2940</v>
      </c>
      <c r="I802" s="102">
        <v>73.98</v>
      </c>
      <c r="J802" s="102">
        <v>91.0</v>
      </c>
      <c r="K802" s="101" t="s">
        <v>2941</v>
      </c>
      <c r="L802" s="102">
        <v>23.0</v>
      </c>
      <c r="M802" s="13"/>
    </row>
    <row r="803">
      <c r="A803" s="101" t="s">
        <v>3478</v>
      </c>
      <c r="B803" s="101" t="s">
        <v>3479</v>
      </c>
      <c r="D803" s="13"/>
      <c r="E803" s="13"/>
      <c r="F803" s="13"/>
      <c r="G803" s="102">
        <v>2.0</v>
      </c>
      <c r="H803" s="101" t="s">
        <v>2942</v>
      </c>
      <c r="I803" s="102">
        <v>74.25</v>
      </c>
      <c r="J803" s="102">
        <v>91.33</v>
      </c>
      <c r="K803" s="101" t="s">
        <v>2941</v>
      </c>
      <c r="L803" s="102">
        <v>23.0</v>
      </c>
      <c r="M803" s="13"/>
    </row>
    <row r="804">
      <c r="A804" s="101" t="s">
        <v>3480</v>
      </c>
      <c r="B804" s="101" t="s">
        <v>3481</v>
      </c>
      <c r="D804" s="13"/>
      <c r="E804" s="13"/>
      <c r="F804" s="13"/>
      <c r="G804" s="102">
        <v>1.0</v>
      </c>
      <c r="H804" s="101" t="s">
        <v>2940</v>
      </c>
      <c r="I804" s="102">
        <v>73.01</v>
      </c>
      <c r="J804" s="102">
        <v>89.8</v>
      </c>
      <c r="K804" s="101" t="s">
        <v>2941</v>
      </c>
      <c r="L804" s="102">
        <v>23.0</v>
      </c>
      <c r="M804" s="13"/>
    </row>
    <row r="805">
      <c r="A805" s="101" t="s">
        <v>3480</v>
      </c>
      <c r="B805" s="101" t="s">
        <v>3481</v>
      </c>
      <c r="D805" s="13"/>
      <c r="E805" s="13"/>
      <c r="F805" s="13"/>
      <c r="G805" s="102">
        <v>2.0</v>
      </c>
      <c r="H805" s="101" t="s">
        <v>2942</v>
      </c>
      <c r="I805" s="102">
        <v>58.4</v>
      </c>
      <c r="J805" s="102">
        <v>71.83</v>
      </c>
      <c r="K805" s="101" t="s">
        <v>2941</v>
      </c>
      <c r="L805" s="102">
        <v>23.0</v>
      </c>
      <c r="M805" s="13"/>
    </row>
    <row r="806">
      <c r="A806" s="101" t="s">
        <v>3482</v>
      </c>
      <c r="B806" s="101" t="s">
        <v>3483</v>
      </c>
      <c r="D806" s="13"/>
      <c r="E806" s="13"/>
      <c r="F806" s="13"/>
      <c r="G806" s="102">
        <v>1.0</v>
      </c>
      <c r="H806" s="101" t="s">
        <v>2940</v>
      </c>
      <c r="I806" s="102">
        <v>145.85</v>
      </c>
      <c r="J806" s="102">
        <v>179.4</v>
      </c>
      <c r="K806" s="101" t="s">
        <v>2941</v>
      </c>
      <c r="L806" s="102">
        <v>23.0</v>
      </c>
      <c r="M806" s="13"/>
    </row>
    <row r="807">
      <c r="A807" s="101" t="s">
        <v>3482</v>
      </c>
      <c r="B807" s="101" t="s">
        <v>3483</v>
      </c>
      <c r="D807" s="13"/>
      <c r="E807" s="13"/>
      <c r="F807" s="13"/>
      <c r="G807" s="102">
        <v>2.0</v>
      </c>
      <c r="H807" s="101" t="s">
        <v>2942</v>
      </c>
      <c r="I807" s="102">
        <v>116.7</v>
      </c>
      <c r="J807" s="102">
        <v>143.54</v>
      </c>
      <c r="K807" s="101" t="s">
        <v>2941</v>
      </c>
      <c r="L807" s="102">
        <v>23.0</v>
      </c>
      <c r="M807" s="13"/>
    </row>
    <row r="808">
      <c r="A808" s="101" t="s">
        <v>3484</v>
      </c>
      <c r="B808" s="101" t="s">
        <v>3485</v>
      </c>
      <c r="D808" s="13"/>
      <c r="E808" s="13"/>
      <c r="F808" s="13"/>
      <c r="G808" s="102">
        <v>1.0</v>
      </c>
      <c r="H808" s="101" t="s">
        <v>2940</v>
      </c>
      <c r="I808" s="102">
        <v>218.86</v>
      </c>
      <c r="J808" s="102">
        <v>269.2</v>
      </c>
      <c r="K808" s="101" t="s">
        <v>2941</v>
      </c>
      <c r="L808" s="102">
        <v>23.0</v>
      </c>
      <c r="M808" s="13"/>
    </row>
    <row r="809">
      <c r="A809" s="101" t="s">
        <v>3484</v>
      </c>
      <c r="B809" s="101" t="s">
        <v>3485</v>
      </c>
      <c r="D809" s="13"/>
      <c r="E809" s="13"/>
      <c r="F809" s="13"/>
      <c r="G809" s="102">
        <v>2.0</v>
      </c>
      <c r="H809" s="101" t="s">
        <v>2942</v>
      </c>
      <c r="I809" s="102">
        <v>175.1</v>
      </c>
      <c r="J809" s="102">
        <v>215.37</v>
      </c>
      <c r="K809" s="101" t="s">
        <v>2941</v>
      </c>
      <c r="L809" s="102">
        <v>23.0</v>
      </c>
      <c r="M809" s="13"/>
    </row>
    <row r="810">
      <c r="A810" s="101" t="s">
        <v>3486</v>
      </c>
      <c r="B810" s="101" t="s">
        <v>3487</v>
      </c>
      <c r="D810" s="13"/>
      <c r="E810" s="13"/>
      <c r="F810" s="13"/>
      <c r="G810" s="102">
        <v>1.0</v>
      </c>
      <c r="H810" s="101" t="s">
        <v>2940</v>
      </c>
      <c r="I810" s="102">
        <v>120.89</v>
      </c>
      <c r="J810" s="102">
        <v>148.69</v>
      </c>
      <c r="K810" s="101" t="s">
        <v>2941</v>
      </c>
      <c r="L810" s="102">
        <v>23.0</v>
      </c>
      <c r="M810" s="13"/>
    </row>
    <row r="811">
      <c r="A811" s="101" t="s">
        <v>3486</v>
      </c>
      <c r="B811" s="101" t="s">
        <v>3487</v>
      </c>
      <c r="D811" s="13"/>
      <c r="E811" s="13"/>
      <c r="F811" s="13"/>
      <c r="G811" s="102">
        <v>2.0</v>
      </c>
      <c r="H811" s="101" t="s">
        <v>2942</v>
      </c>
      <c r="I811" s="102">
        <v>96.7</v>
      </c>
      <c r="J811" s="102">
        <v>118.94</v>
      </c>
      <c r="K811" s="101" t="s">
        <v>2941</v>
      </c>
      <c r="L811" s="102">
        <v>23.0</v>
      </c>
      <c r="M811" s="13"/>
    </row>
    <row r="812">
      <c r="A812" s="101" t="s">
        <v>3488</v>
      </c>
      <c r="B812" s="101" t="s">
        <v>3489</v>
      </c>
      <c r="D812" s="13"/>
      <c r="E812" s="13"/>
      <c r="F812" s="13"/>
      <c r="G812" s="102">
        <v>1.0</v>
      </c>
      <c r="H812" s="101" t="s">
        <v>2940</v>
      </c>
      <c r="I812" s="102">
        <v>241.87</v>
      </c>
      <c r="J812" s="102">
        <v>297.5</v>
      </c>
      <c r="K812" s="101" t="s">
        <v>2941</v>
      </c>
      <c r="L812" s="102">
        <v>23.0</v>
      </c>
      <c r="M812" s="13"/>
    </row>
    <row r="813">
      <c r="A813" s="101" t="s">
        <v>3488</v>
      </c>
      <c r="B813" s="101" t="s">
        <v>3489</v>
      </c>
      <c r="D813" s="13"/>
      <c r="E813" s="13"/>
      <c r="F813" s="13"/>
      <c r="G813" s="102">
        <v>2.0</v>
      </c>
      <c r="H813" s="101" t="s">
        <v>2942</v>
      </c>
      <c r="I813" s="102">
        <v>193.5</v>
      </c>
      <c r="J813" s="102">
        <v>238.01</v>
      </c>
      <c r="K813" s="101" t="s">
        <v>2941</v>
      </c>
      <c r="L813" s="102">
        <v>23.0</v>
      </c>
      <c r="M813" s="13"/>
    </row>
    <row r="814">
      <c r="A814" s="101" t="s">
        <v>3490</v>
      </c>
      <c r="B814" s="101" t="s">
        <v>3491</v>
      </c>
      <c r="D814" s="13"/>
      <c r="E814" s="13"/>
      <c r="F814" s="13"/>
      <c r="G814" s="102">
        <v>1.0</v>
      </c>
      <c r="H814" s="101" t="s">
        <v>2940</v>
      </c>
      <c r="I814" s="102">
        <v>362.68</v>
      </c>
      <c r="J814" s="102">
        <v>446.1</v>
      </c>
      <c r="K814" s="101" t="s">
        <v>2941</v>
      </c>
      <c r="L814" s="102">
        <v>23.0</v>
      </c>
      <c r="M814" s="13"/>
    </row>
    <row r="815">
      <c r="A815" s="101" t="s">
        <v>3490</v>
      </c>
      <c r="B815" s="101" t="s">
        <v>3491</v>
      </c>
      <c r="D815" s="13"/>
      <c r="E815" s="13"/>
      <c r="F815" s="13"/>
      <c r="G815" s="102">
        <v>2.0</v>
      </c>
      <c r="H815" s="101" t="s">
        <v>2942</v>
      </c>
      <c r="I815" s="102">
        <v>290.1</v>
      </c>
      <c r="J815" s="102">
        <v>356.82</v>
      </c>
      <c r="K815" s="101" t="s">
        <v>2941</v>
      </c>
      <c r="L815" s="102">
        <v>23.0</v>
      </c>
      <c r="M815" s="13"/>
    </row>
    <row r="816">
      <c r="A816" s="101" t="s">
        <v>3492</v>
      </c>
      <c r="B816" s="101">
        <v>43127.0</v>
      </c>
      <c r="C816" s="13"/>
      <c r="D816" s="13"/>
      <c r="E816" s="13"/>
      <c r="F816" s="13"/>
      <c r="G816" s="102">
        <v>1.0</v>
      </c>
      <c r="H816" s="101" t="s">
        <v>2940</v>
      </c>
      <c r="I816" s="102">
        <v>196.9</v>
      </c>
      <c r="J816" s="102">
        <v>242.19</v>
      </c>
      <c r="K816" s="101" t="s">
        <v>2941</v>
      </c>
      <c r="L816" s="102">
        <v>23.0</v>
      </c>
      <c r="M816" s="13"/>
    </row>
    <row r="817">
      <c r="A817" s="101" t="s">
        <v>3492</v>
      </c>
      <c r="B817" s="101">
        <v>43127.0</v>
      </c>
      <c r="C817" s="13"/>
      <c r="D817" s="13"/>
      <c r="E817" s="13"/>
      <c r="F817" s="13"/>
      <c r="G817" s="102">
        <v>2.0</v>
      </c>
      <c r="H817" s="101" t="s">
        <v>2942</v>
      </c>
      <c r="I817" s="102">
        <v>196.9</v>
      </c>
      <c r="J817" s="102">
        <v>242.19</v>
      </c>
      <c r="K817" s="101" t="s">
        <v>2941</v>
      </c>
      <c r="L817" s="102">
        <v>23.0</v>
      </c>
      <c r="M817" s="13"/>
    </row>
    <row r="818">
      <c r="A818" s="101" t="s">
        <v>3493</v>
      </c>
      <c r="B818" s="101" t="s">
        <v>3494</v>
      </c>
      <c r="D818" s="13"/>
      <c r="E818" s="13"/>
      <c r="F818" s="13"/>
      <c r="G818" s="102">
        <v>1.0</v>
      </c>
      <c r="H818" s="101" t="s">
        <v>2940</v>
      </c>
      <c r="I818" s="102">
        <v>141.22</v>
      </c>
      <c r="J818" s="102">
        <v>173.7</v>
      </c>
      <c r="K818" s="101" t="s">
        <v>2941</v>
      </c>
      <c r="L818" s="102">
        <v>23.0</v>
      </c>
      <c r="M818" s="13"/>
    </row>
    <row r="819">
      <c r="A819" s="101" t="s">
        <v>3493</v>
      </c>
      <c r="B819" s="101" t="s">
        <v>3494</v>
      </c>
      <c r="D819" s="13"/>
      <c r="E819" s="13"/>
      <c r="F819" s="13"/>
      <c r="G819" s="102">
        <v>2.0</v>
      </c>
      <c r="H819" s="101" t="s">
        <v>2942</v>
      </c>
      <c r="I819" s="102">
        <v>113.0</v>
      </c>
      <c r="J819" s="102">
        <v>138.99</v>
      </c>
      <c r="K819" s="101" t="s">
        <v>2941</v>
      </c>
      <c r="L819" s="102">
        <v>23.0</v>
      </c>
      <c r="M819" s="13"/>
    </row>
    <row r="820">
      <c r="A820" s="101" t="s">
        <v>3495</v>
      </c>
      <c r="B820" s="101" t="s">
        <v>3496</v>
      </c>
      <c r="D820" s="13"/>
      <c r="E820" s="13"/>
      <c r="F820" s="13"/>
      <c r="G820" s="102">
        <v>1.0</v>
      </c>
      <c r="H820" s="101" t="s">
        <v>2940</v>
      </c>
      <c r="I820" s="102">
        <v>206.42</v>
      </c>
      <c r="J820" s="102">
        <v>253.9</v>
      </c>
      <c r="K820" s="101" t="s">
        <v>2941</v>
      </c>
      <c r="L820" s="102">
        <v>23.0</v>
      </c>
      <c r="M820" s="13"/>
    </row>
    <row r="821">
      <c r="A821" s="101" t="s">
        <v>3495</v>
      </c>
      <c r="B821" s="101" t="s">
        <v>3496</v>
      </c>
      <c r="D821" s="13"/>
      <c r="E821" s="13"/>
      <c r="F821" s="13"/>
      <c r="G821" s="102">
        <v>2.0</v>
      </c>
      <c r="H821" s="101" t="s">
        <v>2942</v>
      </c>
      <c r="I821" s="102">
        <v>206.4</v>
      </c>
      <c r="J821" s="102">
        <v>253.87</v>
      </c>
      <c r="K821" s="101" t="s">
        <v>2941</v>
      </c>
      <c r="L821" s="102">
        <v>23.0</v>
      </c>
      <c r="M821" s="13"/>
    </row>
    <row r="822">
      <c r="A822" s="101" t="s">
        <v>3497</v>
      </c>
      <c r="B822" s="101" t="s">
        <v>3498</v>
      </c>
      <c r="D822" s="13"/>
      <c r="E822" s="13"/>
      <c r="F822" s="13"/>
      <c r="G822" s="102">
        <v>1.0</v>
      </c>
      <c r="H822" s="101" t="s">
        <v>2940</v>
      </c>
      <c r="I822" s="102">
        <v>208.2</v>
      </c>
      <c r="J822" s="102">
        <v>256.09</v>
      </c>
      <c r="K822" s="101" t="s">
        <v>2941</v>
      </c>
      <c r="L822" s="102">
        <v>23.0</v>
      </c>
      <c r="M822" s="13"/>
    </row>
    <row r="823">
      <c r="A823" s="101" t="s">
        <v>3497</v>
      </c>
      <c r="B823" s="101" t="s">
        <v>3498</v>
      </c>
      <c r="D823" s="13"/>
      <c r="E823" s="13"/>
      <c r="F823" s="13"/>
      <c r="G823" s="102">
        <v>2.0</v>
      </c>
      <c r="H823" s="101" t="s">
        <v>2942</v>
      </c>
      <c r="I823" s="102">
        <v>208.2</v>
      </c>
      <c r="J823" s="102">
        <v>256.09</v>
      </c>
      <c r="K823" s="101" t="s">
        <v>2941</v>
      </c>
      <c r="L823" s="102">
        <v>23.0</v>
      </c>
      <c r="M823" s="13"/>
    </row>
    <row r="824">
      <c r="A824" s="101" t="s">
        <v>3499</v>
      </c>
      <c r="B824" s="101" t="s">
        <v>3500</v>
      </c>
      <c r="D824" s="13"/>
      <c r="E824" s="13"/>
      <c r="F824" s="13"/>
      <c r="G824" s="102">
        <v>1.0</v>
      </c>
      <c r="H824" s="101" t="s">
        <v>2940</v>
      </c>
      <c r="I824" s="102">
        <v>282.36</v>
      </c>
      <c r="J824" s="102">
        <v>347.3</v>
      </c>
      <c r="K824" s="101" t="s">
        <v>2941</v>
      </c>
      <c r="L824" s="102">
        <v>23.0</v>
      </c>
      <c r="M824" s="13"/>
    </row>
    <row r="825">
      <c r="A825" s="101" t="s">
        <v>3499</v>
      </c>
      <c r="B825" s="101" t="s">
        <v>3500</v>
      </c>
      <c r="D825" s="13"/>
      <c r="E825" s="13"/>
      <c r="F825" s="13"/>
      <c r="G825" s="102">
        <v>2.0</v>
      </c>
      <c r="H825" s="101" t="s">
        <v>2942</v>
      </c>
      <c r="I825" s="102">
        <v>225.9</v>
      </c>
      <c r="J825" s="102">
        <v>277.86</v>
      </c>
      <c r="K825" s="101" t="s">
        <v>2941</v>
      </c>
      <c r="L825" s="102">
        <v>23.0</v>
      </c>
      <c r="M825" s="13"/>
    </row>
    <row r="826">
      <c r="A826" s="101" t="s">
        <v>3501</v>
      </c>
      <c r="B826" s="101">
        <v>1084.0</v>
      </c>
      <c r="C826" s="13"/>
      <c r="D826" s="13"/>
      <c r="E826" s="13"/>
      <c r="F826" s="13"/>
      <c r="G826" s="102">
        <v>1.0</v>
      </c>
      <c r="H826" s="101" t="s">
        <v>2940</v>
      </c>
      <c r="I826" s="102">
        <v>412.68</v>
      </c>
      <c r="J826" s="102">
        <v>507.6</v>
      </c>
      <c r="K826" s="101" t="s">
        <v>2941</v>
      </c>
      <c r="L826" s="102">
        <v>23.0</v>
      </c>
      <c r="M826" s="13"/>
    </row>
    <row r="827">
      <c r="A827" s="101" t="s">
        <v>3501</v>
      </c>
      <c r="B827" s="101">
        <v>1084.0</v>
      </c>
      <c r="C827" s="13"/>
      <c r="D827" s="13"/>
      <c r="E827" s="13"/>
      <c r="F827" s="13"/>
      <c r="G827" s="102">
        <v>2.0</v>
      </c>
      <c r="H827" s="101" t="s">
        <v>2942</v>
      </c>
      <c r="I827" s="102">
        <v>412.7</v>
      </c>
      <c r="J827" s="102">
        <v>507.62</v>
      </c>
      <c r="K827" s="101" t="s">
        <v>2941</v>
      </c>
      <c r="L827" s="102">
        <v>23.0</v>
      </c>
      <c r="M827" s="13"/>
    </row>
    <row r="828">
      <c r="A828" s="101" t="s">
        <v>3502</v>
      </c>
      <c r="B828" s="101" t="s">
        <v>3503</v>
      </c>
      <c r="D828" s="13"/>
      <c r="E828" s="13"/>
      <c r="F828" s="13"/>
      <c r="G828" s="102">
        <v>1.0</v>
      </c>
      <c r="H828" s="101" t="s">
        <v>2940</v>
      </c>
      <c r="I828" s="102">
        <v>416.4</v>
      </c>
      <c r="J828" s="102">
        <v>512.17</v>
      </c>
      <c r="K828" s="101" t="s">
        <v>2941</v>
      </c>
      <c r="L828" s="102">
        <v>23.0</v>
      </c>
      <c r="M828" s="13"/>
    </row>
    <row r="829">
      <c r="A829" s="101" t="s">
        <v>3502</v>
      </c>
      <c r="B829" s="101" t="s">
        <v>3503</v>
      </c>
      <c r="D829" s="13"/>
      <c r="E829" s="13"/>
      <c r="F829" s="13"/>
      <c r="G829" s="102">
        <v>2.0</v>
      </c>
      <c r="H829" s="101" t="s">
        <v>2942</v>
      </c>
      <c r="I829" s="102">
        <v>416.4</v>
      </c>
      <c r="J829" s="102">
        <v>512.17</v>
      </c>
      <c r="K829" s="101" t="s">
        <v>2941</v>
      </c>
      <c r="L829" s="102">
        <v>23.0</v>
      </c>
      <c r="M829" s="13"/>
    </row>
    <row r="830">
      <c r="A830" s="101" t="s">
        <v>3504</v>
      </c>
      <c r="B830" s="101" t="s">
        <v>3505</v>
      </c>
      <c r="D830" s="13"/>
      <c r="E830" s="13"/>
      <c r="F830" s="13"/>
      <c r="G830" s="102">
        <v>1.0</v>
      </c>
      <c r="H830" s="101" t="s">
        <v>2940</v>
      </c>
      <c r="I830" s="102">
        <v>423.58</v>
      </c>
      <c r="J830" s="102">
        <v>521.0</v>
      </c>
      <c r="K830" s="101" t="s">
        <v>2941</v>
      </c>
      <c r="L830" s="102">
        <v>23.0</v>
      </c>
      <c r="M830" s="13"/>
    </row>
    <row r="831">
      <c r="A831" s="101" t="s">
        <v>3504</v>
      </c>
      <c r="B831" s="101" t="s">
        <v>3505</v>
      </c>
      <c r="D831" s="13"/>
      <c r="E831" s="13"/>
      <c r="F831" s="13"/>
      <c r="G831" s="102">
        <v>2.0</v>
      </c>
      <c r="H831" s="101" t="s">
        <v>2942</v>
      </c>
      <c r="I831" s="102">
        <v>338.9</v>
      </c>
      <c r="J831" s="102">
        <v>416.85</v>
      </c>
      <c r="K831" s="101" t="s">
        <v>2941</v>
      </c>
      <c r="L831" s="102">
        <v>23.0</v>
      </c>
      <c r="M831" s="13"/>
    </row>
    <row r="832">
      <c r="A832" s="101" t="s">
        <v>3506</v>
      </c>
      <c r="B832" s="101">
        <v>1085.0</v>
      </c>
      <c r="C832" s="13"/>
      <c r="D832" s="13"/>
      <c r="E832" s="13"/>
      <c r="F832" s="13"/>
      <c r="G832" s="102">
        <v>1.0</v>
      </c>
      <c r="H832" s="101" t="s">
        <v>2940</v>
      </c>
      <c r="I832" s="102">
        <v>619.11</v>
      </c>
      <c r="J832" s="102">
        <v>761.51</v>
      </c>
      <c r="K832" s="101" t="s">
        <v>2941</v>
      </c>
      <c r="L832" s="102">
        <v>23.0</v>
      </c>
      <c r="M832" s="13"/>
    </row>
    <row r="833">
      <c r="A833" s="101" t="s">
        <v>3506</v>
      </c>
      <c r="B833" s="101">
        <v>1085.0</v>
      </c>
      <c r="C833" s="13"/>
      <c r="D833" s="13"/>
      <c r="E833" s="13"/>
      <c r="F833" s="13"/>
      <c r="G833" s="102">
        <v>2.0</v>
      </c>
      <c r="H833" s="101" t="s">
        <v>2942</v>
      </c>
      <c r="I833" s="102">
        <v>619.1</v>
      </c>
      <c r="J833" s="102">
        <v>761.49</v>
      </c>
      <c r="K833" s="101" t="s">
        <v>2941</v>
      </c>
      <c r="L833" s="102">
        <v>23.0</v>
      </c>
      <c r="M833" s="13"/>
    </row>
    <row r="834">
      <c r="A834" s="101" t="s">
        <v>3507</v>
      </c>
      <c r="B834" s="101" t="s">
        <v>3508</v>
      </c>
      <c r="D834" s="13"/>
      <c r="E834" s="13"/>
      <c r="F834" s="13"/>
      <c r="G834" s="102">
        <v>1.0</v>
      </c>
      <c r="H834" s="101" t="s">
        <v>2940</v>
      </c>
      <c r="I834" s="102">
        <v>624.6</v>
      </c>
      <c r="J834" s="102">
        <v>768.26</v>
      </c>
      <c r="K834" s="101" t="s">
        <v>2941</v>
      </c>
      <c r="L834" s="102">
        <v>23.0</v>
      </c>
      <c r="M834" s="13"/>
    </row>
    <row r="835">
      <c r="A835" s="101" t="s">
        <v>3507</v>
      </c>
      <c r="B835" s="101" t="s">
        <v>3508</v>
      </c>
      <c r="D835" s="13"/>
      <c r="E835" s="13"/>
      <c r="F835" s="13"/>
      <c r="G835" s="102">
        <v>2.0</v>
      </c>
      <c r="H835" s="101" t="s">
        <v>2942</v>
      </c>
      <c r="I835" s="102">
        <v>624.6</v>
      </c>
      <c r="J835" s="102">
        <v>768.26</v>
      </c>
      <c r="K835" s="101" t="s">
        <v>2941</v>
      </c>
      <c r="L835" s="102">
        <v>23.0</v>
      </c>
      <c r="M835" s="13"/>
    </row>
    <row r="836">
      <c r="A836" s="101" t="s">
        <v>3509</v>
      </c>
      <c r="B836" s="101" t="s">
        <v>3510</v>
      </c>
      <c r="C836" s="13"/>
      <c r="D836" s="13"/>
      <c r="E836" s="13"/>
      <c r="F836" s="13"/>
      <c r="G836" s="102">
        <v>1.0</v>
      </c>
      <c r="H836" s="101" t="s">
        <v>2940</v>
      </c>
      <c r="I836" s="102">
        <v>113.41</v>
      </c>
      <c r="J836" s="102">
        <v>139.49</v>
      </c>
      <c r="K836" s="101" t="s">
        <v>2941</v>
      </c>
      <c r="L836" s="102">
        <v>23.0</v>
      </c>
      <c r="M836" s="13"/>
    </row>
    <row r="837">
      <c r="A837" s="101" t="s">
        <v>3509</v>
      </c>
      <c r="B837" s="101" t="s">
        <v>3510</v>
      </c>
      <c r="C837" s="13"/>
      <c r="D837" s="13"/>
      <c r="E837" s="13"/>
      <c r="F837" s="13"/>
      <c r="G837" s="102">
        <v>2.0</v>
      </c>
      <c r="H837" s="101" t="s">
        <v>2942</v>
      </c>
      <c r="I837" s="102">
        <v>90.7</v>
      </c>
      <c r="J837" s="102">
        <v>111.56</v>
      </c>
      <c r="K837" s="101" t="s">
        <v>2941</v>
      </c>
      <c r="L837" s="102">
        <v>23.0</v>
      </c>
      <c r="M837" s="13"/>
    </row>
    <row r="838">
      <c r="A838" s="101" t="s">
        <v>3511</v>
      </c>
      <c r="B838" s="101" t="s">
        <v>3512</v>
      </c>
      <c r="C838" s="13"/>
      <c r="D838" s="13"/>
      <c r="E838" s="13"/>
      <c r="F838" s="13"/>
      <c r="G838" s="102">
        <v>1.0</v>
      </c>
      <c r="H838" s="101" t="s">
        <v>2940</v>
      </c>
      <c r="I838" s="102">
        <v>226.83</v>
      </c>
      <c r="J838" s="102">
        <v>279.0</v>
      </c>
      <c r="K838" s="101" t="s">
        <v>2941</v>
      </c>
      <c r="L838" s="102">
        <v>23.0</v>
      </c>
      <c r="M838" s="13"/>
    </row>
    <row r="839">
      <c r="A839" s="101" t="s">
        <v>3511</v>
      </c>
      <c r="B839" s="101" t="s">
        <v>3512</v>
      </c>
      <c r="C839" s="13"/>
      <c r="D839" s="13"/>
      <c r="E839" s="13"/>
      <c r="F839" s="13"/>
      <c r="G839" s="102">
        <v>2.0</v>
      </c>
      <c r="H839" s="101" t="s">
        <v>2942</v>
      </c>
      <c r="I839" s="102">
        <v>181.5</v>
      </c>
      <c r="J839" s="102">
        <v>223.25</v>
      </c>
      <c r="K839" s="101" t="s">
        <v>2941</v>
      </c>
      <c r="L839" s="102">
        <v>23.0</v>
      </c>
      <c r="M839" s="13"/>
    </row>
    <row r="840">
      <c r="A840" s="101" t="s">
        <v>3513</v>
      </c>
      <c r="B840" s="101" t="s">
        <v>3514</v>
      </c>
      <c r="C840" s="13"/>
      <c r="D840" s="13"/>
      <c r="E840" s="13"/>
      <c r="F840" s="13"/>
      <c r="G840" s="102">
        <v>1.0</v>
      </c>
      <c r="H840" s="101" t="s">
        <v>2940</v>
      </c>
      <c r="I840" s="102">
        <v>340.16</v>
      </c>
      <c r="J840" s="102">
        <v>418.4</v>
      </c>
      <c r="K840" s="101" t="s">
        <v>2941</v>
      </c>
      <c r="L840" s="102">
        <v>23.0</v>
      </c>
      <c r="M840" s="13"/>
    </row>
    <row r="841">
      <c r="A841" s="101" t="s">
        <v>3513</v>
      </c>
      <c r="B841" s="101" t="s">
        <v>3514</v>
      </c>
      <c r="C841" s="13"/>
      <c r="D841" s="13"/>
      <c r="E841" s="13"/>
      <c r="F841" s="13"/>
      <c r="G841" s="102">
        <v>2.0</v>
      </c>
      <c r="H841" s="101" t="s">
        <v>2942</v>
      </c>
      <c r="I841" s="102">
        <v>272.1</v>
      </c>
      <c r="J841" s="102">
        <v>334.68</v>
      </c>
      <c r="K841" s="101" t="s">
        <v>2941</v>
      </c>
      <c r="L841" s="102">
        <v>23.0</v>
      </c>
      <c r="M841" s="13"/>
    </row>
    <row r="842">
      <c r="A842" s="101" t="s">
        <v>3515</v>
      </c>
      <c r="B842" s="101" t="s">
        <v>3516</v>
      </c>
      <c r="D842" s="13"/>
      <c r="E842" s="13"/>
      <c r="F842" s="13"/>
      <c r="G842" s="102">
        <v>1.0</v>
      </c>
      <c r="H842" s="101" t="s">
        <v>2940</v>
      </c>
      <c r="I842" s="102">
        <v>36.59</v>
      </c>
      <c r="J842" s="102">
        <v>45.01</v>
      </c>
      <c r="K842" s="101" t="s">
        <v>2941</v>
      </c>
      <c r="L842" s="102">
        <v>23.0</v>
      </c>
      <c r="M842" s="13"/>
    </row>
    <row r="843">
      <c r="A843" s="101" t="s">
        <v>3515</v>
      </c>
      <c r="B843" s="101" t="s">
        <v>3516</v>
      </c>
      <c r="D843" s="13"/>
      <c r="E843" s="13"/>
      <c r="F843" s="13"/>
      <c r="G843" s="102">
        <v>2.0</v>
      </c>
      <c r="H843" s="101" t="s">
        <v>2942</v>
      </c>
      <c r="I843" s="102">
        <v>45.0</v>
      </c>
      <c r="J843" s="102">
        <v>55.35</v>
      </c>
      <c r="K843" s="101" t="s">
        <v>2941</v>
      </c>
      <c r="L843" s="102">
        <v>23.0</v>
      </c>
      <c r="M843" s="13"/>
    </row>
    <row r="844">
      <c r="A844" s="101" t="s">
        <v>3517</v>
      </c>
      <c r="B844" s="101" t="s">
        <v>3518</v>
      </c>
      <c r="D844" s="13"/>
      <c r="E844" s="13"/>
      <c r="F844" s="13"/>
      <c r="G844" s="102">
        <v>1.0</v>
      </c>
      <c r="H844" s="101" t="s">
        <v>2940</v>
      </c>
      <c r="I844" s="102">
        <v>36.18</v>
      </c>
      <c r="J844" s="102">
        <v>44.5</v>
      </c>
      <c r="K844" s="101" t="s">
        <v>2941</v>
      </c>
      <c r="L844" s="102">
        <v>23.0</v>
      </c>
      <c r="M844" s="13"/>
    </row>
    <row r="845">
      <c r="A845" s="101" t="s">
        <v>3517</v>
      </c>
      <c r="B845" s="101" t="s">
        <v>3518</v>
      </c>
      <c r="D845" s="13"/>
      <c r="E845" s="13"/>
      <c r="F845" s="13"/>
      <c r="G845" s="102">
        <v>2.0</v>
      </c>
      <c r="H845" s="101" t="s">
        <v>2942</v>
      </c>
      <c r="I845" s="102">
        <v>28.9</v>
      </c>
      <c r="J845" s="102">
        <v>35.55</v>
      </c>
      <c r="K845" s="101" t="s">
        <v>2941</v>
      </c>
      <c r="L845" s="102">
        <v>23.0</v>
      </c>
      <c r="M845" s="13"/>
    </row>
    <row r="846">
      <c r="A846" s="101" t="s">
        <v>3519</v>
      </c>
      <c r="B846" s="101" t="s">
        <v>3520</v>
      </c>
      <c r="D846" s="13"/>
      <c r="E846" s="13"/>
      <c r="F846" s="13"/>
      <c r="G846" s="102">
        <v>1.0</v>
      </c>
      <c r="H846" s="101" t="s">
        <v>2940</v>
      </c>
      <c r="I846" s="102">
        <v>72.28</v>
      </c>
      <c r="J846" s="102">
        <v>88.9</v>
      </c>
      <c r="K846" s="101" t="s">
        <v>2941</v>
      </c>
      <c r="L846" s="102">
        <v>23.0</v>
      </c>
      <c r="M846" s="13"/>
    </row>
    <row r="847">
      <c r="A847" s="101" t="s">
        <v>3519</v>
      </c>
      <c r="B847" s="101" t="s">
        <v>3520</v>
      </c>
      <c r="D847" s="13"/>
      <c r="E847" s="13"/>
      <c r="F847" s="13"/>
      <c r="G847" s="102">
        <v>2.0</v>
      </c>
      <c r="H847" s="101" t="s">
        <v>2942</v>
      </c>
      <c r="I847" s="102">
        <v>57.8</v>
      </c>
      <c r="J847" s="102">
        <v>71.09</v>
      </c>
      <c r="K847" s="101" t="s">
        <v>2941</v>
      </c>
      <c r="L847" s="102">
        <v>23.0</v>
      </c>
      <c r="M847" s="13"/>
    </row>
    <row r="848">
      <c r="A848" s="101" t="s">
        <v>3521</v>
      </c>
      <c r="B848" s="101" t="s">
        <v>3522</v>
      </c>
      <c r="D848" s="13"/>
      <c r="E848" s="13"/>
      <c r="F848" s="13"/>
      <c r="G848" s="102">
        <v>1.0</v>
      </c>
      <c r="H848" s="101" t="s">
        <v>2940</v>
      </c>
      <c r="I848" s="102">
        <v>108.46</v>
      </c>
      <c r="J848" s="102">
        <v>133.41</v>
      </c>
      <c r="K848" s="101" t="s">
        <v>2941</v>
      </c>
      <c r="L848" s="102">
        <v>23.0</v>
      </c>
      <c r="M848" s="13"/>
    </row>
    <row r="849">
      <c r="A849" s="101" t="s">
        <v>3521</v>
      </c>
      <c r="B849" s="101" t="s">
        <v>3522</v>
      </c>
      <c r="D849" s="13"/>
      <c r="E849" s="13"/>
      <c r="F849" s="13"/>
      <c r="G849" s="102">
        <v>2.0</v>
      </c>
      <c r="H849" s="101" t="s">
        <v>2942</v>
      </c>
      <c r="I849" s="102">
        <v>86.8</v>
      </c>
      <c r="J849" s="102">
        <v>106.76</v>
      </c>
      <c r="K849" s="101" t="s">
        <v>2941</v>
      </c>
      <c r="L849" s="102">
        <v>23.0</v>
      </c>
      <c r="M849" s="13"/>
    </row>
    <row r="850">
      <c r="A850" s="101" t="s">
        <v>3523</v>
      </c>
      <c r="B850" s="101" t="s">
        <v>3524</v>
      </c>
      <c r="D850" s="13"/>
      <c r="E850" s="13"/>
      <c r="F850" s="13"/>
      <c r="G850" s="102">
        <v>1.0</v>
      </c>
      <c r="H850" s="101" t="s">
        <v>2940</v>
      </c>
      <c r="I850" s="102">
        <v>43.98</v>
      </c>
      <c r="J850" s="102">
        <v>54.1</v>
      </c>
      <c r="K850" s="101" t="s">
        <v>2941</v>
      </c>
      <c r="L850" s="102">
        <v>23.0</v>
      </c>
      <c r="M850" s="13"/>
    </row>
    <row r="851">
      <c r="A851" s="101" t="s">
        <v>3523</v>
      </c>
      <c r="B851" s="101" t="s">
        <v>3524</v>
      </c>
      <c r="D851" s="13"/>
      <c r="E851" s="13"/>
      <c r="F851" s="13"/>
      <c r="G851" s="102">
        <v>2.0</v>
      </c>
      <c r="H851" s="101" t="s">
        <v>2942</v>
      </c>
      <c r="I851" s="102">
        <v>35.2</v>
      </c>
      <c r="J851" s="102">
        <v>43.3</v>
      </c>
      <c r="K851" s="101" t="s">
        <v>2941</v>
      </c>
      <c r="L851" s="102">
        <v>23.0</v>
      </c>
      <c r="M851" s="13"/>
    </row>
    <row r="852">
      <c r="A852" s="101" t="s">
        <v>3525</v>
      </c>
      <c r="B852" s="101" t="s">
        <v>3526</v>
      </c>
      <c r="D852" s="13"/>
      <c r="E852" s="13"/>
      <c r="F852" s="13"/>
      <c r="G852" s="102">
        <v>1.0</v>
      </c>
      <c r="H852" s="101" t="s">
        <v>2940</v>
      </c>
      <c r="I852" s="102">
        <v>95.53</v>
      </c>
      <c r="J852" s="102">
        <v>117.5</v>
      </c>
      <c r="K852" s="101" t="s">
        <v>2941</v>
      </c>
      <c r="L852" s="102">
        <v>23.0</v>
      </c>
      <c r="M852" s="13"/>
    </row>
    <row r="853">
      <c r="A853" s="101" t="s">
        <v>3525</v>
      </c>
      <c r="B853" s="101" t="s">
        <v>3526</v>
      </c>
      <c r="D853" s="13"/>
      <c r="E853" s="13"/>
      <c r="F853" s="13"/>
      <c r="G853" s="102">
        <v>2.0</v>
      </c>
      <c r="H853" s="101" t="s">
        <v>2942</v>
      </c>
      <c r="I853" s="102">
        <v>76.4</v>
      </c>
      <c r="J853" s="102">
        <v>93.97</v>
      </c>
      <c r="K853" s="101" t="s">
        <v>2941</v>
      </c>
      <c r="L853" s="102">
        <v>23.0</v>
      </c>
      <c r="M853" s="13"/>
    </row>
    <row r="854">
      <c r="A854" s="101" t="s">
        <v>3527</v>
      </c>
      <c r="B854" s="101" t="s">
        <v>3528</v>
      </c>
      <c r="D854" s="13"/>
      <c r="E854" s="13"/>
      <c r="F854" s="13"/>
      <c r="G854" s="102">
        <v>1.0</v>
      </c>
      <c r="H854" s="101" t="s">
        <v>2940</v>
      </c>
      <c r="I854" s="102">
        <v>132.03</v>
      </c>
      <c r="J854" s="102">
        <v>162.4</v>
      </c>
      <c r="K854" s="101" t="s">
        <v>2941</v>
      </c>
      <c r="L854" s="102">
        <v>23.0</v>
      </c>
      <c r="M854" s="13"/>
    </row>
    <row r="855">
      <c r="A855" s="101" t="s">
        <v>3527</v>
      </c>
      <c r="B855" s="101" t="s">
        <v>3528</v>
      </c>
      <c r="D855" s="13"/>
      <c r="E855" s="13"/>
      <c r="F855" s="13"/>
      <c r="G855" s="102">
        <v>2.0</v>
      </c>
      <c r="H855" s="101" t="s">
        <v>2942</v>
      </c>
      <c r="I855" s="102">
        <v>105.6</v>
      </c>
      <c r="J855" s="102">
        <v>129.89</v>
      </c>
      <c r="K855" s="101" t="s">
        <v>2941</v>
      </c>
      <c r="L855" s="102">
        <v>23.0</v>
      </c>
      <c r="M855" s="13"/>
    </row>
    <row r="856">
      <c r="A856" s="101" t="s">
        <v>3529</v>
      </c>
      <c r="B856" s="101" t="s">
        <v>3530</v>
      </c>
      <c r="D856" s="13"/>
      <c r="E856" s="13"/>
      <c r="F856" s="13"/>
      <c r="G856" s="102">
        <v>1.0</v>
      </c>
      <c r="H856" s="101" t="s">
        <v>2940</v>
      </c>
      <c r="I856" s="102">
        <v>45.28</v>
      </c>
      <c r="J856" s="102">
        <v>55.69</v>
      </c>
      <c r="K856" s="101" t="s">
        <v>2941</v>
      </c>
      <c r="L856" s="102">
        <v>23.0</v>
      </c>
      <c r="M856" s="13"/>
    </row>
    <row r="857">
      <c r="A857" s="101" t="s">
        <v>3529</v>
      </c>
      <c r="B857" s="101" t="s">
        <v>3530</v>
      </c>
      <c r="D857" s="13"/>
      <c r="E857" s="13"/>
      <c r="F857" s="13"/>
      <c r="G857" s="102">
        <v>2.0</v>
      </c>
      <c r="H857" s="101" t="s">
        <v>2942</v>
      </c>
      <c r="I857" s="102">
        <v>36.2</v>
      </c>
      <c r="J857" s="102">
        <v>44.53</v>
      </c>
      <c r="K857" s="101" t="s">
        <v>2941</v>
      </c>
      <c r="L857" s="102">
        <v>23.0</v>
      </c>
      <c r="M857" s="13"/>
    </row>
    <row r="858">
      <c r="A858" s="101" t="s">
        <v>3531</v>
      </c>
      <c r="B858" s="101" t="s">
        <v>3532</v>
      </c>
      <c r="D858" s="13"/>
      <c r="E858" s="13"/>
      <c r="F858" s="13"/>
      <c r="G858" s="102">
        <v>1.0</v>
      </c>
      <c r="H858" s="101" t="s">
        <v>2940</v>
      </c>
      <c r="I858" s="102">
        <v>90.57</v>
      </c>
      <c r="J858" s="102">
        <v>111.4</v>
      </c>
      <c r="K858" s="101" t="s">
        <v>2941</v>
      </c>
      <c r="L858" s="102">
        <v>23.0</v>
      </c>
      <c r="M858" s="13"/>
    </row>
    <row r="859">
      <c r="A859" s="101" t="s">
        <v>3531</v>
      </c>
      <c r="B859" s="101" t="s">
        <v>3532</v>
      </c>
      <c r="D859" s="13"/>
      <c r="E859" s="13"/>
      <c r="F859" s="13"/>
      <c r="G859" s="102">
        <v>2.0</v>
      </c>
      <c r="H859" s="101" t="s">
        <v>2942</v>
      </c>
      <c r="I859" s="102">
        <v>72.5</v>
      </c>
      <c r="J859" s="102">
        <v>89.18</v>
      </c>
      <c r="K859" s="101" t="s">
        <v>2941</v>
      </c>
      <c r="L859" s="102">
        <v>23.0</v>
      </c>
      <c r="M859" s="13"/>
    </row>
    <row r="860">
      <c r="A860" s="101" t="s">
        <v>3533</v>
      </c>
      <c r="B860" s="101" t="s">
        <v>3534</v>
      </c>
      <c r="D860" s="13"/>
      <c r="E860" s="13"/>
      <c r="F860" s="13"/>
      <c r="G860" s="102">
        <v>1.0</v>
      </c>
      <c r="H860" s="101" t="s">
        <v>2940</v>
      </c>
      <c r="I860" s="102">
        <v>135.77</v>
      </c>
      <c r="J860" s="102">
        <v>167.0</v>
      </c>
      <c r="K860" s="101" t="s">
        <v>2941</v>
      </c>
      <c r="L860" s="102">
        <v>23.0</v>
      </c>
      <c r="M860" s="13"/>
    </row>
    <row r="861">
      <c r="A861" s="101" t="s">
        <v>3533</v>
      </c>
      <c r="B861" s="101" t="s">
        <v>3534</v>
      </c>
      <c r="D861" s="13"/>
      <c r="E861" s="13"/>
      <c r="F861" s="13"/>
      <c r="G861" s="102">
        <v>2.0</v>
      </c>
      <c r="H861" s="101" t="s">
        <v>2942</v>
      </c>
      <c r="I861" s="102">
        <v>108.6</v>
      </c>
      <c r="J861" s="102">
        <v>133.58</v>
      </c>
      <c r="K861" s="101" t="s">
        <v>2941</v>
      </c>
      <c r="L861" s="102">
        <v>23.0</v>
      </c>
      <c r="M861" s="13"/>
    </row>
    <row r="862">
      <c r="A862" s="101" t="s">
        <v>3535</v>
      </c>
      <c r="B862" s="101" t="s">
        <v>3536</v>
      </c>
      <c r="D862" s="13"/>
      <c r="E862" s="13"/>
      <c r="F862" s="13"/>
      <c r="G862" s="102">
        <v>1.0</v>
      </c>
      <c r="H862" s="101" t="s">
        <v>2940</v>
      </c>
      <c r="I862" s="102">
        <v>23.82</v>
      </c>
      <c r="J862" s="102">
        <v>29.3</v>
      </c>
      <c r="K862" s="101" t="s">
        <v>2941</v>
      </c>
      <c r="L862" s="102">
        <v>23.0</v>
      </c>
      <c r="M862" s="13"/>
    </row>
    <row r="863">
      <c r="A863" s="101" t="s">
        <v>3535</v>
      </c>
      <c r="B863" s="101" t="s">
        <v>3536</v>
      </c>
      <c r="D863" s="13"/>
      <c r="E863" s="13"/>
      <c r="F863" s="13"/>
      <c r="G863" s="102">
        <v>2.0</v>
      </c>
      <c r="H863" s="101" t="s">
        <v>2942</v>
      </c>
      <c r="I863" s="102">
        <v>19.1</v>
      </c>
      <c r="J863" s="102">
        <v>23.49</v>
      </c>
      <c r="K863" s="101" t="s">
        <v>2941</v>
      </c>
      <c r="L863" s="102">
        <v>23.0</v>
      </c>
      <c r="M863" s="13"/>
    </row>
    <row r="864">
      <c r="A864" s="101" t="s">
        <v>3537</v>
      </c>
      <c r="B864" s="101" t="s">
        <v>3538</v>
      </c>
      <c r="D864" s="13"/>
      <c r="E864" s="13"/>
      <c r="F864" s="13"/>
      <c r="G864" s="102">
        <v>1.0</v>
      </c>
      <c r="H864" s="101" t="s">
        <v>2940</v>
      </c>
      <c r="I864" s="102">
        <v>40.55</v>
      </c>
      <c r="J864" s="102">
        <v>49.88</v>
      </c>
      <c r="K864" s="101" t="s">
        <v>2941</v>
      </c>
      <c r="L864" s="102">
        <v>23.0</v>
      </c>
      <c r="M864" s="13"/>
    </row>
    <row r="865">
      <c r="A865" s="101" t="s">
        <v>3537</v>
      </c>
      <c r="B865" s="101" t="s">
        <v>3538</v>
      </c>
      <c r="D865" s="13"/>
      <c r="E865" s="13"/>
      <c r="F865" s="13"/>
      <c r="G865" s="102">
        <v>2.0</v>
      </c>
      <c r="H865" s="101" t="s">
        <v>2942</v>
      </c>
      <c r="I865" s="102">
        <v>40.55</v>
      </c>
      <c r="J865" s="102">
        <v>49.88</v>
      </c>
      <c r="K865" s="101" t="s">
        <v>2941</v>
      </c>
      <c r="L865" s="102">
        <v>23.0</v>
      </c>
      <c r="M865" s="13"/>
    </row>
    <row r="866">
      <c r="A866" s="101" t="s">
        <v>3539</v>
      </c>
      <c r="B866" s="101" t="s">
        <v>3540</v>
      </c>
      <c r="D866" s="13"/>
      <c r="E866" s="13"/>
      <c r="F866" s="13"/>
      <c r="G866" s="102">
        <v>1.0</v>
      </c>
      <c r="H866" s="101" t="s">
        <v>2940</v>
      </c>
      <c r="I866" s="102">
        <v>40.55</v>
      </c>
      <c r="J866" s="102">
        <v>49.88</v>
      </c>
      <c r="K866" s="101" t="s">
        <v>2941</v>
      </c>
      <c r="L866" s="102">
        <v>23.0</v>
      </c>
      <c r="M866" s="13"/>
    </row>
    <row r="867">
      <c r="A867" s="101" t="s">
        <v>3539</v>
      </c>
      <c r="B867" s="101" t="s">
        <v>3540</v>
      </c>
      <c r="D867" s="13"/>
      <c r="E867" s="13"/>
      <c r="F867" s="13"/>
      <c r="G867" s="102">
        <v>2.0</v>
      </c>
      <c r="H867" s="101" t="s">
        <v>2942</v>
      </c>
      <c r="I867" s="102">
        <v>40.55</v>
      </c>
      <c r="J867" s="102">
        <v>49.88</v>
      </c>
      <c r="K867" s="101" t="s">
        <v>2941</v>
      </c>
      <c r="L867" s="102">
        <v>23.0</v>
      </c>
      <c r="M867" s="13"/>
    </row>
    <row r="868">
      <c r="A868" s="101" t="s">
        <v>3541</v>
      </c>
      <c r="B868" s="101" t="s">
        <v>3542</v>
      </c>
      <c r="D868" s="13"/>
      <c r="E868" s="13"/>
      <c r="F868" s="13"/>
      <c r="G868" s="102">
        <v>1.0</v>
      </c>
      <c r="H868" s="101" t="s">
        <v>2940</v>
      </c>
      <c r="I868" s="102">
        <v>47.8</v>
      </c>
      <c r="J868" s="102">
        <v>58.79</v>
      </c>
      <c r="K868" s="101" t="s">
        <v>2941</v>
      </c>
      <c r="L868" s="102">
        <v>23.0</v>
      </c>
      <c r="M868" s="13"/>
    </row>
    <row r="869">
      <c r="A869" s="101" t="s">
        <v>3541</v>
      </c>
      <c r="B869" s="101" t="s">
        <v>3542</v>
      </c>
      <c r="D869" s="13"/>
      <c r="E869" s="13"/>
      <c r="F869" s="13"/>
      <c r="G869" s="102">
        <v>2.0</v>
      </c>
      <c r="H869" s="101" t="s">
        <v>2942</v>
      </c>
      <c r="I869" s="102">
        <v>38.2</v>
      </c>
      <c r="J869" s="102">
        <v>46.99</v>
      </c>
      <c r="K869" s="101" t="s">
        <v>2941</v>
      </c>
      <c r="L869" s="102">
        <v>23.0</v>
      </c>
      <c r="M869" s="13"/>
    </row>
    <row r="870">
      <c r="A870" s="101" t="s">
        <v>3543</v>
      </c>
      <c r="B870" s="101" t="s">
        <v>3544</v>
      </c>
      <c r="D870" s="13"/>
      <c r="E870" s="13"/>
      <c r="F870" s="13"/>
      <c r="G870" s="102">
        <v>1.0</v>
      </c>
      <c r="H870" s="101" t="s">
        <v>2940</v>
      </c>
      <c r="I870" s="102">
        <v>81.1</v>
      </c>
      <c r="J870" s="102">
        <v>99.75</v>
      </c>
      <c r="K870" s="101" t="s">
        <v>2941</v>
      </c>
      <c r="L870" s="102">
        <v>23.0</v>
      </c>
      <c r="M870" s="13"/>
    </row>
    <row r="871">
      <c r="A871" s="101" t="s">
        <v>3543</v>
      </c>
      <c r="B871" s="101" t="s">
        <v>3544</v>
      </c>
      <c r="D871" s="13"/>
      <c r="E871" s="13"/>
      <c r="F871" s="13"/>
      <c r="G871" s="102">
        <v>2.0</v>
      </c>
      <c r="H871" s="101" t="s">
        <v>2942</v>
      </c>
      <c r="I871" s="102">
        <v>81.1</v>
      </c>
      <c r="J871" s="102">
        <v>99.75</v>
      </c>
      <c r="K871" s="101" t="s">
        <v>2941</v>
      </c>
      <c r="L871" s="102">
        <v>23.0</v>
      </c>
      <c r="M871" s="13"/>
    </row>
    <row r="872">
      <c r="A872" s="101" t="s">
        <v>3545</v>
      </c>
      <c r="B872" s="101" t="s">
        <v>3546</v>
      </c>
      <c r="D872" s="13"/>
      <c r="E872" s="13"/>
      <c r="F872" s="13"/>
      <c r="G872" s="102">
        <v>1.0</v>
      </c>
      <c r="H872" s="101" t="s">
        <v>2940</v>
      </c>
      <c r="I872" s="102">
        <v>81.1</v>
      </c>
      <c r="J872" s="102">
        <v>99.75</v>
      </c>
      <c r="K872" s="101" t="s">
        <v>2941</v>
      </c>
      <c r="L872" s="102">
        <v>23.0</v>
      </c>
      <c r="M872" s="13"/>
    </row>
    <row r="873">
      <c r="A873" s="101" t="s">
        <v>3545</v>
      </c>
      <c r="B873" s="101" t="s">
        <v>3546</v>
      </c>
      <c r="D873" s="13"/>
      <c r="E873" s="13"/>
      <c r="F873" s="13"/>
      <c r="G873" s="102">
        <v>2.0</v>
      </c>
      <c r="H873" s="101" t="s">
        <v>2942</v>
      </c>
      <c r="I873" s="102">
        <v>81.1</v>
      </c>
      <c r="J873" s="102">
        <v>99.75</v>
      </c>
      <c r="K873" s="101" t="s">
        <v>2941</v>
      </c>
      <c r="L873" s="102">
        <v>23.0</v>
      </c>
      <c r="M873" s="13"/>
    </row>
    <row r="874">
      <c r="A874" s="101" t="s">
        <v>3547</v>
      </c>
      <c r="B874" s="101" t="s">
        <v>3548</v>
      </c>
      <c r="D874" s="13"/>
      <c r="E874" s="13"/>
      <c r="F874" s="13"/>
      <c r="G874" s="102">
        <v>1.0</v>
      </c>
      <c r="H874" s="101" t="s">
        <v>2940</v>
      </c>
      <c r="I874" s="102">
        <v>71.63</v>
      </c>
      <c r="J874" s="102">
        <v>88.1</v>
      </c>
      <c r="K874" s="101" t="s">
        <v>2941</v>
      </c>
      <c r="L874" s="102">
        <v>23.0</v>
      </c>
      <c r="M874" s="13"/>
    </row>
    <row r="875">
      <c r="A875" s="101" t="s">
        <v>3547</v>
      </c>
      <c r="B875" s="101" t="s">
        <v>3548</v>
      </c>
      <c r="D875" s="13"/>
      <c r="E875" s="13"/>
      <c r="F875" s="13"/>
      <c r="G875" s="102">
        <v>2.0</v>
      </c>
      <c r="H875" s="101" t="s">
        <v>2942</v>
      </c>
      <c r="I875" s="102">
        <v>57.3</v>
      </c>
      <c r="J875" s="102">
        <v>70.48</v>
      </c>
      <c r="K875" s="101" t="s">
        <v>2941</v>
      </c>
      <c r="L875" s="102">
        <v>23.0</v>
      </c>
      <c r="M875" s="13"/>
    </row>
    <row r="876">
      <c r="A876" s="101" t="s">
        <v>3549</v>
      </c>
      <c r="B876" s="101" t="s">
        <v>3550</v>
      </c>
      <c r="D876" s="13"/>
      <c r="E876" s="13"/>
      <c r="F876" s="13"/>
      <c r="G876" s="102">
        <v>1.0</v>
      </c>
      <c r="H876" s="101" t="s">
        <v>2940</v>
      </c>
      <c r="I876" s="102">
        <v>121.65</v>
      </c>
      <c r="J876" s="102">
        <v>149.63</v>
      </c>
      <c r="K876" s="101" t="s">
        <v>2941</v>
      </c>
      <c r="L876" s="102">
        <v>23.0</v>
      </c>
      <c r="M876" s="13"/>
    </row>
    <row r="877">
      <c r="A877" s="101" t="s">
        <v>3549</v>
      </c>
      <c r="B877" s="101" t="s">
        <v>3550</v>
      </c>
      <c r="D877" s="13"/>
      <c r="E877" s="13"/>
      <c r="F877" s="13"/>
      <c r="G877" s="102">
        <v>2.0</v>
      </c>
      <c r="H877" s="101" t="s">
        <v>2942</v>
      </c>
      <c r="I877" s="102">
        <v>121.65</v>
      </c>
      <c r="J877" s="102">
        <v>149.63</v>
      </c>
      <c r="K877" s="101" t="s">
        <v>2941</v>
      </c>
      <c r="L877" s="102">
        <v>23.0</v>
      </c>
      <c r="M877" s="13"/>
    </row>
    <row r="878">
      <c r="A878" s="101" t="s">
        <v>3551</v>
      </c>
      <c r="B878" s="101" t="s">
        <v>3552</v>
      </c>
      <c r="D878" s="13"/>
      <c r="E878" s="13"/>
      <c r="F878" s="13"/>
      <c r="G878" s="102">
        <v>1.0</v>
      </c>
      <c r="H878" s="101" t="s">
        <v>2940</v>
      </c>
      <c r="I878" s="102">
        <v>121.65</v>
      </c>
      <c r="J878" s="102">
        <v>149.63</v>
      </c>
      <c r="K878" s="101" t="s">
        <v>2941</v>
      </c>
      <c r="L878" s="102">
        <v>23.0</v>
      </c>
      <c r="M878" s="13"/>
    </row>
    <row r="879">
      <c r="A879" s="101" t="s">
        <v>3551</v>
      </c>
      <c r="B879" s="101" t="s">
        <v>3552</v>
      </c>
      <c r="D879" s="13"/>
      <c r="E879" s="13"/>
      <c r="F879" s="13"/>
      <c r="G879" s="102">
        <v>2.0</v>
      </c>
      <c r="H879" s="101" t="s">
        <v>2942</v>
      </c>
      <c r="I879" s="102">
        <v>121.65</v>
      </c>
      <c r="J879" s="102">
        <v>149.63</v>
      </c>
      <c r="K879" s="101" t="s">
        <v>2941</v>
      </c>
      <c r="L879" s="102">
        <v>23.0</v>
      </c>
      <c r="M879" s="13"/>
    </row>
    <row r="880">
      <c r="A880" s="101" t="s">
        <v>3553</v>
      </c>
      <c r="B880" s="101" t="s">
        <v>3554</v>
      </c>
      <c r="D880" s="13"/>
      <c r="E880" s="13"/>
      <c r="F880" s="13"/>
      <c r="G880" s="102">
        <v>1.0</v>
      </c>
      <c r="H880" s="101" t="s">
        <v>2940</v>
      </c>
      <c r="I880" s="102">
        <v>113.88</v>
      </c>
      <c r="J880" s="102">
        <v>140.07</v>
      </c>
      <c r="K880" s="101" t="s">
        <v>2941</v>
      </c>
      <c r="L880" s="102">
        <v>23.0</v>
      </c>
      <c r="M880" s="13"/>
    </row>
    <row r="881">
      <c r="A881" s="101" t="s">
        <v>3553</v>
      </c>
      <c r="B881" s="101" t="s">
        <v>3554</v>
      </c>
      <c r="D881" s="13"/>
      <c r="E881" s="13"/>
      <c r="F881" s="13"/>
      <c r="G881" s="102">
        <v>2.0</v>
      </c>
      <c r="H881" s="101" t="s">
        <v>2942</v>
      </c>
      <c r="I881" s="102">
        <v>113.88</v>
      </c>
      <c r="J881" s="102">
        <v>140.07</v>
      </c>
      <c r="K881" s="101" t="s">
        <v>2941</v>
      </c>
      <c r="L881" s="102">
        <v>23.0</v>
      </c>
      <c r="M881" s="13"/>
    </row>
    <row r="882">
      <c r="A882" s="101" t="s">
        <v>3555</v>
      </c>
      <c r="B882" s="101" t="s">
        <v>3556</v>
      </c>
      <c r="D882" s="13"/>
      <c r="E882" s="13"/>
      <c r="F882" s="13"/>
      <c r="G882" s="102">
        <v>1.0</v>
      </c>
      <c r="H882" s="101" t="s">
        <v>2940</v>
      </c>
      <c r="I882" s="102">
        <v>31.87</v>
      </c>
      <c r="J882" s="102">
        <v>39.2</v>
      </c>
      <c r="K882" s="101" t="s">
        <v>2941</v>
      </c>
      <c r="L882" s="102">
        <v>23.0</v>
      </c>
      <c r="M882" s="13"/>
    </row>
    <row r="883">
      <c r="A883" s="101" t="s">
        <v>3555</v>
      </c>
      <c r="B883" s="101" t="s">
        <v>3556</v>
      </c>
      <c r="D883" s="13"/>
      <c r="E883" s="13"/>
      <c r="F883" s="13"/>
      <c r="G883" s="102">
        <v>2.0</v>
      </c>
      <c r="H883" s="101" t="s">
        <v>2942</v>
      </c>
      <c r="I883" s="102">
        <v>25.5</v>
      </c>
      <c r="J883" s="102">
        <v>31.37</v>
      </c>
      <c r="K883" s="101" t="s">
        <v>2941</v>
      </c>
      <c r="L883" s="102">
        <v>23.0</v>
      </c>
      <c r="M883" s="13"/>
    </row>
    <row r="884">
      <c r="A884" s="101" t="s">
        <v>3557</v>
      </c>
      <c r="B884" s="101" t="s">
        <v>3558</v>
      </c>
      <c r="D884" s="13"/>
      <c r="E884" s="13"/>
      <c r="F884" s="13"/>
      <c r="G884" s="102">
        <v>1.0</v>
      </c>
      <c r="H884" s="101" t="s">
        <v>2940</v>
      </c>
      <c r="I884" s="102">
        <v>63.66</v>
      </c>
      <c r="J884" s="102">
        <v>78.3</v>
      </c>
      <c r="K884" s="101" t="s">
        <v>2941</v>
      </c>
      <c r="L884" s="102">
        <v>23.0</v>
      </c>
      <c r="M884" s="13"/>
    </row>
    <row r="885">
      <c r="A885" s="101" t="s">
        <v>3557</v>
      </c>
      <c r="B885" s="101" t="s">
        <v>3558</v>
      </c>
      <c r="D885" s="13"/>
      <c r="E885" s="13"/>
      <c r="F885" s="13"/>
      <c r="G885" s="102">
        <v>2.0</v>
      </c>
      <c r="H885" s="101" t="s">
        <v>2942</v>
      </c>
      <c r="I885" s="102">
        <v>50.9</v>
      </c>
      <c r="J885" s="102">
        <v>62.61</v>
      </c>
      <c r="K885" s="101" t="s">
        <v>2941</v>
      </c>
      <c r="L885" s="102">
        <v>23.0</v>
      </c>
      <c r="M885" s="13"/>
    </row>
    <row r="886">
      <c r="A886" s="101" t="s">
        <v>3559</v>
      </c>
      <c r="B886" s="101">
        <v>1962.0</v>
      </c>
      <c r="C886" s="13"/>
      <c r="D886" s="13"/>
      <c r="E886" s="13"/>
      <c r="F886" s="13"/>
      <c r="G886" s="102">
        <v>1.0</v>
      </c>
      <c r="H886" s="101" t="s">
        <v>2940</v>
      </c>
      <c r="I886" s="102">
        <v>84.72</v>
      </c>
      <c r="J886" s="102">
        <v>104.21</v>
      </c>
      <c r="K886" s="101" t="s">
        <v>2941</v>
      </c>
      <c r="L886" s="102">
        <v>23.0</v>
      </c>
      <c r="M886" s="13"/>
    </row>
    <row r="887">
      <c r="A887" s="101" t="s">
        <v>3559</v>
      </c>
      <c r="B887" s="101">
        <v>1962.0</v>
      </c>
      <c r="C887" s="13"/>
      <c r="D887" s="13"/>
      <c r="E887" s="13"/>
      <c r="F887" s="13"/>
      <c r="G887" s="102">
        <v>2.0</v>
      </c>
      <c r="H887" s="101" t="s">
        <v>2942</v>
      </c>
      <c r="I887" s="102">
        <v>84.7</v>
      </c>
      <c r="J887" s="102">
        <v>104.18</v>
      </c>
      <c r="K887" s="101" t="s">
        <v>2941</v>
      </c>
      <c r="L887" s="102">
        <v>23.0</v>
      </c>
      <c r="M887" s="13"/>
    </row>
    <row r="888">
      <c r="A888" s="101" t="s">
        <v>3560</v>
      </c>
      <c r="B888" s="101" t="s">
        <v>3561</v>
      </c>
      <c r="D888" s="13"/>
      <c r="E888" s="13"/>
      <c r="F888" s="13"/>
      <c r="G888" s="102">
        <v>1.0</v>
      </c>
      <c r="H888" s="101" t="s">
        <v>2940</v>
      </c>
      <c r="I888" s="102">
        <v>64.39</v>
      </c>
      <c r="J888" s="102">
        <v>79.2</v>
      </c>
      <c r="K888" s="101" t="s">
        <v>2941</v>
      </c>
      <c r="L888" s="102">
        <v>23.0</v>
      </c>
      <c r="M888" s="13"/>
    </row>
    <row r="889">
      <c r="A889" s="101" t="s">
        <v>3560</v>
      </c>
      <c r="B889" s="101" t="s">
        <v>3561</v>
      </c>
      <c r="D889" s="13"/>
      <c r="E889" s="13"/>
      <c r="F889" s="13"/>
      <c r="G889" s="102">
        <v>2.0</v>
      </c>
      <c r="H889" s="101" t="s">
        <v>2942</v>
      </c>
      <c r="I889" s="102">
        <v>51.5</v>
      </c>
      <c r="J889" s="102">
        <v>63.35</v>
      </c>
      <c r="K889" s="101" t="s">
        <v>2941</v>
      </c>
      <c r="L889" s="102">
        <v>23.0</v>
      </c>
      <c r="M889" s="13"/>
    </row>
    <row r="890">
      <c r="A890" s="101" t="s">
        <v>3562</v>
      </c>
      <c r="B890" s="101" t="s">
        <v>3563</v>
      </c>
      <c r="D890" s="13"/>
      <c r="E890" s="13"/>
      <c r="F890" s="13"/>
      <c r="G890" s="102">
        <v>1.0</v>
      </c>
      <c r="H890" s="101" t="s">
        <v>2940</v>
      </c>
      <c r="I890" s="102">
        <v>95.53</v>
      </c>
      <c r="J890" s="102">
        <v>117.5</v>
      </c>
      <c r="K890" s="101" t="s">
        <v>2941</v>
      </c>
      <c r="L890" s="102">
        <v>23.0</v>
      </c>
      <c r="M890" s="13"/>
    </row>
    <row r="891">
      <c r="A891" s="101" t="s">
        <v>3562</v>
      </c>
      <c r="B891" s="101" t="s">
        <v>3563</v>
      </c>
      <c r="D891" s="13"/>
      <c r="E891" s="13"/>
      <c r="F891" s="13"/>
      <c r="G891" s="102">
        <v>2.0</v>
      </c>
      <c r="H891" s="101" t="s">
        <v>2942</v>
      </c>
      <c r="I891" s="102">
        <v>76.4</v>
      </c>
      <c r="J891" s="102">
        <v>93.97</v>
      </c>
      <c r="K891" s="101" t="s">
        <v>2941</v>
      </c>
      <c r="L891" s="102">
        <v>23.0</v>
      </c>
      <c r="M891" s="13"/>
    </row>
    <row r="892">
      <c r="A892" s="101" t="s">
        <v>3564</v>
      </c>
      <c r="B892" s="101">
        <v>1963.0</v>
      </c>
      <c r="C892" s="13"/>
      <c r="D892" s="13"/>
      <c r="E892" s="13"/>
      <c r="F892" s="13"/>
      <c r="G892" s="102">
        <v>1.0</v>
      </c>
      <c r="H892" s="101" t="s">
        <v>2940</v>
      </c>
      <c r="I892" s="102">
        <v>127.07</v>
      </c>
      <c r="J892" s="102">
        <v>156.3</v>
      </c>
      <c r="K892" s="101" t="s">
        <v>2941</v>
      </c>
      <c r="L892" s="102">
        <v>23.0</v>
      </c>
      <c r="M892" s="13"/>
    </row>
    <row r="893">
      <c r="A893" s="101" t="s">
        <v>3564</v>
      </c>
      <c r="B893" s="101">
        <v>1963.0</v>
      </c>
      <c r="C893" s="13"/>
      <c r="D893" s="13"/>
      <c r="E893" s="13"/>
      <c r="F893" s="13"/>
      <c r="G893" s="102">
        <v>2.0</v>
      </c>
      <c r="H893" s="101" t="s">
        <v>2942</v>
      </c>
      <c r="I893" s="102">
        <v>127.1</v>
      </c>
      <c r="J893" s="102">
        <v>156.33</v>
      </c>
      <c r="K893" s="101" t="s">
        <v>2941</v>
      </c>
      <c r="L893" s="102">
        <v>23.0</v>
      </c>
      <c r="M893" s="13"/>
    </row>
    <row r="894">
      <c r="A894" s="101" t="s">
        <v>3565</v>
      </c>
      <c r="B894" s="101" t="s">
        <v>3566</v>
      </c>
      <c r="D894" s="13"/>
      <c r="E894" s="13"/>
      <c r="F894" s="13"/>
      <c r="G894" s="102">
        <v>1.0</v>
      </c>
      <c r="H894" s="101" t="s">
        <v>2940</v>
      </c>
      <c r="I894" s="102">
        <v>107.32</v>
      </c>
      <c r="J894" s="102">
        <v>132.0</v>
      </c>
      <c r="K894" s="101" t="s">
        <v>2941</v>
      </c>
      <c r="L894" s="102">
        <v>23.0</v>
      </c>
      <c r="M894" s="13"/>
    </row>
    <row r="895">
      <c r="A895" s="101" t="s">
        <v>3565</v>
      </c>
      <c r="B895" s="101" t="s">
        <v>3566</v>
      </c>
      <c r="D895" s="13"/>
      <c r="E895" s="13"/>
      <c r="F895" s="13"/>
      <c r="G895" s="102">
        <v>2.0</v>
      </c>
      <c r="H895" s="101" t="s">
        <v>2942</v>
      </c>
      <c r="I895" s="102">
        <v>107.3</v>
      </c>
      <c r="J895" s="102">
        <v>131.98</v>
      </c>
      <c r="K895" s="101" t="s">
        <v>2941</v>
      </c>
      <c r="L895" s="102">
        <v>23.0</v>
      </c>
      <c r="M895" s="13"/>
    </row>
    <row r="896">
      <c r="A896" s="101" t="s">
        <v>3567</v>
      </c>
      <c r="B896" s="101" t="s">
        <v>3568</v>
      </c>
      <c r="D896" s="13"/>
      <c r="E896" s="13"/>
      <c r="F896" s="13"/>
      <c r="G896" s="102">
        <v>1.0</v>
      </c>
      <c r="H896" s="101" t="s">
        <v>2940</v>
      </c>
      <c r="I896" s="102">
        <v>31.14</v>
      </c>
      <c r="J896" s="102">
        <v>38.3</v>
      </c>
      <c r="K896" s="101" t="s">
        <v>2941</v>
      </c>
      <c r="L896" s="102">
        <v>23.0</v>
      </c>
      <c r="M896" s="13"/>
    </row>
    <row r="897">
      <c r="A897" s="101" t="s">
        <v>3567</v>
      </c>
      <c r="B897" s="101" t="s">
        <v>3568</v>
      </c>
      <c r="D897" s="13"/>
      <c r="E897" s="13"/>
      <c r="F897" s="13"/>
      <c r="G897" s="102">
        <v>2.0</v>
      </c>
      <c r="H897" s="101" t="s">
        <v>2942</v>
      </c>
      <c r="I897" s="102">
        <v>24.9</v>
      </c>
      <c r="J897" s="102">
        <v>30.63</v>
      </c>
      <c r="K897" s="101" t="s">
        <v>2941</v>
      </c>
      <c r="L897" s="102">
        <v>23.0</v>
      </c>
      <c r="M897" s="13"/>
    </row>
    <row r="898">
      <c r="A898" s="101" t="s">
        <v>3569</v>
      </c>
      <c r="B898" s="101" t="s">
        <v>3570</v>
      </c>
      <c r="D898" s="13"/>
      <c r="E898" s="13"/>
      <c r="F898" s="13"/>
      <c r="G898" s="102">
        <v>1.0</v>
      </c>
      <c r="H898" s="101" t="s">
        <v>2940</v>
      </c>
      <c r="I898" s="102">
        <v>62.28</v>
      </c>
      <c r="J898" s="102">
        <v>76.6</v>
      </c>
      <c r="K898" s="101" t="s">
        <v>2941</v>
      </c>
      <c r="L898" s="102">
        <v>23.0</v>
      </c>
      <c r="M898" s="13"/>
    </row>
    <row r="899">
      <c r="A899" s="101" t="s">
        <v>3569</v>
      </c>
      <c r="B899" s="101" t="s">
        <v>3570</v>
      </c>
      <c r="D899" s="13"/>
      <c r="E899" s="13"/>
      <c r="F899" s="13"/>
      <c r="G899" s="102">
        <v>2.0</v>
      </c>
      <c r="H899" s="101" t="s">
        <v>2942</v>
      </c>
      <c r="I899" s="102">
        <v>49.8</v>
      </c>
      <c r="J899" s="102">
        <v>61.25</v>
      </c>
      <c r="K899" s="101" t="s">
        <v>2941</v>
      </c>
      <c r="L899" s="102">
        <v>23.0</v>
      </c>
      <c r="M899" s="13"/>
    </row>
    <row r="900">
      <c r="A900" s="101" t="s">
        <v>3571</v>
      </c>
      <c r="B900" s="101" t="s">
        <v>3572</v>
      </c>
      <c r="D900" s="13"/>
      <c r="E900" s="13"/>
      <c r="F900" s="13"/>
      <c r="G900" s="102">
        <v>1.0</v>
      </c>
      <c r="H900" s="101" t="s">
        <v>2940</v>
      </c>
      <c r="I900" s="102">
        <v>93.5</v>
      </c>
      <c r="J900" s="102">
        <v>115.01</v>
      </c>
      <c r="K900" s="101" t="s">
        <v>2941</v>
      </c>
      <c r="L900" s="102">
        <v>23.0</v>
      </c>
      <c r="M900" s="13"/>
    </row>
    <row r="901">
      <c r="A901" s="101" t="s">
        <v>3571</v>
      </c>
      <c r="B901" s="101" t="s">
        <v>3572</v>
      </c>
      <c r="D901" s="13"/>
      <c r="E901" s="13"/>
      <c r="F901" s="13"/>
      <c r="G901" s="102">
        <v>2.0</v>
      </c>
      <c r="H901" s="101" t="s">
        <v>2942</v>
      </c>
      <c r="I901" s="102">
        <v>74.8</v>
      </c>
      <c r="J901" s="102">
        <v>92.0</v>
      </c>
      <c r="K901" s="101" t="s">
        <v>2941</v>
      </c>
      <c r="L901" s="102">
        <v>23.0</v>
      </c>
      <c r="M901" s="13"/>
    </row>
    <row r="902">
      <c r="A902" s="101" t="s">
        <v>3573</v>
      </c>
      <c r="B902" s="101" t="s">
        <v>3574</v>
      </c>
      <c r="D902" s="13"/>
      <c r="E902" s="13"/>
      <c r="F902" s="13"/>
      <c r="G902" s="102">
        <v>1.0</v>
      </c>
      <c r="H902" s="101" t="s">
        <v>2940</v>
      </c>
      <c r="I902" s="102">
        <v>30.16</v>
      </c>
      <c r="J902" s="102">
        <v>37.1</v>
      </c>
      <c r="K902" s="101" t="s">
        <v>2941</v>
      </c>
      <c r="L902" s="102">
        <v>23.0</v>
      </c>
      <c r="M902" s="13"/>
    </row>
    <row r="903">
      <c r="A903" s="101" t="s">
        <v>3573</v>
      </c>
      <c r="B903" s="101" t="s">
        <v>3574</v>
      </c>
      <c r="D903" s="13"/>
      <c r="E903" s="13"/>
      <c r="F903" s="13"/>
      <c r="G903" s="102">
        <v>2.0</v>
      </c>
      <c r="H903" s="101" t="s">
        <v>2942</v>
      </c>
      <c r="I903" s="102">
        <v>24.1</v>
      </c>
      <c r="J903" s="102">
        <v>29.64</v>
      </c>
      <c r="K903" s="101" t="s">
        <v>2941</v>
      </c>
      <c r="L903" s="102">
        <v>23.0</v>
      </c>
      <c r="M903" s="13"/>
    </row>
    <row r="904">
      <c r="A904" s="101" t="s">
        <v>3575</v>
      </c>
      <c r="B904" s="101" t="s">
        <v>3576</v>
      </c>
      <c r="D904" s="13"/>
      <c r="E904" s="13"/>
      <c r="F904" s="13"/>
      <c r="G904" s="102">
        <v>1.0</v>
      </c>
      <c r="H904" s="101" t="s">
        <v>2940</v>
      </c>
      <c r="I904" s="102">
        <v>32.52</v>
      </c>
      <c r="J904" s="102">
        <v>40.0</v>
      </c>
      <c r="K904" s="101" t="s">
        <v>2941</v>
      </c>
      <c r="L904" s="102">
        <v>23.0</v>
      </c>
      <c r="M904" s="13"/>
    </row>
    <row r="905">
      <c r="A905" s="101" t="s">
        <v>3575</v>
      </c>
      <c r="B905" s="101" t="s">
        <v>3576</v>
      </c>
      <c r="D905" s="13"/>
      <c r="E905" s="13"/>
      <c r="F905" s="13"/>
      <c r="G905" s="102">
        <v>2.0</v>
      </c>
      <c r="H905" s="101" t="s">
        <v>2942</v>
      </c>
      <c r="I905" s="102">
        <v>32.65</v>
      </c>
      <c r="J905" s="102">
        <v>40.16</v>
      </c>
      <c r="K905" s="101" t="s">
        <v>2941</v>
      </c>
      <c r="L905" s="102">
        <v>23.0</v>
      </c>
      <c r="M905" s="13"/>
    </row>
    <row r="906">
      <c r="A906" s="101" t="s">
        <v>3577</v>
      </c>
      <c r="B906" s="101" t="s">
        <v>3578</v>
      </c>
      <c r="D906" s="13"/>
      <c r="E906" s="13"/>
      <c r="F906" s="13"/>
      <c r="G906" s="102">
        <v>1.0</v>
      </c>
      <c r="H906" s="101" t="s">
        <v>2940</v>
      </c>
      <c r="I906" s="102">
        <v>60.41</v>
      </c>
      <c r="J906" s="102">
        <v>74.3</v>
      </c>
      <c r="K906" s="101" t="s">
        <v>2941</v>
      </c>
      <c r="L906" s="102">
        <v>23.0</v>
      </c>
      <c r="M906" s="13"/>
    </row>
    <row r="907">
      <c r="A907" s="101" t="s">
        <v>3577</v>
      </c>
      <c r="B907" s="101" t="s">
        <v>3578</v>
      </c>
      <c r="D907" s="13"/>
      <c r="E907" s="13"/>
      <c r="F907" s="13"/>
      <c r="G907" s="102">
        <v>2.0</v>
      </c>
      <c r="H907" s="101" t="s">
        <v>2942</v>
      </c>
      <c r="I907" s="102">
        <v>48.3</v>
      </c>
      <c r="J907" s="102">
        <v>59.41</v>
      </c>
      <c r="K907" s="101" t="s">
        <v>2941</v>
      </c>
      <c r="L907" s="102">
        <v>23.0</v>
      </c>
      <c r="M907" s="13"/>
    </row>
    <row r="908">
      <c r="A908" s="101" t="s">
        <v>3579</v>
      </c>
      <c r="B908" s="101" t="s">
        <v>3580</v>
      </c>
      <c r="D908" s="13"/>
      <c r="E908" s="13"/>
      <c r="F908" s="13"/>
      <c r="G908" s="102">
        <v>1.0</v>
      </c>
      <c r="H908" s="101" t="s">
        <v>2940</v>
      </c>
      <c r="I908" s="102">
        <v>69.43</v>
      </c>
      <c r="J908" s="102">
        <v>85.4</v>
      </c>
      <c r="K908" s="101" t="s">
        <v>2941</v>
      </c>
      <c r="L908" s="102">
        <v>23.0</v>
      </c>
      <c r="M908" s="13"/>
    </row>
    <row r="909">
      <c r="A909" s="101" t="s">
        <v>3579</v>
      </c>
      <c r="B909" s="101" t="s">
        <v>3580</v>
      </c>
      <c r="D909" s="13"/>
      <c r="E909" s="13"/>
      <c r="F909" s="13"/>
      <c r="G909" s="102">
        <v>2.0</v>
      </c>
      <c r="H909" s="101" t="s">
        <v>2942</v>
      </c>
      <c r="I909" s="102">
        <v>55.5</v>
      </c>
      <c r="J909" s="102">
        <v>68.27</v>
      </c>
      <c r="K909" s="101" t="s">
        <v>2941</v>
      </c>
      <c r="L909" s="102">
        <v>23.0</v>
      </c>
      <c r="M909" s="13"/>
    </row>
    <row r="910">
      <c r="A910" s="101" t="s">
        <v>3581</v>
      </c>
      <c r="B910" s="101" t="s">
        <v>3582</v>
      </c>
      <c r="D910" s="13"/>
      <c r="E910" s="13"/>
      <c r="F910" s="13"/>
      <c r="G910" s="102">
        <v>1.0</v>
      </c>
      <c r="H910" s="101" t="s">
        <v>2940</v>
      </c>
      <c r="I910" s="102">
        <v>90.57</v>
      </c>
      <c r="J910" s="102">
        <v>111.4</v>
      </c>
      <c r="K910" s="101" t="s">
        <v>2941</v>
      </c>
      <c r="L910" s="102">
        <v>23.0</v>
      </c>
      <c r="M910" s="13"/>
    </row>
    <row r="911">
      <c r="A911" s="101" t="s">
        <v>3581</v>
      </c>
      <c r="B911" s="101" t="s">
        <v>3582</v>
      </c>
      <c r="D911" s="13"/>
      <c r="E911" s="13"/>
      <c r="F911" s="13"/>
      <c r="G911" s="102">
        <v>2.0</v>
      </c>
      <c r="H911" s="101" t="s">
        <v>2942</v>
      </c>
      <c r="I911" s="102">
        <v>72.5</v>
      </c>
      <c r="J911" s="102">
        <v>89.18</v>
      </c>
      <c r="K911" s="101" t="s">
        <v>2941</v>
      </c>
      <c r="L911" s="102">
        <v>23.0</v>
      </c>
      <c r="M911" s="13"/>
    </row>
    <row r="912">
      <c r="A912" s="101" t="s">
        <v>3583</v>
      </c>
      <c r="B912" s="101" t="s">
        <v>3584</v>
      </c>
      <c r="D912" s="13"/>
      <c r="E912" s="13"/>
      <c r="F912" s="13"/>
      <c r="G912" s="102">
        <v>1.0</v>
      </c>
      <c r="H912" s="101" t="s">
        <v>2940</v>
      </c>
      <c r="I912" s="102">
        <v>97.56</v>
      </c>
      <c r="J912" s="102">
        <v>120.0</v>
      </c>
      <c r="K912" s="101" t="s">
        <v>2941</v>
      </c>
      <c r="L912" s="102">
        <v>23.0</v>
      </c>
      <c r="M912" s="13"/>
    </row>
    <row r="913">
      <c r="A913" s="101" t="s">
        <v>3583</v>
      </c>
      <c r="B913" s="101" t="s">
        <v>3584</v>
      </c>
      <c r="D913" s="13"/>
      <c r="E913" s="13"/>
      <c r="F913" s="13"/>
      <c r="G913" s="102">
        <v>2.0</v>
      </c>
      <c r="H913" s="101" t="s">
        <v>2942</v>
      </c>
      <c r="I913" s="102">
        <v>97.95</v>
      </c>
      <c r="J913" s="102">
        <v>120.48</v>
      </c>
      <c r="K913" s="101" t="s">
        <v>2941</v>
      </c>
      <c r="L913" s="102">
        <v>23.0</v>
      </c>
      <c r="M913" s="13"/>
    </row>
    <row r="914">
      <c r="A914" s="101" t="s">
        <v>3585</v>
      </c>
      <c r="B914" s="101" t="s">
        <v>3586</v>
      </c>
      <c r="D914" s="13"/>
      <c r="E914" s="13"/>
      <c r="F914" s="13"/>
      <c r="G914" s="102">
        <v>1.0</v>
      </c>
      <c r="H914" s="101" t="s">
        <v>2940</v>
      </c>
      <c r="I914" s="102">
        <v>146.26</v>
      </c>
      <c r="J914" s="102">
        <v>179.9</v>
      </c>
      <c r="K914" s="101" t="s">
        <v>2941</v>
      </c>
      <c r="L914" s="102">
        <v>23.0</v>
      </c>
      <c r="M914" s="13"/>
    </row>
    <row r="915">
      <c r="A915" s="101" t="s">
        <v>3585</v>
      </c>
      <c r="B915" s="101" t="s">
        <v>3586</v>
      </c>
      <c r="D915" s="13"/>
      <c r="E915" s="13"/>
      <c r="F915" s="13"/>
      <c r="G915" s="102">
        <v>2.0</v>
      </c>
      <c r="H915" s="101" t="s">
        <v>2942</v>
      </c>
      <c r="I915" s="102">
        <v>117.0</v>
      </c>
      <c r="J915" s="102">
        <v>143.91</v>
      </c>
      <c r="K915" s="101" t="s">
        <v>2941</v>
      </c>
      <c r="L915" s="102">
        <v>23.0</v>
      </c>
      <c r="M915" s="13"/>
    </row>
    <row r="916">
      <c r="A916" s="101" t="s">
        <v>3587</v>
      </c>
      <c r="B916" s="101" t="s">
        <v>3588</v>
      </c>
      <c r="D916" s="13"/>
      <c r="E916" s="13"/>
      <c r="F916" s="13"/>
      <c r="G916" s="102">
        <v>1.0</v>
      </c>
      <c r="H916" s="101" t="s">
        <v>2940</v>
      </c>
      <c r="I916" s="102">
        <v>292.44</v>
      </c>
      <c r="J916" s="102">
        <v>359.7</v>
      </c>
      <c r="K916" s="101" t="s">
        <v>2941</v>
      </c>
      <c r="L916" s="102">
        <v>23.0</v>
      </c>
      <c r="M916" s="13"/>
    </row>
    <row r="917">
      <c r="A917" s="101" t="s">
        <v>3587</v>
      </c>
      <c r="B917" s="101" t="s">
        <v>3588</v>
      </c>
      <c r="D917" s="13"/>
      <c r="E917" s="13"/>
      <c r="F917" s="13"/>
      <c r="G917" s="102">
        <v>2.0</v>
      </c>
      <c r="H917" s="101" t="s">
        <v>2942</v>
      </c>
      <c r="I917" s="102">
        <v>234.0</v>
      </c>
      <c r="J917" s="102">
        <v>287.82</v>
      </c>
      <c r="K917" s="101" t="s">
        <v>2941</v>
      </c>
      <c r="L917" s="102">
        <v>23.0</v>
      </c>
      <c r="M917" s="13"/>
    </row>
    <row r="918">
      <c r="A918" s="101" t="s">
        <v>3589</v>
      </c>
      <c r="B918" s="101" t="s">
        <v>3590</v>
      </c>
      <c r="D918" s="13"/>
      <c r="E918" s="13"/>
      <c r="F918" s="13"/>
      <c r="G918" s="102">
        <v>1.0</v>
      </c>
      <c r="H918" s="101" t="s">
        <v>2940</v>
      </c>
      <c r="I918" s="102">
        <v>438.7</v>
      </c>
      <c r="J918" s="102">
        <v>539.6</v>
      </c>
      <c r="K918" s="101" t="s">
        <v>2941</v>
      </c>
      <c r="L918" s="102">
        <v>23.0</v>
      </c>
      <c r="M918" s="13"/>
    </row>
    <row r="919">
      <c r="A919" s="101" t="s">
        <v>3589</v>
      </c>
      <c r="B919" s="101" t="s">
        <v>3590</v>
      </c>
      <c r="D919" s="13"/>
      <c r="E919" s="13"/>
      <c r="F919" s="13"/>
      <c r="G919" s="102">
        <v>2.0</v>
      </c>
      <c r="H919" s="101" t="s">
        <v>2942</v>
      </c>
      <c r="I919" s="102">
        <v>351.0</v>
      </c>
      <c r="J919" s="102">
        <v>431.73</v>
      </c>
      <c r="K919" s="101" t="s">
        <v>2941</v>
      </c>
      <c r="L919" s="102">
        <v>23.0</v>
      </c>
      <c r="M919" s="13"/>
    </row>
    <row r="920">
      <c r="A920" s="101" t="s">
        <v>3591</v>
      </c>
      <c r="B920" s="101" t="s">
        <v>3592</v>
      </c>
      <c r="D920" s="13"/>
      <c r="E920" s="13"/>
      <c r="F920" s="13"/>
      <c r="G920" s="102">
        <v>1.0</v>
      </c>
      <c r="H920" s="101" t="s">
        <v>2940</v>
      </c>
      <c r="I920" s="102">
        <v>62.93</v>
      </c>
      <c r="J920" s="102">
        <v>77.4</v>
      </c>
      <c r="K920" s="101" t="s">
        <v>2941</v>
      </c>
      <c r="L920" s="102">
        <v>23.0</v>
      </c>
      <c r="M920" s="13"/>
    </row>
    <row r="921">
      <c r="A921" s="101" t="s">
        <v>3591</v>
      </c>
      <c r="B921" s="101" t="s">
        <v>3592</v>
      </c>
      <c r="D921" s="13"/>
      <c r="E921" s="13"/>
      <c r="F921" s="13"/>
      <c r="G921" s="102">
        <v>2.0</v>
      </c>
      <c r="H921" s="101" t="s">
        <v>2942</v>
      </c>
      <c r="I921" s="102">
        <v>50.3</v>
      </c>
      <c r="J921" s="102">
        <v>61.87</v>
      </c>
      <c r="K921" s="101" t="s">
        <v>2941</v>
      </c>
      <c r="L921" s="102">
        <v>23.0</v>
      </c>
      <c r="M921" s="13"/>
    </row>
    <row r="922">
      <c r="A922" s="101" t="s">
        <v>3593</v>
      </c>
      <c r="B922" s="101" t="s">
        <v>3594</v>
      </c>
      <c r="D922" s="13"/>
      <c r="E922" s="13"/>
      <c r="F922" s="13"/>
      <c r="G922" s="102">
        <v>1.0</v>
      </c>
      <c r="H922" s="101" t="s">
        <v>2940</v>
      </c>
      <c r="I922" s="102">
        <v>70.16</v>
      </c>
      <c r="J922" s="102">
        <v>86.3</v>
      </c>
      <c r="K922" s="101" t="s">
        <v>2941</v>
      </c>
      <c r="L922" s="102">
        <v>23.0</v>
      </c>
      <c r="M922" s="13"/>
    </row>
    <row r="923">
      <c r="A923" s="101" t="s">
        <v>3593</v>
      </c>
      <c r="B923" s="101" t="s">
        <v>3594</v>
      </c>
      <c r="D923" s="13"/>
      <c r="E923" s="13"/>
      <c r="F923" s="13"/>
      <c r="G923" s="102">
        <v>2.0</v>
      </c>
      <c r="H923" s="101" t="s">
        <v>2942</v>
      </c>
      <c r="I923" s="102">
        <v>56.1</v>
      </c>
      <c r="J923" s="102">
        <v>69.0</v>
      </c>
      <c r="K923" s="101" t="s">
        <v>2941</v>
      </c>
      <c r="L923" s="102">
        <v>23.0</v>
      </c>
      <c r="M923" s="13"/>
    </row>
    <row r="924">
      <c r="A924" s="101" t="s">
        <v>3595</v>
      </c>
      <c r="B924" s="101" t="s">
        <v>3596</v>
      </c>
      <c r="D924" s="13"/>
      <c r="E924" s="13"/>
      <c r="F924" s="13"/>
      <c r="G924" s="102">
        <v>1.0</v>
      </c>
      <c r="H924" s="101" t="s">
        <v>2940</v>
      </c>
      <c r="I924" s="102">
        <v>14.96</v>
      </c>
      <c r="J924" s="102">
        <v>18.4</v>
      </c>
      <c r="K924" s="101" t="s">
        <v>2941</v>
      </c>
      <c r="L924" s="102">
        <v>23.0</v>
      </c>
      <c r="M924" s="13"/>
    </row>
    <row r="925">
      <c r="A925" s="101" t="s">
        <v>3595</v>
      </c>
      <c r="B925" s="101" t="s">
        <v>3596</v>
      </c>
      <c r="D925" s="13"/>
      <c r="E925" s="13"/>
      <c r="F925" s="13"/>
      <c r="G925" s="102">
        <v>2.0</v>
      </c>
      <c r="H925" s="101" t="s">
        <v>2942</v>
      </c>
      <c r="I925" s="102">
        <v>12.0</v>
      </c>
      <c r="J925" s="102">
        <v>14.76</v>
      </c>
      <c r="K925" s="101" t="s">
        <v>2941</v>
      </c>
      <c r="L925" s="102">
        <v>23.0</v>
      </c>
      <c r="M925" s="13"/>
    </row>
    <row r="926">
      <c r="A926" s="101" t="s">
        <v>3597</v>
      </c>
      <c r="B926" s="101" t="s">
        <v>3598</v>
      </c>
      <c r="D926" s="13"/>
      <c r="E926" s="13"/>
      <c r="F926" s="13"/>
      <c r="G926" s="102">
        <v>1.0</v>
      </c>
      <c r="H926" s="101" t="s">
        <v>2940</v>
      </c>
      <c r="I926" s="102">
        <v>20.08</v>
      </c>
      <c r="J926" s="102">
        <v>24.7</v>
      </c>
      <c r="K926" s="101" t="s">
        <v>2941</v>
      </c>
      <c r="L926" s="102">
        <v>23.0</v>
      </c>
      <c r="M926" s="13"/>
    </row>
    <row r="927">
      <c r="A927" s="101" t="s">
        <v>3597</v>
      </c>
      <c r="B927" s="101" t="s">
        <v>3598</v>
      </c>
      <c r="D927" s="13"/>
      <c r="E927" s="13"/>
      <c r="F927" s="13"/>
      <c r="G927" s="102">
        <v>2.0</v>
      </c>
      <c r="H927" s="101" t="s">
        <v>2942</v>
      </c>
      <c r="I927" s="102">
        <v>16.1</v>
      </c>
      <c r="J927" s="102">
        <v>19.8</v>
      </c>
      <c r="K927" s="101" t="s">
        <v>2941</v>
      </c>
      <c r="L927" s="102">
        <v>23.0</v>
      </c>
      <c r="M927" s="13"/>
    </row>
    <row r="928">
      <c r="A928" s="101" t="s">
        <v>3599</v>
      </c>
      <c r="B928" s="101" t="s">
        <v>3600</v>
      </c>
      <c r="D928" s="13"/>
      <c r="E928" s="13"/>
      <c r="F928" s="13"/>
      <c r="G928" s="102">
        <v>1.0</v>
      </c>
      <c r="H928" s="101" t="s">
        <v>2940</v>
      </c>
      <c r="I928" s="102">
        <v>35.77</v>
      </c>
      <c r="J928" s="102">
        <v>44.0</v>
      </c>
      <c r="K928" s="101" t="s">
        <v>2941</v>
      </c>
      <c r="L928" s="102">
        <v>23.0</v>
      </c>
      <c r="M928" s="13"/>
    </row>
    <row r="929">
      <c r="A929" s="101" t="s">
        <v>3599</v>
      </c>
      <c r="B929" s="101" t="s">
        <v>3600</v>
      </c>
      <c r="D929" s="13"/>
      <c r="E929" s="13"/>
      <c r="F929" s="13"/>
      <c r="G929" s="102">
        <v>2.0</v>
      </c>
      <c r="H929" s="101" t="s">
        <v>2942</v>
      </c>
      <c r="I929" s="102">
        <v>35.15</v>
      </c>
      <c r="J929" s="102">
        <v>43.23</v>
      </c>
      <c r="K929" s="101" t="s">
        <v>2941</v>
      </c>
      <c r="L929" s="102">
        <v>23.0</v>
      </c>
      <c r="M929" s="13"/>
    </row>
    <row r="930">
      <c r="A930" s="101" t="s">
        <v>3601</v>
      </c>
      <c r="B930" s="101" t="s">
        <v>3602</v>
      </c>
      <c r="D930" s="13"/>
      <c r="E930" s="13"/>
      <c r="F930" s="13"/>
      <c r="G930" s="102">
        <v>1.0</v>
      </c>
      <c r="H930" s="101" t="s">
        <v>2940</v>
      </c>
      <c r="I930" s="102">
        <v>33.33</v>
      </c>
      <c r="J930" s="102">
        <v>41.0</v>
      </c>
      <c r="K930" s="101" t="s">
        <v>2941</v>
      </c>
      <c r="L930" s="102">
        <v>23.0</v>
      </c>
      <c r="M930" s="13"/>
    </row>
    <row r="931">
      <c r="A931" s="101" t="s">
        <v>3601</v>
      </c>
      <c r="B931" s="101" t="s">
        <v>3602</v>
      </c>
      <c r="D931" s="13"/>
      <c r="E931" s="13"/>
      <c r="F931" s="13"/>
      <c r="G931" s="102">
        <v>2.0</v>
      </c>
      <c r="H931" s="101" t="s">
        <v>2942</v>
      </c>
      <c r="I931" s="102">
        <v>33.3</v>
      </c>
      <c r="J931" s="102">
        <v>40.96</v>
      </c>
      <c r="K931" s="101" t="s">
        <v>2941</v>
      </c>
      <c r="L931" s="102">
        <v>23.0</v>
      </c>
      <c r="M931" s="13"/>
    </row>
    <row r="932">
      <c r="A932" s="101" t="s">
        <v>3603</v>
      </c>
      <c r="B932" s="101" t="s">
        <v>3604</v>
      </c>
      <c r="D932" s="13"/>
      <c r="E932" s="13"/>
      <c r="F932" s="13"/>
      <c r="G932" s="102">
        <v>1.0</v>
      </c>
      <c r="H932" s="101" t="s">
        <v>2940</v>
      </c>
      <c r="I932" s="102">
        <v>29.76</v>
      </c>
      <c r="J932" s="102">
        <v>36.6</v>
      </c>
      <c r="K932" s="101" t="s">
        <v>2941</v>
      </c>
      <c r="L932" s="102">
        <v>23.0</v>
      </c>
      <c r="M932" s="13"/>
    </row>
    <row r="933">
      <c r="A933" s="101" t="s">
        <v>3603</v>
      </c>
      <c r="B933" s="101" t="s">
        <v>3604</v>
      </c>
      <c r="D933" s="13"/>
      <c r="E933" s="13"/>
      <c r="F933" s="13"/>
      <c r="G933" s="102">
        <v>2.0</v>
      </c>
      <c r="H933" s="101" t="s">
        <v>2942</v>
      </c>
      <c r="I933" s="102">
        <v>23.8</v>
      </c>
      <c r="J933" s="102">
        <v>29.27</v>
      </c>
      <c r="K933" s="101" t="s">
        <v>2941</v>
      </c>
      <c r="L933" s="102">
        <v>23.0</v>
      </c>
      <c r="M933" s="13"/>
    </row>
    <row r="934">
      <c r="A934" s="101" t="s">
        <v>3605</v>
      </c>
      <c r="B934" s="101" t="s">
        <v>3606</v>
      </c>
      <c r="D934" s="13"/>
      <c r="E934" s="13"/>
      <c r="F934" s="13"/>
      <c r="G934" s="102">
        <v>1.0</v>
      </c>
      <c r="H934" s="101" t="s">
        <v>2940</v>
      </c>
      <c r="I934" s="102">
        <v>40.16</v>
      </c>
      <c r="J934" s="102">
        <v>49.4</v>
      </c>
      <c r="K934" s="101" t="s">
        <v>2941</v>
      </c>
      <c r="L934" s="102">
        <v>23.0</v>
      </c>
      <c r="M934" s="13"/>
    </row>
    <row r="935">
      <c r="A935" s="101" t="s">
        <v>3605</v>
      </c>
      <c r="B935" s="101" t="s">
        <v>3606</v>
      </c>
      <c r="D935" s="13"/>
      <c r="E935" s="13"/>
      <c r="F935" s="13"/>
      <c r="G935" s="102">
        <v>2.0</v>
      </c>
      <c r="H935" s="101" t="s">
        <v>2942</v>
      </c>
      <c r="I935" s="102">
        <v>32.1</v>
      </c>
      <c r="J935" s="102">
        <v>39.48</v>
      </c>
      <c r="K935" s="101" t="s">
        <v>2941</v>
      </c>
      <c r="L935" s="102">
        <v>23.0</v>
      </c>
      <c r="M935" s="13"/>
    </row>
    <row r="936">
      <c r="A936" s="101" t="s">
        <v>3607</v>
      </c>
      <c r="B936" s="101" t="s">
        <v>3608</v>
      </c>
      <c r="D936" s="13"/>
      <c r="E936" s="13"/>
      <c r="F936" s="13"/>
      <c r="G936" s="102">
        <v>1.0</v>
      </c>
      <c r="H936" s="101" t="s">
        <v>2940</v>
      </c>
      <c r="I936" s="102">
        <v>70.24</v>
      </c>
      <c r="J936" s="102">
        <v>86.4</v>
      </c>
      <c r="K936" s="101" t="s">
        <v>2941</v>
      </c>
      <c r="L936" s="102">
        <v>23.0</v>
      </c>
      <c r="M936" s="13"/>
    </row>
    <row r="937">
      <c r="A937" s="101" t="s">
        <v>3607</v>
      </c>
      <c r="B937" s="101" t="s">
        <v>3608</v>
      </c>
      <c r="D937" s="13"/>
      <c r="E937" s="13"/>
      <c r="F937" s="13"/>
      <c r="G937" s="102">
        <v>2.0</v>
      </c>
      <c r="H937" s="101" t="s">
        <v>2942</v>
      </c>
      <c r="I937" s="102">
        <v>56.2</v>
      </c>
      <c r="J937" s="102">
        <v>69.13</v>
      </c>
      <c r="K937" s="101" t="s">
        <v>2941</v>
      </c>
      <c r="L937" s="102">
        <v>23.0</v>
      </c>
      <c r="M937" s="13"/>
    </row>
    <row r="938">
      <c r="A938" s="101" t="s">
        <v>3609</v>
      </c>
      <c r="B938" s="101" t="s">
        <v>3610</v>
      </c>
      <c r="D938" s="13"/>
      <c r="E938" s="13"/>
      <c r="F938" s="13"/>
      <c r="G938" s="102">
        <v>1.0</v>
      </c>
      <c r="H938" s="101" t="s">
        <v>2940</v>
      </c>
      <c r="I938" s="102">
        <v>59.84</v>
      </c>
      <c r="J938" s="102">
        <v>73.6</v>
      </c>
      <c r="K938" s="101" t="s">
        <v>2941</v>
      </c>
      <c r="L938" s="102">
        <v>23.0</v>
      </c>
      <c r="M938" s="13"/>
    </row>
    <row r="939">
      <c r="A939" s="101" t="s">
        <v>3609</v>
      </c>
      <c r="B939" s="101" t="s">
        <v>3610</v>
      </c>
      <c r="D939" s="13"/>
      <c r="E939" s="13"/>
      <c r="F939" s="13"/>
      <c r="G939" s="102">
        <v>2.0</v>
      </c>
      <c r="H939" s="101" t="s">
        <v>2942</v>
      </c>
      <c r="I939" s="102">
        <v>47.9</v>
      </c>
      <c r="J939" s="102">
        <v>58.92</v>
      </c>
      <c r="K939" s="101" t="s">
        <v>2941</v>
      </c>
      <c r="L939" s="102">
        <v>23.0</v>
      </c>
      <c r="M939" s="13"/>
    </row>
    <row r="940">
      <c r="A940" s="101" t="s">
        <v>3611</v>
      </c>
      <c r="B940" s="101" t="s">
        <v>3612</v>
      </c>
      <c r="D940" s="13"/>
      <c r="E940" s="13"/>
      <c r="F940" s="13"/>
      <c r="G940" s="102">
        <v>1.0</v>
      </c>
      <c r="H940" s="101" t="s">
        <v>2940</v>
      </c>
      <c r="I940" s="102">
        <v>44.72</v>
      </c>
      <c r="J940" s="102">
        <v>55.01</v>
      </c>
      <c r="K940" s="101" t="s">
        <v>2941</v>
      </c>
      <c r="L940" s="102">
        <v>23.0</v>
      </c>
      <c r="M940" s="13"/>
    </row>
    <row r="941">
      <c r="A941" s="101" t="s">
        <v>3611</v>
      </c>
      <c r="B941" s="101" t="s">
        <v>3612</v>
      </c>
      <c r="D941" s="13"/>
      <c r="E941" s="13"/>
      <c r="F941" s="13"/>
      <c r="G941" s="102">
        <v>2.0</v>
      </c>
      <c r="H941" s="101" t="s">
        <v>2942</v>
      </c>
      <c r="I941" s="102">
        <v>35.8</v>
      </c>
      <c r="J941" s="102">
        <v>44.03</v>
      </c>
      <c r="K941" s="101" t="s">
        <v>2941</v>
      </c>
      <c r="L941" s="102">
        <v>23.0</v>
      </c>
      <c r="M941" s="13"/>
    </row>
    <row r="942">
      <c r="A942" s="101" t="s">
        <v>3613</v>
      </c>
      <c r="B942" s="101" t="s">
        <v>3614</v>
      </c>
      <c r="D942" s="13"/>
      <c r="E942" s="13"/>
      <c r="F942" s="13"/>
      <c r="G942" s="102">
        <v>1.0</v>
      </c>
      <c r="H942" s="101" t="s">
        <v>2940</v>
      </c>
      <c r="I942" s="102">
        <v>60.08</v>
      </c>
      <c r="J942" s="102">
        <v>73.9</v>
      </c>
      <c r="K942" s="101" t="s">
        <v>2941</v>
      </c>
      <c r="L942" s="102">
        <v>23.0</v>
      </c>
      <c r="M942" s="13"/>
    </row>
    <row r="943">
      <c r="A943" s="101" t="s">
        <v>3613</v>
      </c>
      <c r="B943" s="101" t="s">
        <v>3614</v>
      </c>
      <c r="D943" s="13"/>
      <c r="E943" s="13"/>
      <c r="F943" s="13"/>
      <c r="G943" s="102">
        <v>2.0</v>
      </c>
      <c r="H943" s="101" t="s">
        <v>2942</v>
      </c>
      <c r="I943" s="102">
        <v>48.1</v>
      </c>
      <c r="J943" s="102">
        <v>59.16</v>
      </c>
      <c r="K943" s="101" t="s">
        <v>2941</v>
      </c>
      <c r="L943" s="102">
        <v>23.0</v>
      </c>
      <c r="M943" s="13"/>
    </row>
    <row r="944">
      <c r="A944" s="101" t="s">
        <v>3615</v>
      </c>
      <c r="B944" s="101" t="s">
        <v>3616</v>
      </c>
      <c r="D944" s="13"/>
      <c r="E944" s="13"/>
      <c r="F944" s="13"/>
      <c r="G944" s="102">
        <v>1.0</v>
      </c>
      <c r="H944" s="101" t="s">
        <v>2940</v>
      </c>
      <c r="I944" s="102">
        <v>105.2</v>
      </c>
      <c r="J944" s="102">
        <v>129.4</v>
      </c>
      <c r="K944" s="101" t="s">
        <v>2941</v>
      </c>
      <c r="L944" s="102">
        <v>23.0</v>
      </c>
      <c r="M944" s="13"/>
    </row>
    <row r="945">
      <c r="A945" s="101" t="s">
        <v>3615</v>
      </c>
      <c r="B945" s="101" t="s">
        <v>3616</v>
      </c>
      <c r="D945" s="13"/>
      <c r="E945" s="13"/>
      <c r="F945" s="13"/>
      <c r="G945" s="102">
        <v>2.0</v>
      </c>
      <c r="H945" s="101" t="s">
        <v>2942</v>
      </c>
      <c r="I945" s="102">
        <v>84.2</v>
      </c>
      <c r="J945" s="102">
        <v>103.57</v>
      </c>
      <c r="K945" s="101" t="s">
        <v>2941</v>
      </c>
      <c r="L945" s="102">
        <v>23.0</v>
      </c>
      <c r="M945" s="13"/>
    </row>
    <row r="946">
      <c r="A946" s="101" t="s">
        <v>3617</v>
      </c>
      <c r="B946" s="101" t="s">
        <v>3618</v>
      </c>
      <c r="D946" s="13"/>
      <c r="E946" s="13"/>
      <c r="F946" s="13"/>
      <c r="G946" s="102">
        <v>1.0</v>
      </c>
      <c r="H946" s="101" t="s">
        <v>2940</v>
      </c>
      <c r="I946" s="102">
        <v>89.84</v>
      </c>
      <c r="J946" s="102">
        <v>110.5</v>
      </c>
      <c r="K946" s="101" t="s">
        <v>2941</v>
      </c>
      <c r="L946" s="102">
        <v>23.0</v>
      </c>
      <c r="M946" s="13"/>
    </row>
    <row r="947">
      <c r="A947" s="101" t="s">
        <v>3617</v>
      </c>
      <c r="B947" s="101" t="s">
        <v>3618</v>
      </c>
      <c r="D947" s="13"/>
      <c r="E947" s="13"/>
      <c r="F947" s="13"/>
      <c r="G947" s="102">
        <v>2.0</v>
      </c>
      <c r="H947" s="101" t="s">
        <v>2942</v>
      </c>
      <c r="I947" s="102">
        <v>71.9</v>
      </c>
      <c r="J947" s="102">
        <v>88.44</v>
      </c>
      <c r="K947" s="101" t="s">
        <v>2941</v>
      </c>
      <c r="L947" s="102">
        <v>23.0</v>
      </c>
      <c r="M947" s="13"/>
    </row>
    <row r="948">
      <c r="A948" s="101" t="s">
        <v>3619</v>
      </c>
      <c r="B948" s="101" t="s">
        <v>1722</v>
      </c>
      <c r="D948" s="13"/>
      <c r="E948" s="13"/>
      <c r="F948" s="13"/>
      <c r="G948" s="102">
        <v>1.0</v>
      </c>
      <c r="H948" s="101" t="s">
        <v>2940</v>
      </c>
      <c r="I948" s="102">
        <v>73.98</v>
      </c>
      <c r="J948" s="102">
        <v>91.0</v>
      </c>
      <c r="K948" s="101" t="s">
        <v>2941</v>
      </c>
      <c r="L948" s="102">
        <v>23.0</v>
      </c>
      <c r="M948" s="13"/>
    </row>
    <row r="949">
      <c r="A949" s="101" t="s">
        <v>3619</v>
      </c>
      <c r="B949" s="101" t="s">
        <v>1722</v>
      </c>
      <c r="D949" s="13"/>
      <c r="E949" s="13"/>
      <c r="F949" s="13"/>
      <c r="G949" s="102">
        <v>2.0</v>
      </c>
      <c r="H949" s="101" t="s">
        <v>2942</v>
      </c>
      <c r="I949" s="102">
        <v>73.7</v>
      </c>
      <c r="J949" s="102">
        <v>90.65</v>
      </c>
      <c r="K949" s="101" t="s">
        <v>2941</v>
      </c>
      <c r="L949" s="102">
        <v>23.0</v>
      </c>
      <c r="M949" s="13"/>
    </row>
    <row r="950">
      <c r="A950" s="101" t="s">
        <v>3620</v>
      </c>
      <c r="B950" s="101" t="s">
        <v>3621</v>
      </c>
      <c r="D950" s="13"/>
      <c r="E950" s="13"/>
      <c r="F950" s="13"/>
      <c r="G950" s="102">
        <v>1.0</v>
      </c>
      <c r="H950" s="101" t="s">
        <v>2940</v>
      </c>
      <c r="I950" s="102">
        <v>91.06</v>
      </c>
      <c r="J950" s="102">
        <v>112.0</v>
      </c>
      <c r="K950" s="101" t="s">
        <v>2941</v>
      </c>
      <c r="L950" s="102">
        <v>23.0</v>
      </c>
      <c r="M950" s="13"/>
    </row>
    <row r="951">
      <c r="A951" s="101" t="s">
        <v>3620</v>
      </c>
      <c r="B951" s="101" t="s">
        <v>3621</v>
      </c>
      <c r="D951" s="13"/>
      <c r="E951" s="13"/>
      <c r="F951" s="13"/>
      <c r="G951" s="102">
        <v>2.0</v>
      </c>
      <c r="H951" s="101" t="s">
        <v>2942</v>
      </c>
      <c r="I951" s="102">
        <v>90.55</v>
      </c>
      <c r="J951" s="102">
        <v>111.38</v>
      </c>
      <c r="K951" s="101" t="s">
        <v>2941</v>
      </c>
      <c r="L951" s="102">
        <v>23.0</v>
      </c>
      <c r="M951" s="13"/>
    </row>
    <row r="952">
      <c r="A952" s="101" t="s">
        <v>3622</v>
      </c>
      <c r="B952" s="101" t="s">
        <v>3623</v>
      </c>
      <c r="D952" s="13"/>
      <c r="E952" s="13"/>
      <c r="F952" s="13"/>
      <c r="G952" s="102">
        <v>1.0</v>
      </c>
      <c r="H952" s="101" t="s">
        <v>2940</v>
      </c>
      <c r="I952" s="102">
        <v>62.76</v>
      </c>
      <c r="J952" s="102">
        <v>77.19</v>
      </c>
      <c r="K952" s="101" t="s">
        <v>2941</v>
      </c>
      <c r="L952" s="102">
        <v>23.0</v>
      </c>
      <c r="M952" s="13"/>
    </row>
    <row r="953">
      <c r="A953" s="101" t="s">
        <v>3622</v>
      </c>
      <c r="B953" s="101" t="s">
        <v>3623</v>
      </c>
      <c r="D953" s="13"/>
      <c r="E953" s="13"/>
      <c r="F953" s="13"/>
      <c r="G953" s="102">
        <v>2.0</v>
      </c>
      <c r="H953" s="101" t="s">
        <v>2942</v>
      </c>
      <c r="I953" s="102">
        <v>50.2</v>
      </c>
      <c r="J953" s="102">
        <v>61.75</v>
      </c>
      <c r="K953" s="101" t="s">
        <v>2941</v>
      </c>
      <c r="L953" s="102">
        <v>23.0</v>
      </c>
      <c r="M953" s="13"/>
    </row>
    <row r="954">
      <c r="A954" s="101" t="s">
        <v>3624</v>
      </c>
      <c r="B954" s="101" t="s">
        <v>3625</v>
      </c>
      <c r="D954" s="13"/>
      <c r="E954" s="13"/>
      <c r="F954" s="13"/>
      <c r="G954" s="102">
        <v>1.0</v>
      </c>
      <c r="H954" s="101" t="s">
        <v>2940</v>
      </c>
      <c r="I954" s="102">
        <v>75.61</v>
      </c>
      <c r="J954" s="102">
        <v>93.0</v>
      </c>
      <c r="K954" s="101" t="s">
        <v>2941</v>
      </c>
      <c r="L954" s="102">
        <v>23.0</v>
      </c>
      <c r="M954" s="13"/>
    </row>
    <row r="955">
      <c r="A955" s="101" t="s">
        <v>3624</v>
      </c>
      <c r="B955" s="101" t="s">
        <v>3625</v>
      </c>
      <c r="D955" s="13"/>
      <c r="E955" s="13"/>
      <c r="F955" s="13"/>
      <c r="G955" s="102">
        <v>2.0</v>
      </c>
      <c r="H955" s="101" t="s">
        <v>2942</v>
      </c>
      <c r="I955" s="102">
        <v>75.1</v>
      </c>
      <c r="J955" s="102">
        <v>92.37</v>
      </c>
      <c r="K955" s="101" t="s">
        <v>2941</v>
      </c>
      <c r="L955" s="102">
        <v>23.0</v>
      </c>
      <c r="M955" s="13"/>
    </row>
    <row r="956">
      <c r="A956" s="101" t="s">
        <v>3626</v>
      </c>
      <c r="B956" s="101" t="s">
        <v>1724</v>
      </c>
      <c r="D956" s="13"/>
      <c r="E956" s="13"/>
      <c r="F956" s="13"/>
      <c r="G956" s="102">
        <v>1.0</v>
      </c>
      <c r="H956" s="101" t="s">
        <v>2940</v>
      </c>
      <c r="I956" s="102">
        <v>147.97</v>
      </c>
      <c r="J956" s="102">
        <v>182.0</v>
      </c>
      <c r="K956" s="101" t="s">
        <v>2941</v>
      </c>
      <c r="L956" s="102">
        <v>23.0</v>
      </c>
      <c r="M956" s="13"/>
    </row>
    <row r="957">
      <c r="A957" s="101" t="s">
        <v>3626</v>
      </c>
      <c r="B957" s="101" t="s">
        <v>1724</v>
      </c>
      <c r="D957" s="13"/>
      <c r="E957" s="13"/>
      <c r="F957" s="13"/>
      <c r="G957" s="102">
        <v>2.0</v>
      </c>
      <c r="H957" s="101" t="s">
        <v>2942</v>
      </c>
      <c r="I957" s="102">
        <v>147.4</v>
      </c>
      <c r="J957" s="102">
        <v>181.3</v>
      </c>
      <c r="K957" s="101" t="s">
        <v>2941</v>
      </c>
      <c r="L957" s="102">
        <v>23.0</v>
      </c>
      <c r="M957" s="13"/>
    </row>
    <row r="958">
      <c r="A958" s="101" t="s">
        <v>3627</v>
      </c>
      <c r="B958" s="101" t="s">
        <v>3628</v>
      </c>
      <c r="D958" s="13"/>
      <c r="E958" s="13"/>
      <c r="F958" s="13"/>
      <c r="G958" s="102">
        <v>1.0</v>
      </c>
      <c r="H958" s="101" t="s">
        <v>2940</v>
      </c>
      <c r="I958" s="102">
        <v>181.3</v>
      </c>
      <c r="J958" s="102">
        <v>223.0</v>
      </c>
      <c r="K958" s="101" t="s">
        <v>2941</v>
      </c>
      <c r="L958" s="102">
        <v>23.0</v>
      </c>
      <c r="M958" s="13"/>
    </row>
    <row r="959">
      <c r="A959" s="101" t="s">
        <v>3627</v>
      </c>
      <c r="B959" s="101" t="s">
        <v>3628</v>
      </c>
      <c r="D959" s="13"/>
      <c r="E959" s="13"/>
      <c r="F959" s="13"/>
      <c r="G959" s="102">
        <v>2.0</v>
      </c>
      <c r="H959" s="101" t="s">
        <v>2942</v>
      </c>
      <c r="I959" s="102">
        <v>181.1</v>
      </c>
      <c r="J959" s="102">
        <v>222.75</v>
      </c>
      <c r="K959" s="101" t="s">
        <v>2941</v>
      </c>
      <c r="L959" s="102">
        <v>23.0</v>
      </c>
      <c r="M959" s="13"/>
    </row>
    <row r="960">
      <c r="A960" s="101" t="s">
        <v>3629</v>
      </c>
      <c r="B960" s="101" t="s">
        <v>3630</v>
      </c>
      <c r="D960" s="13"/>
      <c r="E960" s="13"/>
      <c r="F960" s="13"/>
      <c r="G960" s="102">
        <v>1.0</v>
      </c>
      <c r="H960" s="101" t="s">
        <v>2940</v>
      </c>
      <c r="I960" s="102">
        <v>157.32</v>
      </c>
      <c r="J960" s="102">
        <v>193.5</v>
      </c>
      <c r="K960" s="101" t="s">
        <v>2941</v>
      </c>
      <c r="L960" s="102">
        <v>23.0</v>
      </c>
      <c r="M960" s="13"/>
    </row>
    <row r="961">
      <c r="A961" s="101" t="s">
        <v>3629</v>
      </c>
      <c r="B961" s="101" t="s">
        <v>3630</v>
      </c>
      <c r="D961" s="13"/>
      <c r="E961" s="13"/>
      <c r="F961" s="13"/>
      <c r="G961" s="102">
        <v>2.0</v>
      </c>
      <c r="H961" s="101" t="s">
        <v>2942</v>
      </c>
      <c r="I961" s="102">
        <v>125.9</v>
      </c>
      <c r="J961" s="102">
        <v>154.86</v>
      </c>
      <c r="K961" s="101" t="s">
        <v>2941</v>
      </c>
      <c r="L961" s="102">
        <v>23.0</v>
      </c>
      <c r="M961" s="13"/>
    </row>
    <row r="962">
      <c r="A962" s="101" t="s">
        <v>3631</v>
      </c>
      <c r="B962" s="101" t="s">
        <v>3632</v>
      </c>
      <c r="D962" s="13"/>
      <c r="E962" s="13"/>
      <c r="F962" s="13"/>
      <c r="G962" s="102">
        <v>1.0</v>
      </c>
      <c r="H962" s="101" t="s">
        <v>2940</v>
      </c>
      <c r="I962" s="102">
        <v>125.45</v>
      </c>
      <c r="J962" s="102">
        <v>154.3</v>
      </c>
      <c r="K962" s="101" t="s">
        <v>2941</v>
      </c>
      <c r="L962" s="102">
        <v>23.0</v>
      </c>
      <c r="M962" s="13"/>
    </row>
    <row r="963">
      <c r="A963" s="101" t="s">
        <v>3631</v>
      </c>
      <c r="B963" s="101" t="s">
        <v>3632</v>
      </c>
      <c r="D963" s="13"/>
      <c r="E963" s="13"/>
      <c r="F963" s="13"/>
      <c r="G963" s="102">
        <v>2.0</v>
      </c>
      <c r="H963" s="101" t="s">
        <v>2942</v>
      </c>
      <c r="I963" s="102">
        <v>100.4</v>
      </c>
      <c r="J963" s="102">
        <v>123.49</v>
      </c>
      <c r="K963" s="101" t="s">
        <v>2941</v>
      </c>
      <c r="L963" s="102">
        <v>23.0</v>
      </c>
      <c r="M963" s="13"/>
    </row>
    <row r="964">
      <c r="A964" s="101" t="s">
        <v>3633</v>
      </c>
      <c r="B964" s="101" t="s">
        <v>3634</v>
      </c>
      <c r="D964" s="13"/>
      <c r="E964" s="13"/>
      <c r="F964" s="13"/>
      <c r="G964" s="102">
        <v>1.0</v>
      </c>
      <c r="H964" s="101" t="s">
        <v>2940</v>
      </c>
      <c r="I964" s="102">
        <v>272.36</v>
      </c>
      <c r="J964" s="102">
        <v>335.0</v>
      </c>
      <c r="K964" s="101" t="s">
        <v>2941</v>
      </c>
      <c r="L964" s="102">
        <v>23.0</v>
      </c>
      <c r="M964" s="13"/>
    </row>
    <row r="965">
      <c r="A965" s="101" t="s">
        <v>3633</v>
      </c>
      <c r="B965" s="101" t="s">
        <v>3634</v>
      </c>
      <c r="D965" s="13"/>
      <c r="E965" s="13"/>
      <c r="F965" s="13"/>
      <c r="G965" s="102">
        <v>2.0</v>
      </c>
      <c r="H965" s="101" t="s">
        <v>2942</v>
      </c>
      <c r="I965" s="102">
        <v>271.65</v>
      </c>
      <c r="J965" s="102">
        <v>334.13</v>
      </c>
      <c r="K965" s="101" t="s">
        <v>2941</v>
      </c>
      <c r="L965" s="102">
        <v>23.0</v>
      </c>
      <c r="M965" s="13"/>
    </row>
    <row r="966">
      <c r="A966" s="101" t="s">
        <v>3635</v>
      </c>
      <c r="B966" s="101" t="s">
        <v>1726</v>
      </c>
      <c r="D966" s="13"/>
      <c r="E966" s="13"/>
      <c r="F966" s="13"/>
      <c r="G966" s="102">
        <v>1.0</v>
      </c>
      <c r="H966" s="101" t="s">
        <v>2940</v>
      </c>
      <c r="I966" s="102">
        <v>221.14</v>
      </c>
      <c r="J966" s="102">
        <v>272.0</v>
      </c>
      <c r="K966" s="101" t="s">
        <v>2941</v>
      </c>
      <c r="L966" s="102">
        <v>23.0</v>
      </c>
      <c r="M966" s="13"/>
    </row>
    <row r="967">
      <c r="A967" s="101" t="s">
        <v>3635</v>
      </c>
      <c r="B967" s="101" t="s">
        <v>1726</v>
      </c>
      <c r="D967" s="13"/>
      <c r="E967" s="13"/>
      <c r="F967" s="13"/>
      <c r="G967" s="102">
        <v>2.0</v>
      </c>
      <c r="H967" s="101" t="s">
        <v>2942</v>
      </c>
      <c r="I967" s="102">
        <v>221.1</v>
      </c>
      <c r="J967" s="102">
        <v>271.95</v>
      </c>
      <c r="K967" s="101" t="s">
        <v>2941</v>
      </c>
      <c r="L967" s="102">
        <v>23.0</v>
      </c>
      <c r="M967" s="13"/>
    </row>
    <row r="968">
      <c r="A968" s="101" t="s">
        <v>3636</v>
      </c>
      <c r="B968" s="101" t="s">
        <v>3637</v>
      </c>
      <c r="D968" s="13"/>
      <c r="E968" s="13"/>
      <c r="F968" s="13"/>
      <c r="G968" s="102">
        <v>1.0</v>
      </c>
      <c r="H968" s="101" t="s">
        <v>2940</v>
      </c>
      <c r="I968" s="102">
        <v>226.02</v>
      </c>
      <c r="J968" s="102">
        <v>278.0</v>
      </c>
      <c r="K968" s="101" t="s">
        <v>2941</v>
      </c>
      <c r="L968" s="102">
        <v>23.0</v>
      </c>
      <c r="M968" s="13"/>
    </row>
    <row r="969">
      <c r="A969" s="101" t="s">
        <v>3636</v>
      </c>
      <c r="B969" s="101" t="s">
        <v>3637</v>
      </c>
      <c r="D969" s="13"/>
      <c r="E969" s="13"/>
      <c r="F969" s="13"/>
      <c r="G969" s="102">
        <v>2.0</v>
      </c>
      <c r="H969" s="101" t="s">
        <v>2942</v>
      </c>
      <c r="I969" s="102">
        <v>225.3</v>
      </c>
      <c r="J969" s="102">
        <v>277.12</v>
      </c>
      <c r="K969" s="101" t="s">
        <v>2941</v>
      </c>
      <c r="L969" s="102">
        <v>23.0</v>
      </c>
      <c r="M969" s="13"/>
    </row>
    <row r="970">
      <c r="A970" s="101" t="s">
        <v>3638</v>
      </c>
      <c r="B970" s="101" t="s">
        <v>3639</v>
      </c>
      <c r="D970" s="13"/>
      <c r="E970" s="13"/>
      <c r="F970" s="13"/>
      <c r="G970" s="102">
        <v>1.0</v>
      </c>
      <c r="H970" s="101" t="s">
        <v>2940</v>
      </c>
      <c r="I970" s="102">
        <v>188.21</v>
      </c>
      <c r="J970" s="102">
        <v>231.5</v>
      </c>
      <c r="K970" s="101" t="s">
        <v>2941</v>
      </c>
      <c r="L970" s="102">
        <v>23.0</v>
      </c>
      <c r="M970" s="13"/>
    </row>
    <row r="971">
      <c r="A971" s="101" t="s">
        <v>3638</v>
      </c>
      <c r="B971" s="101" t="s">
        <v>3639</v>
      </c>
      <c r="D971" s="13"/>
      <c r="E971" s="13"/>
      <c r="F971" s="13"/>
      <c r="G971" s="102">
        <v>2.0</v>
      </c>
      <c r="H971" s="101" t="s">
        <v>2942</v>
      </c>
      <c r="I971" s="102">
        <v>150.6</v>
      </c>
      <c r="J971" s="102">
        <v>185.24</v>
      </c>
      <c r="K971" s="101" t="s">
        <v>2941</v>
      </c>
      <c r="L971" s="102">
        <v>23.0</v>
      </c>
      <c r="M971" s="13"/>
    </row>
    <row r="972">
      <c r="A972" s="101" t="s">
        <v>3640</v>
      </c>
      <c r="B972" s="101" t="s">
        <v>3641</v>
      </c>
      <c r="D972" s="13"/>
      <c r="E972" s="13"/>
      <c r="F972" s="13"/>
      <c r="G972" s="102">
        <v>1.0</v>
      </c>
      <c r="H972" s="101" t="s">
        <v>2940</v>
      </c>
      <c r="I972" s="102">
        <v>119.51</v>
      </c>
      <c r="J972" s="102">
        <v>147.0</v>
      </c>
      <c r="K972" s="101" t="s">
        <v>2941</v>
      </c>
      <c r="L972" s="102">
        <v>23.0</v>
      </c>
      <c r="M972" s="13"/>
    </row>
    <row r="973">
      <c r="A973" s="101" t="s">
        <v>3640</v>
      </c>
      <c r="B973" s="101" t="s">
        <v>3641</v>
      </c>
      <c r="D973" s="13"/>
      <c r="E973" s="13"/>
      <c r="F973" s="13"/>
      <c r="G973" s="102">
        <v>2.0</v>
      </c>
      <c r="H973" s="101" t="s">
        <v>2942</v>
      </c>
      <c r="I973" s="102">
        <v>118.75</v>
      </c>
      <c r="J973" s="102">
        <v>146.06</v>
      </c>
      <c r="K973" s="101" t="s">
        <v>2941</v>
      </c>
      <c r="L973" s="102">
        <v>23.0</v>
      </c>
      <c r="M973" s="13"/>
    </row>
    <row r="974">
      <c r="A974" s="101" t="s">
        <v>3642</v>
      </c>
      <c r="B974" s="101" t="s">
        <v>3643</v>
      </c>
      <c r="D974" s="13"/>
      <c r="E974" s="13"/>
      <c r="F974" s="13"/>
      <c r="G974" s="102">
        <v>1.0</v>
      </c>
      <c r="H974" s="101" t="s">
        <v>2940</v>
      </c>
      <c r="I974" s="102">
        <v>238.21</v>
      </c>
      <c r="J974" s="102">
        <v>293.0</v>
      </c>
      <c r="K974" s="101" t="s">
        <v>2941</v>
      </c>
      <c r="L974" s="102">
        <v>23.0</v>
      </c>
      <c r="M974" s="13"/>
    </row>
    <row r="975">
      <c r="A975" s="101" t="s">
        <v>3642</v>
      </c>
      <c r="B975" s="101" t="s">
        <v>3643</v>
      </c>
      <c r="D975" s="13"/>
      <c r="E975" s="13"/>
      <c r="F975" s="13"/>
      <c r="G975" s="102">
        <v>2.0</v>
      </c>
      <c r="H975" s="101" t="s">
        <v>2942</v>
      </c>
      <c r="I975" s="102">
        <v>237.5</v>
      </c>
      <c r="J975" s="102">
        <v>292.13</v>
      </c>
      <c r="K975" s="101" t="s">
        <v>2941</v>
      </c>
      <c r="L975" s="102">
        <v>23.0</v>
      </c>
      <c r="M975" s="13"/>
    </row>
    <row r="976">
      <c r="A976" s="101" t="s">
        <v>3644</v>
      </c>
      <c r="B976" s="101" t="s">
        <v>3645</v>
      </c>
      <c r="D976" s="13"/>
      <c r="E976" s="13"/>
      <c r="F976" s="13"/>
      <c r="G976" s="102">
        <v>1.0</v>
      </c>
      <c r="H976" s="101" t="s">
        <v>2940</v>
      </c>
      <c r="I976" s="102">
        <v>356.91</v>
      </c>
      <c r="J976" s="102">
        <v>439.0</v>
      </c>
      <c r="K976" s="101" t="s">
        <v>2941</v>
      </c>
      <c r="L976" s="102">
        <v>23.0</v>
      </c>
      <c r="M976" s="13"/>
    </row>
    <row r="977">
      <c r="A977" s="101" t="s">
        <v>3644</v>
      </c>
      <c r="B977" s="101" t="s">
        <v>3645</v>
      </c>
      <c r="D977" s="13"/>
      <c r="E977" s="13"/>
      <c r="F977" s="13"/>
      <c r="G977" s="102">
        <v>2.0</v>
      </c>
      <c r="H977" s="101" t="s">
        <v>2942</v>
      </c>
      <c r="I977" s="102">
        <v>356.25</v>
      </c>
      <c r="J977" s="102">
        <v>438.19</v>
      </c>
      <c r="K977" s="101" t="s">
        <v>2941</v>
      </c>
      <c r="L977" s="102">
        <v>23.0</v>
      </c>
      <c r="M977" s="13"/>
    </row>
    <row r="978">
      <c r="A978" s="101" t="s">
        <v>3646</v>
      </c>
      <c r="B978" s="101" t="s">
        <v>3647</v>
      </c>
      <c r="D978" s="13"/>
      <c r="E978" s="13"/>
      <c r="F978" s="13"/>
      <c r="G978" s="102">
        <v>1.0</v>
      </c>
      <c r="H978" s="101" t="s">
        <v>2940</v>
      </c>
      <c r="I978" s="102">
        <v>181.95</v>
      </c>
      <c r="J978" s="102">
        <v>223.8</v>
      </c>
      <c r="K978" s="101" t="s">
        <v>2941</v>
      </c>
      <c r="L978" s="102">
        <v>23.0</v>
      </c>
      <c r="M978" s="13"/>
    </row>
    <row r="979">
      <c r="A979" s="101" t="s">
        <v>3646</v>
      </c>
      <c r="B979" s="101" t="s">
        <v>3647</v>
      </c>
      <c r="D979" s="13"/>
      <c r="E979" s="13"/>
      <c r="F979" s="13"/>
      <c r="G979" s="102">
        <v>2.0</v>
      </c>
      <c r="H979" s="101" t="s">
        <v>2942</v>
      </c>
      <c r="I979" s="102">
        <v>145.6</v>
      </c>
      <c r="J979" s="102">
        <v>179.09</v>
      </c>
      <c r="K979" s="101" t="s">
        <v>2941</v>
      </c>
      <c r="L979" s="102">
        <v>23.0</v>
      </c>
      <c r="M979" s="13"/>
    </row>
    <row r="980">
      <c r="A980" s="101" t="s">
        <v>3648</v>
      </c>
      <c r="B980" s="101">
        <v>1715.0</v>
      </c>
      <c r="C980" s="13"/>
      <c r="D980" s="13"/>
      <c r="E980" s="13"/>
      <c r="F980" s="13"/>
      <c r="G980" s="102">
        <v>1.0</v>
      </c>
      <c r="H980" s="101" t="s">
        <v>2940</v>
      </c>
      <c r="I980" s="102">
        <v>303.17</v>
      </c>
      <c r="J980" s="102">
        <v>372.9</v>
      </c>
      <c r="K980" s="101" t="s">
        <v>2941</v>
      </c>
      <c r="L980" s="102">
        <v>23.0</v>
      </c>
      <c r="M980" s="13"/>
    </row>
    <row r="981">
      <c r="A981" s="101" t="s">
        <v>3648</v>
      </c>
      <c r="B981" s="101">
        <v>1715.0</v>
      </c>
      <c r="C981" s="13"/>
      <c r="D981" s="13"/>
      <c r="E981" s="13"/>
      <c r="F981" s="13"/>
      <c r="G981" s="102">
        <v>2.0</v>
      </c>
      <c r="H981" s="101" t="s">
        <v>2942</v>
      </c>
      <c r="I981" s="102">
        <v>303.2</v>
      </c>
      <c r="J981" s="102">
        <v>372.94</v>
      </c>
      <c r="K981" s="101" t="s">
        <v>2941</v>
      </c>
      <c r="L981" s="102">
        <v>23.0</v>
      </c>
      <c r="M981" s="13"/>
    </row>
    <row r="982">
      <c r="A982" s="101" t="s">
        <v>3649</v>
      </c>
      <c r="B982" s="101" t="s">
        <v>3650</v>
      </c>
      <c r="D982" s="13"/>
      <c r="E982" s="13"/>
      <c r="F982" s="13"/>
      <c r="G982" s="102">
        <v>1.0</v>
      </c>
      <c r="H982" s="101" t="s">
        <v>2940</v>
      </c>
      <c r="I982" s="102">
        <v>106.99</v>
      </c>
      <c r="J982" s="102">
        <v>131.6</v>
      </c>
      <c r="K982" s="101" t="s">
        <v>2941</v>
      </c>
      <c r="L982" s="102">
        <v>23.0</v>
      </c>
      <c r="M982" s="13"/>
    </row>
    <row r="983">
      <c r="A983" s="101" t="s">
        <v>3649</v>
      </c>
      <c r="B983" s="101" t="s">
        <v>3650</v>
      </c>
      <c r="D983" s="13"/>
      <c r="E983" s="13"/>
      <c r="F983" s="13"/>
      <c r="G983" s="102">
        <v>2.0</v>
      </c>
      <c r="H983" s="101" t="s">
        <v>2942</v>
      </c>
      <c r="I983" s="102">
        <v>85.6</v>
      </c>
      <c r="J983" s="102">
        <v>105.29</v>
      </c>
      <c r="K983" s="101" t="s">
        <v>2941</v>
      </c>
      <c r="L983" s="102">
        <v>23.0</v>
      </c>
      <c r="M983" s="13"/>
    </row>
    <row r="984">
      <c r="A984" s="101" t="s">
        <v>3651</v>
      </c>
      <c r="B984" s="101" t="s">
        <v>3652</v>
      </c>
      <c r="D984" s="13"/>
      <c r="E984" s="13"/>
      <c r="F984" s="13"/>
      <c r="G984" s="102">
        <v>1.0</v>
      </c>
      <c r="H984" s="101" t="s">
        <v>2940</v>
      </c>
      <c r="I984" s="102">
        <v>160.57</v>
      </c>
      <c r="J984" s="102">
        <v>197.5</v>
      </c>
      <c r="K984" s="101" t="s">
        <v>2941</v>
      </c>
      <c r="L984" s="102">
        <v>23.0</v>
      </c>
      <c r="M984" s="13"/>
    </row>
    <row r="985">
      <c r="A985" s="101" t="s">
        <v>3651</v>
      </c>
      <c r="B985" s="101" t="s">
        <v>3652</v>
      </c>
      <c r="D985" s="13"/>
      <c r="E985" s="13"/>
      <c r="F985" s="13"/>
      <c r="G985" s="102">
        <v>2.0</v>
      </c>
      <c r="H985" s="101" t="s">
        <v>2942</v>
      </c>
      <c r="I985" s="102">
        <v>128.5</v>
      </c>
      <c r="J985" s="102">
        <v>158.06</v>
      </c>
      <c r="K985" s="101" t="s">
        <v>2941</v>
      </c>
      <c r="L985" s="102">
        <v>23.0</v>
      </c>
      <c r="M985" s="13"/>
    </row>
    <row r="986">
      <c r="A986" s="101" t="s">
        <v>3653</v>
      </c>
      <c r="B986" s="101">
        <v>1714.0</v>
      </c>
      <c r="C986" s="13"/>
      <c r="D986" s="13"/>
      <c r="E986" s="13"/>
      <c r="F986" s="13"/>
      <c r="G986" s="102">
        <v>1.0</v>
      </c>
      <c r="H986" s="101" t="s">
        <v>2940</v>
      </c>
      <c r="I986" s="102">
        <v>187.64</v>
      </c>
      <c r="J986" s="102">
        <v>230.8</v>
      </c>
      <c r="K986" s="101" t="s">
        <v>2941</v>
      </c>
      <c r="L986" s="102">
        <v>23.0</v>
      </c>
      <c r="M986" s="13"/>
    </row>
    <row r="987">
      <c r="A987" s="101" t="s">
        <v>3653</v>
      </c>
      <c r="B987" s="101">
        <v>1714.0</v>
      </c>
      <c r="C987" s="13"/>
      <c r="D987" s="13"/>
      <c r="E987" s="13"/>
      <c r="F987" s="13"/>
      <c r="G987" s="102">
        <v>2.0</v>
      </c>
      <c r="H987" s="101" t="s">
        <v>2942</v>
      </c>
      <c r="I987" s="102">
        <v>187.6</v>
      </c>
      <c r="J987" s="102">
        <v>230.75</v>
      </c>
      <c r="K987" s="101" t="s">
        <v>2941</v>
      </c>
      <c r="L987" s="102">
        <v>23.0</v>
      </c>
      <c r="M987" s="13"/>
    </row>
    <row r="988">
      <c r="A988" s="101" t="s">
        <v>3654</v>
      </c>
      <c r="B988" s="101">
        <v>1713.0</v>
      </c>
      <c r="C988" s="13"/>
      <c r="D988" s="13"/>
      <c r="E988" s="13"/>
      <c r="F988" s="13"/>
      <c r="G988" s="102">
        <v>1.0</v>
      </c>
      <c r="H988" s="101" t="s">
        <v>2940</v>
      </c>
      <c r="I988" s="102">
        <v>281.38</v>
      </c>
      <c r="J988" s="102">
        <v>346.1</v>
      </c>
      <c r="K988" s="101" t="s">
        <v>2941</v>
      </c>
      <c r="L988" s="102">
        <v>23.0</v>
      </c>
      <c r="M988" s="13"/>
    </row>
    <row r="989">
      <c r="A989" s="101" t="s">
        <v>3654</v>
      </c>
      <c r="B989" s="101">
        <v>1713.0</v>
      </c>
      <c r="C989" s="13"/>
      <c r="D989" s="13"/>
      <c r="E989" s="13"/>
      <c r="F989" s="13"/>
      <c r="G989" s="102">
        <v>2.0</v>
      </c>
      <c r="H989" s="101" t="s">
        <v>2942</v>
      </c>
      <c r="I989" s="102">
        <v>281.4</v>
      </c>
      <c r="J989" s="102">
        <v>346.12</v>
      </c>
      <c r="K989" s="101" t="s">
        <v>2941</v>
      </c>
      <c r="L989" s="102">
        <v>23.0</v>
      </c>
      <c r="M989" s="13"/>
    </row>
    <row r="990">
      <c r="A990" s="101" t="s">
        <v>3655</v>
      </c>
      <c r="B990" s="101">
        <v>1223.0</v>
      </c>
      <c r="C990" s="13"/>
      <c r="D990" s="13"/>
      <c r="E990" s="13"/>
      <c r="F990" s="13"/>
      <c r="G990" s="102">
        <v>1.0</v>
      </c>
      <c r="H990" s="101" t="s">
        <v>2940</v>
      </c>
      <c r="I990" s="102">
        <v>189.67</v>
      </c>
      <c r="J990" s="102">
        <v>233.29</v>
      </c>
      <c r="K990" s="101" t="s">
        <v>2941</v>
      </c>
      <c r="L990" s="102">
        <v>23.0</v>
      </c>
      <c r="M990" s="13"/>
    </row>
    <row r="991">
      <c r="A991" s="101" t="s">
        <v>3655</v>
      </c>
      <c r="B991" s="101">
        <v>1223.0</v>
      </c>
      <c r="C991" s="13"/>
      <c r="D991" s="13"/>
      <c r="E991" s="13"/>
      <c r="F991" s="13"/>
      <c r="G991" s="102">
        <v>2.0</v>
      </c>
      <c r="H991" s="101" t="s">
        <v>2942</v>
      </c>
      <c r="I991" s="102">
        <v>189.7</v>
      </c>
      <c r="J991" s="102">
        <v>233.33</v>
      </c>
      <c r="K991" s="101" t="s">
        <v>2941</v>
      </c>
      <c r="L991" s="102">
        <v>23.0</v>
      </c>
      <c r="M991" s="13"/>
    </row>
    <row r="992">
      <c r="A992" s="101" t="s">
        <v>3656</v>
      </c>
      <c r="B992" s="101" t="s">
        <v>3657</v>
      </c>
      <c r="D992" s="13"/>
      <c r="E992" s="13"/>
      <c r="F992" s="13"/>
      <c r="G992" s="102">
        <v>1.0</v>
      </c>
      <c r="H992" s="101" t="s">
        <v>2940</v>
      </c>
      <c r="I992" s="102">
        <v>110.49</v>
      </c>
      <c r="J992" s="102">
        <v>135.9</v>
      </c>
      <c r="K992" s="101" t="s">
        <v>2941</v>
      </c>
      <c r="L992" s="102">
        <v>23.0</v>
      </c>
      <c r="M992" s="13"/>
    </row>
    <row r="993">
      <c r="A993" s="101" t="s">
        <v>3656</v>
      </c>
      <c r="B993" s="101" t="s">
        <v>3657</v>
      </c>
      <c r="D993" s="13"/>
      <c r="E993" s="13"/>
      <c r="F993" s="13"/>
      <c r="G993" s="102">
        <v>2.0</v>
      </c>
      <c r="H993" s="101" t="s">
        <v>2942</v>
      </c>
      <c r="I993" s="102">
        <v>88.4</v>
      </c>
      <c r="J993" s="102">
        <v>108.73</v>
      </c>
      <c r="K993" s="101" t="s">
        <v>2941</v>
      </c>
      <c r="L993" s="102">
        <v>23.0</v>
      </c>
      <c r="M993" s="13"/>
    </row>
    <row r="994">
      <c r="A994" s="101" t="s">
        <v>3658</v>
      </c>
      <c r="B994" s="101" t="s">
        <v>3659</v>
      </c>
      <c r="D994" s="13"/>
      <c r="E994" s="13"/>
      <c r="F994" s="13"/>
      <c r="G994" s="102">
        <v>1.0</v>
      </c>
      <c r="H994" s="101" t="s">
        <v>2940</v>
      </c>
      <c r="I994" s="102">
        <v>131.8</v>
      </c>
      <c r="J994" s="102">
        <v>162.11</v>
      </c>
      <c r="K994" s="101" t="s">
        <v>2941</v>
      </c>
      <c r="L994" s="102">
        <v>23.0</v>
      </c>
      <c r="M994" s="13"/>
    </row>
    <row r="995">
      <c r="A995" s="101" t="s">
        <v>3658</v>
      </c>
      <c r="B995" s="101" t="s">
        <v>3659</v>
      </c>
      <c r="D995" s="13"/>
      <c r="E995" s="13"/>
      <c r="F995" s="13"/>
      <c r="G995" s="102">
        <v>2.0</v>
      </c>
      <c r="H995" s="101" t="s">
        <v>2942</v>
      </c>
      <c r="I995" s="102">
        <v>131.8</v>
      </c>
      <c r="J995" s="102">
        <v>162.11</v>
      </c>
      <c r="K995" s="101" t="s">
        <v>2941</v>
      </c>
      <c r="L995" s="102">
        <v>23.0</v>
      </c>
      <c r="M995" s="13"/>
    </row>
    <row r="996">
      <c r="A996" s="101" t="s">
        <v>3660</v>
      </c>
      <c r="B996" s="101" t="s">
        <v>3661</v>
      </c>
      <c r="D996" s="13"/>
      <c r="E996" s="13"/>
      <c r="F996" s="13"/>
      <c r="G996" s="102">
        <v>1.0</v>
      </c>
      <c r="H996" s="101" t="s">
        <v>2940</v>
      </c>
      <c r="I996" s="102">
        <v>221.06</v>
      </c>
      <c r="J996" s="102">
        <v>271.9</v>
      </c>
      <c r="K996" s="101" t="s">
        <v>2941</v>
      </c>
      <c r="L996" s="102">
        <v>23.0</v>
      </c>
      <c r="M996" s="13"/>
    </row>
    <row r="997">
      <c r="A997" s="101" t="s">
        <v>3660</v>
      </c>
      <c r="B997" s="101" t="s">
        <v>3661</v>
      </c>
      <c r="D997" s="13"/>
      <c r="E997" s="13"/>
      <c r="F997" s="13"/>
      <c r="G997" s="102">
        <v>2.0</v>
      </c>
      <c r="H997" s="101" t="s">
        <v>2942</v>
      </c>
      <c r="I997" s="102">
        <v>176.8</v>
      </c>
      <c r="J997" s="102">
        <v>217.46</v>
      </c>
      <c r="K997" s="101" t="s">
        <v>2941</v>
      </c>
      <c r="L997" s="102">
        <v>23.0</v>
      </c>
      <c r="M997" s="13"/>
    </row>
    <row r="998">
      <c r="A998" s="101" t="s">
        <v>3662</v>
      </c>
      <c r="B998" s="101" t="s">
        <v>3663</v>
      </c>
      <c r="D998" s="13"/>
      <c r="E998" s="13"/>
      <c r="F998" s="13"/>
      <c r="G998" s="102">
        <v>1.0</v>
      </c>
      <c r="H998" s="101" t="s">
        <v>2940</v>
      </c>
      <c r="I998" s="102">
        <v>237.24</v>
      </c>
      <c r="J998" s="102">
        <v>291.8</v>
      </c>
      <c r="K998" s="101" t="s">
        <v>2941</v>
      </c>
      <c r="L998" s="102">
        <v>23.0</v>
      </c>
      <c r="M998" s="13"/>
    </row>
    <row r="999">
      <c r="A999" s="101" t="s">
        <v>3662</v>
      </c>
      <c r="B999" s="101" t="s">
        <v>3663</v>
      </c>
      <c r="D999" s="13"/>
      <c r="E999" s="13"/>
      <c r="F999" s="13"/>
      <c r="G999" s="102">
        <v>2.0</v>
      </c>
      <c r="H999" s="101" t="s">
        <v>2942</v>
      </c>
      <c r="I999" s="102">
        <v>189.8</v>
      </c>
      <c r="J999" s="102">
        <v>233.45</v>
      </c>
      <c r="K999" s="101" t="s">
        <v>2941</v>
      </c>
      <c r="L999" s="102">
        <v>23.0</v>
      </c>
      <c r="M999" s="13"/>
    </row>
    <row r="1000">
      <c r="A1000" s="101" t="s">
        <v>3664</v>
      </c>
      <c r="B1000" s="101" t="s">
        <v>3665</v>
      </c>
      <c r="D1000" s="13"/>
      <c r="E1000" s="13"/>
      <c r="F1000" s="13"/>
      <c r="G1000" s="102">
        <v>1.0</v>
      </c>
      <c r="H1000" s="101" t="s">
        <v>2940</v>
      </c>
      <c r="I1000" s="102">
        <v>331.54</v>
      </c>
      <c r="J1000" s="102">
        <v>407.79</v>
      </c>
      <c r="K1000" s="101" t="s">
        <v>2941</v>
      </c>
      <c r="L1000" s="102">
        <v>23.0</v>
      </c>
      <c r="M1000" s="13"/>
    </row>
    <row r="1001">
      <c r="A1001" s="101" t="s">
        <v>3664</v>
      </c>
      <c r="B1001" s="101" t="s">
        <v>3665</v>
      </c>
      <c r="D1001" s="13"/>
      <c r="E1001" s="13"/>
      <c r="F1001" s="13"/>
      <c r="G1001" s="102">
        <v>2.0</v>
      </c>
      <c r="H1001" s="101" t="s">
        <v>2942</v>
      </c>
      <c r="I1001" s="102">
        <v>265.2</v>
      </c>
      <c r="J1001" s="102">
        <v>326.2</v>
      </c>
      <c r="K1001" s="101" t="s">
        <v>2941</v>
      </c>
      <c r="L1001" s="102">
        <v>23.0</v>
      </c>
      <c r="M1001" s="13"/>
    </row>
    <row r="1002">
      <c r="A1002" s="101" t="s">
        <v>3666</v>
      </c>
      <c r="B1002" s="101" t="s">
        <v>3667</v>
      </c>
      <c r="D1002" s="13"/>
      <c r="E1002" s="13"/>
      <c r="F1002" s="13"/>
      <c r="G1002" s="102">
        <v>1.0</v>
      </c>
      <c r="H1002" s="101" t="s">
        <v>2940</v>
      </c>
      <c r="I1002" s="102">
        <v>395.4</v>
      </c>
      <c r="J1002" s="102">
        <v>486.34</v>
      </c>
      <c r="K1002" s="101" t="s">
        <v>2941</v>
      </c>
      <c r="L1002" s="102">
        <v>23.0</v>
      </c>
      <c r="M1002" s="13"/>
    </row>
    <row r="1003">
      <c r="A1003" s="101" t="s">
        <v>3666</v>
      </c>
      <c r="B1003" s="101" t="s">
        <v>3667</v>
      </c>
      <c r="D1003" s="13"/>
      <c r="E1003" s="13"/>
      <c r="F1003" s="13"/>
      <c r="G1003" s="102">
        <v>2.0</v>
      </c>
      <c r="H1003" s="101" t="s">
        <v>2942</v>
      </c>
      <c r="I1003" s="102">
        <v>395.4</v>
      </c>
      <c r="J1003" s="102">
        <v>486.34</v>
      </c>
      <c r="K1003" s="101" t="s">
        <v>2941</v>
      </c>
      <c r="L1003" s="102">
        <v>23.0</v>
      </c>
      <c r="M1003" s="13"/>
    </row>
    <row r="1004">
      <c r="A1004" s="101" t="s">
        <v>3668</v>
      </c>
      <c r="B1004" s="101" t="s">
        <v>3669</v>
      </c>
      <c r="D1004" s="13"/>
      <c r="E1004" s="13"/>
      <c r="F1004" s="13"/>
      <c r="G1004" s="102">
        <v>1.0</v>
      </c>
      <c r="H1004" s="101" t="s">
        <v>2940</v>
      </c>
      <c r="I1004" s="102">
        <v>107.64</v>
      </c>
      <c r="J1004" s="102">
        <v>132.4</v>
      </c>
      <c r="K1004" s="101" t="s">
        <v>2941</v>
      </c>
      <c r="L1004" s="102">
        <v>23.0</v>
      </c>
      <c r="M1004" s="13"/>
    </row>
    <row r="1005">
      <c r="A1005" s="101" t="s">
        <v>3668</v>
      </c>
      <c r="B1005" s="101" t="s">
        <v>3669</v>
      </c>
      <c r="D1005" s="13"/>
      <c r="E1005" s="13"/>
      <c r="F1005" s="13"/>
      <c r="G1005" s="102">
        <v>2.0</v>
      </c>
      <c r="H1005" s="101" t="s">
        <v>2942</v>
      </c>
      <c r="I1005" s="102">
        <v>86.1</v>
      </c>
      <c r="J1005" s="102">
        <v>105.9</v>
      </c>
      <c r="K1005" s="101" t="s">
        <v>2941</v>
      </c>
      <c r="L1005" s="102">
        <v>23.0</v>
      </c>
      <c r="M1005" s="13"/>
    </row>
    <row r="1006">
      <c r="A1006" s="101" t="s">
        <v>3670</v>
      </c>
      <c r="B1006" s="101" t="s">
        <v>3671</v>
      </c>
      <c r="D1006" s="13"/>
      <c r="E1006" s="13"/>
      <c r="F1006" s="13"/>
      <c r="G1006" s="102">
        <v>1.0</v>
      </c>
      <c r="H1006" s="101" t="s">
        <v>2940</v>
      </c>
      <c r="I1006" s="102">
        <v>129.65</v>
      </c>
      <c r="J1006" s="102">
        <v>159.47</v>
      </c>
      <c r="K1006" s="101" t="s">
        <v>2941</v>
      </c>
      <c r="L1006" s="102">
        <v>23.0</v>
      </c>
      <c r="M1006" s="13"/>
    </row>
    <row r="1007">
      <c r="A1007" s="101" t="s">
        <v>3670</v>
      </c>
      <c r="B1007" s="101" t="s">
        <v>3671</v>
      </c>
      <c r="D1007" s="13"/>
      <c r="E1007" s="13"/>
      <c r="F1007" s="13"/>
      <c r="G1007" s="102">
        <v>2.0</v>
      </c>
      <c r="H1007" s="101" t="s">
        <v>2942</v>
      </c>
      <c r="I1007" s="102">
        <v>129.65</v>
      </c>
      <c r="J1007" s="102">
        <v>159.47</v>
      </c>
      <c r="K1007" s="101" t="s">
        <v>2941</v>
      </c>
      <c r="L1007" s="102">
        <v>23.0</v>
      </c>
      <c r="M1007" s="13"/>
    </row>
    <row r="1008">
      <c r="A1008" s="101" t="s">
        <v>3672</v>
      </c>
      <c r="B1008" s="101" t="s">
        <v>3673</v>
      </c>
      <c r="D1008" s="13"/>
      <c r="E1008" s="13"/>
      <c r="F1008" s="13"/>
      <c r="G1008" s="102">
        <v>1.0</v>
      </c>
      <c r="H1008" s="101" t="s">
        <v>2940</v>
      </c>
      <c r="I1008" s="102">
        <v>215.28</v>
      </c>
      <c r="J1008" s="102">
        <v>264.79</v>
      </c>
      <c r="K1008" s="101" t="s">
        <v>2941</v>
      </c>
      <c r="L1008" s="102">
        <v>23.0</v>
      </c>
      <c r="M1008" s="13"/>
    </row>
    <row r="1009">
      <c r="A1009" s="101" t="s">
        <v>3672</v>
      </c>
      <c r="B1009" s="101" t="s">
        <v>3673</v>
      </c>
      <c r="D1009" s="13"/>
      <c r="E1009" s="13"/>
      <c r="F1009" s="13"/>
      <c r="G1009" s="102">
        <v>2.0</v>
      </c>
      <c r="H1009" s="101" t="s">
        <v>2942</v>
      </c>
      <c r="I1009" s="102">
        <v>172.2</v>
      </c>
      <c r="J1009" s="102">
        <v>211.81</v>
      </c>
      <c r="K1009" s="101" t="s">
        <v>2941</v>
      </c>
      <c r="L1009" s="102">
        <v>23.0</v>
      </c>
      <c r="M1009" s="13"/>
    </row>
    <row r="1010">
      <c r="A1010" s="101" t="s">
        <v>3674</v>
      </c>
      <c r="B1010" s="101" t="s">
        <v>3675</v>
      </c>
      <c r="D1010" s="13"/>
      <c r="E1010" s="13"/>
      <c r="F1010" s="13"/>
      <c r="G1010" s="102">
        <v>1.0</v>
      </c>
      <c r="H1010" s="101" t="s">
        <v>2940</v>
      </c>
      <c r="I1010" s="102">
        <v>258.7</v>
      </c>
      <c r="J1010" s="102">
        <v>318.2</v>
      </c>
      <c r="K1010" s="101" t="s">
        <v>2941</v>
      </c>
      <c r="L1010" s="102">
        <v>23.0</v>
      </c>
      <c r="M1010" s="13"/>
    </row>
    <row r="1011">
      <c r="A1011" s="101" t="s">
        <v>3674</v>
      </c>
      <c r="B1011" s="101" t="s">
        <v>3675</v>
      </c>
      <c r="D1011" s="13"/>
      <c r="E1011" s="13"/>
      <c r="F1011" s="13"/>
      <c r="G1011" s="102">
        <v>2.0</v>
      </c>
      <c r="H1011" s="101" t="s">
        <v>2942</v>
      </c>
      <c r="I1011" s="102">
        <v>258.7</v>
      </c>
      <c r="J1011" s="102">
        <v>318.2</v>
      </c>
      <c r="K1011" s="101" t="s">
        <v>2941</v>
      </c>
      <c r="L1011" s="102">
        <v>23.0</v>
      </c>
      <c r="M1011" s="13"/>
    </row>
    <row r="1012">
      <c r="A1012" s="101" t="s">
        <v>3676</v>
      </c>
      <c r="B1012" s="101" t="s">
        <v>3677</v>
      </c>
      <c r="D1012" s="13"/>
      <c r="E1012" s="13"/>
      <c r="F1012" s="13"/>
      <c r="G1012" s="102">
        <v>1.0</v>
      </c>
      <c r="H1012" s="101" t="s">
        <v>2940</v>
      </c>
      <c r="I1012" s="102">
        <v>323.01</v>
      </c>
      <c r="J1012" s="102">
        <v>397.3</v>
      </c>
      <c r="K1012" s="101" t="s">
        <v>2941</v>
      </c>
      <c r="L1012" s="102">
        <v>23.0</v>
      </c>
      <c r="M1012" s="13"/>
    </row>
    <row r="1013">
      <c r="A1013" s="101" t="s">
        <v>3676</v>
      </c>
      <c r="B1013" s="101" t="s">
        <v>3677</v>
      </c>
      <c r="D1013" s="13"/>
      <c r="E1013" s="13"/>
      <c r="F1013" s="13"/>
      <c r="G1013" s="102">
        <v>2.0</v>
      </c>
      <c r="H1013" s="101" t="s">
        <v>2942</v>
      </c>
      <c r="I1013" s="102">
        <v>258.4</v>
      </c>
      <c r="J1013" s="102">
        <v>317.83</v>
      </c>
      <c r="K1013" s="101" t="s">
        <v>2941</v>
      </c>
      <c r="L1013" s="102">
        <v>23.0</v>
      </c>
      <c r="M1013" s="13"/>
    </row>
    <row r="1014">
      <c r="A1014" s="101" t="s">
        <v>3678</v>
      </c>
      <c r="B1014" s="101" t="s">
        <v>3679</v>
      </c>
      <c r="D1014" s="13"/>
      <c r="E1014" s="13"/>
      <c r="F1014" s="13"/>
      <c r="G1014" s="102">
        <v>1.0</v>
      </c>
      <c r="H1014" s="101" t="s">
        <v>2940</v>
      </c>
      <c r="I1014" s="102">
        <v>388.95</v>
      </c>
      <c r="J1014" s="102">
        <v>478.41</v>
      </c>
      <c r="K1014" s="101" t="s">
        <v>2941</v>
      </c>
      <c r="L1014" s="102">
        <v>23.0</v>
      </c>
      <c r="M1014" s="13"/>
    </row>
    <row r="1015">
      <c r="A1015" s="101" t="s">
        <v>3678</v>
      </c>
      <c r="B1015" s="101" t="s">
        <v>3679</v>
      </c>
      <c r="D1015" s="13"/>
      <c r="E1015" s="13"/>
      <c r="F1015" s="13"/>
      <c r="G1015" s="102">
        <v>2.0</v>
      </c>
      <c r="H1015" s="101" t="s">
        <v>2942</v>
      </c>
      <c r="I1015" s="102">
        <v>388.95</v>
      </c>
      <c r="J1015" s="102">
        <v>478.41</v>
      </c>
      <c r="K1015" s="101" t="s">
        <v>2941</v>
      </c>
      <c r="L1015" s="102">
        <v>23.0</v>
      </c>
      <c r="M1015" s="13"/>
    </row>
    <row r="1016">
      <c r="A1016" s="101" t="s">
        <v>3680</v>
      </c>
      <c r="B1016" s="101" t="s">
        <v>3681</v>
      </c>
      <c r="D1016" s="13"/>
      <c r="E1016" s="13"/>
      <c r="F1016" s="13"/>
      <c r="G1016" s="102">
        <v>1.0</v>
      </c>
      <c r="H1016" s="101" t="s">
        <v>2940</v>
      </c>
      <c r="I1016" s="102">
        <v>107.32</v>
      </c>
      <c r="J1016" s="102">
        <v>132.0</v>
      </c>
      <c r="K1016" s="101" t="s">
        <v>2941</v>
      </c>
      <c r="L1016" s="102">
        <v>23.0</v>
      </c>
      <c r="M1016" s="13"/>
    </row>
    <row r="1017">
      <c r="A1017" s="101" t="s">
        <v>3680</v>
      </c>
      <c r="B1017" s="101" t="s">
        <v>3681</v>
      </c>
      <c r="D1017" s="13"/>
      <c r="E1017" s="13"/>
      <c r="F1017" s="13"/>
      <c r="G1017" s="102">
        <v>2.0</v>
      </c>
      <c r="H1017" s="101" t="s">
        <v>2942</v>
      </c>
      <c r="I1017" s="102">
        <v>85.9</v>
      </c>
      <c r="J1017" s="102">
        <v>105.66</v>
      </c>
      <c r="K1017" s="101" t="s">
        <v>2941</v>
      </c>
      <c r="L1017" s="102">
        <v>23.0</v>
      </c>
      <c r="M1017" s="13"/>
    </row>
    <row r="1018">
      <c r="A1018" s="101" t="s">
        <v>3682</v>
      </c>
      <c r="B1018" s="101" t="s">
        <v>3683</v>
      </c>
      <c r="D1018" s="13"/>
      <c r="E1018" s="13"/>
      <c r="F1018" s="13"/>
      <c r="G1018" s="102">
        <v>1.0</v>
      </c>
      <c r="H1018" s="101" t="s">
        <v>2940</v>
      </c>
      <c r="I1018" s="102">
        <v>129.45</v>
      </c>
      <c r="J1018" s="102">
        <v>159.22</v>
      </c>
      <c r="K1018" s="101" t="s">
        <v>2941</v>
      </c>
      <c r="L1018" s="102">
        <v>23.0</v>
      </c>
      <c r="M1018" s="13"/>
    </row>
    <row r="1019">
      <c r="A1019" s="101" t="s">
        <v>3682</v>
      </c>
      <c r="B1019" s="101" t="s">
        <v>3683</v>
      </c>
      <c r="D1019" s="13"/>
      <c r="E1019" s="13"/>
      <c r="F1019" s="13"/>
      <c r="G1019" s="102">
        <v>2.0</v>
      </c>
      <c r="H1019" s="101" t="s">
        <v>2942</v>
      </c>
      <c r="I1019" s="102">
        <v>129.45</v>
      </c>
      <c r="J1019" s="102">
        <v>159.22</v>
      </c>
      <c r="K1019" s="101" t="s">
        <v>2941</v>
      </c>
      <c r="L1019" s="102">
        <v>23.0</v>
      </c>
      <c r="M1019" s="13"/>
    </row>
    <row r="1020">
      <c r="A1020" s="101" t="s">
        <v>3684</v>
      </c>
      <c r="B1020" s="101" t="s">
        <v>3685</v>
      </c>
      <c r="D1020" s="13"/>
      <c r="E1020" s="13"/>
      <c r="F1020" s="13"/>
      <c r="G1020" s="102">
        <v>1.0</v>
      </c>
      <c r="H1020" s="101" t="s">
        <v>2940</v>
      </c>
      <c r="I1020" s="102">
        <v>214.63</v>
      </c>
      <c r="J1020" s="102">
        <v>263.99</v>
      </c>
      <c r="K1020" s="101" t="s">
        <v>2941</v>
      </c>
      <c r="L1020" s="102">
        <v>23.0</v>
      </c>
      <c r="M1020" s="13"/>
    </row>
    <row r="1021">
      <c r="A1021" s="101" t="s">
        <v>3684</v>
      </c>
      <c r="B1021" s="101" t="s">
        <v>3685</v>
      </c>
      <c r="D1021" s="13"/>
      <c r="E1021" s="13"/>
      <c r="F1021" s="13"/>
      <c r="G1021" s="102">
        <v>2.0</v>
      </c>
      <c r="H1021" s="101" t="s">
        <v>2942</v>
      </c>
      <c r="I1021" s="102">
        <v>171.7</v>
      </c>
      <c r="J1021" s="102">
        <v>211.19</v>
      </c>
      <c r="K1021" s="101" t="s">
        <v>2941</v>
      </c>
      <c r="L1021" s="102">
        <v>23.0</v>
      </c>
      <c r="M1021" s="13"/>
    </row>
    <row r="1022">
      <c r="A1022" s="101" t="s">
        <v>3686</v>
      </c>
      <c r="B1022" s="101" t="s">
        <v>3687</v>
      </c>
      <c r="D1022" s="13"/>
      <c r="E1022" s="13"/>
      <c r="F1022" s="13"/>
      <c r="G1022" s="102">
        <v>1.0</v>
      </c>
      <c r="H1022" s="101" t="s">
        <v>2940</v>
      </c>
      <c r="I1022" s="102">
        <v>233.01</v>
      </c>
      <c r="J1022" s="102">
        <v>286.6</v>
      </c>
      <c r="K1022" s="101" t="s">
        <v>2941</v>
      </c>
      <c r="L1022" s="102">
        <v>23.0</v>
      </c>
      <c r="M1022" s="13"/>
    </row>
    <row r="1023">
      <c r="A1023" s="101" t="s">
        <v>3686</v>
      </c>
      <c r="B1023" s="101" t="s">
        <v>3687</v>
      </c>
      <c r="D1023" s="13"/>
      <c r="E1023" s="13"/>
      <c r="F1023" s="13"/>
      <c r="G1023" s="102">
        <v>2.0</v>
      </c>
      <c r="H1023" s="101" t="s">
        <v>2942</v>
      </c>
      <c r="I1023" s="102">
        <v>209.7</v>
      </c>
      <c r="J1023" s="102">
        <v>257.93</v>
      </c>
      <c r="K1023" s="101" t="s">
        <v>2941</v>
      </c>
      <c r="L1023" s="102">
        <v>23.0</v>
      </c>
      <c r="M1023" s="13"/>
    </row>
    <row r="1024">
      <c r="A1024" s="101" t="s">
        <v>3688</v>
      </c>
      <c r="B1024" s="101" t="s">
        <v>3689</v>
      </c>
      <c r="D1024" s="13"/>
      <c r="E1024" s="13"/>
      <c r="F1024" s="13"/>
      <c r="G1024" s="102">
        <v>1.0</v>
      </c>
      <c r="H1024" s="101" t="s">
        <v>2940</v>
      </c>
      <c r="I1024" s="102">
        <v>321.95</v>
      </c>
      <c r="J1024" s="102">
        <v>396.0</v>
      </c>
      <c r="K1024" s="101" t="s">
        <v>2941</v>
      </c>
      <c r="L1024" s="102">
        <v>23.0</v>
      </c>
      <c r="M1024" s="13"/>
    </row>
    <row r="1025">
      <c r="A1025" s="101" t="s">
        <v>3688</v>
      </c>
      <c r="B1025" s="101" t="s">
        <v>3689</v>
      </c>
      <c r="D1025" s="13"/>
      <c r="E1025" s="13"/>
      <c r="F1025" s="13"/>
      <c r="G1025" s="102">
        <v>2.0</v>
      </c>
      <c r="H1025" s="101" t="s">
        <v>2942</v>
      </c>
      <c r="I1025" s="102">
        <v>257.6</v>
      </c>
      <c r="J1025" s="102">
        <v>316.85</v>
      </c>
      <c r="K1025" s="101" t="s">
        <v>2941</v>
      </c>
      <c r="L1025" s="102">
        <v>23.0</v>
      </c>
      <c r="M1025" s="13"/>
    </row>
    <row r="1026">
      <c r="A1026" s="101" t="s">
        <v>3690</v>
      </c>
      <c r="B1026" s="101" t="s">
        <v>3691</v>
      </c>
      <c r="D1026" s="13"/>
      <c r="E1026" s="13"/>
      <c r="F1026" s="13"/>
      <c r="G1026" s="102">
        <v>1.0</v>
      </c>
      <c r="H1026" s="101" t="s">
        <v>2940</v>
      </c>
      <c r="I1026" s="102">
        <v>388.35</v>
      </c>
      <c r="J1026" s="102">
        <v>477.67</v>
      </c>
      <c r="K1026" s="101" t="s">
        <v>2941</v>
      </c>
      <c r="L1026" s="102">
        <v>23.0</v>
      </c>
      <c r="M1026" s="13"/>
    </row>
    <row r="1027">
      <c r="A1027" s="101" t="s">
        <v>3690</v>
      </c>
      <c r="B1027" s="101" t="s">
        <v>3691</v>
      </c>
      <c r="D1027" s="13"/>
      <c r="E1027" s="13"/>
      <c r="F1027" s="13"/>
      <c r="G1027" s="102">
        <v>2.0</v>
      </c>
      <c r="H1027" s="101" t="s">
        <v>2942</v>
      </c>
      <c r="I1027" s="102">
        <v>388.35</v>
      </c>
      <c r="J1027" s="102">
        <v>477.67</v>
      </c>
      <c r="K1027" s="101" t="s">
        <v>2941</v>
      </c>
      <c r="L1027" s="102">
        <v>23.0</v>
      </c>
      <c r="M1027" s="13"/>
    </row>
    <row r="1028">
      <c r="A1028" s="101" t="s">
        <v>3692</v>
      </c>
      <c r="B1028" s="101" t="s">
        <v>3693</v>
      </c>
      <c r="D1028" s="13"/>
      <c r="E1028" s="13"/>
      <c r="F1028" s="13"/>
      <c r="G1028" s="102">
        <v>1.0</v>
      </c>
      <c r="H1028" s="101" t="s">
        <v>2940</v>
      </c>
      <c r="I1028" s="102">
        <v>100.98</v>
      </c>
      <c r="J1028" s="102">
        <v>124.21</v>
      </c>
      <c r="K1028" s="101" t="s">
        <v>2941</v>
      </c>
      <c r="L1028" s="102">
        <v>23.0</v>
      </c>
      <c r="M1028" s="13"/>
    </row>
    <row r="1029">
      <c r="A1029" s="101" t="s">
        <v>3692</v>
      </c>
      <c r="B1029" s="101" t="s">
        <v>3693</v>
      </c>
      <c r="D1029" s="13"/>
      <c r="E1029" s="13"/>
      <c r="F1029" s="13"/>
      <c r="G1029" s="102">
        <v>2.0</v>
      </c>
      <c r="H1029" s="101" t="s">
        <v>2942</v>
      </c>
      <c r="I1029" s="102">
        <v>80.8</v>
      </c>
      <c r="J1029" s="102">
        <v>99.38</v>
      </c>
      <c r="K1029" s="101" t="s">
        <v>2941</v>
      </c>
      <c r="L1029" s="102">
        <v>23.0</v>
      </c>
      <c r="M1029" s="13"/>
    </row>
    <row r="1030">
      <c r="A1030" s="101" t="s">
        <v>3694</v>
      </c>
      <c r="B1030" s="101" t="s">
        <v>3695</v>
      </c>
      <c r="D1030" s="13"/>
      <c r="E1030" s="13"/>
      <c r="F1030" s="13"/>
      <c r="G1030" s="102">
        <v>1.0</v>
      </c>
      <c r="H1030" s="101" t="s">
        <v>2940</v>
      </c>
      <c r="I1030" s="102">
        <v>120.8</v>
      </c>
      <c r="J1030" s="102">
        <v>148.58</v>
      </c>
      <c r="K1030" s="101" t="s">
        <v>2941</v>
      </c>
      <c r="L1030" s="102">
        <v>23.0</v>
      </c>
      <c r="M1030" s="13"/>
    </row>
    <row r="1031">
      <c r="A1031" s="101" t="s">
        <v>3694</v>
      </c>
      <c r="B1031" s="101" t="s">
        <v>3695</v>
      </c>
      <c r="D1031" s="13"/>
      <c r="E1031" s="13"/>
      <c r="F1031" s="13"/>
      <c r="G1031" s="102">
        <v>2.0</v>
      </c>
      <c r="H1031" s="101" t="s">
        <v>2942</v>
      </c>
      <c r="I1031" s="102">
        <v>120.8</v>
      </c>
      <c r="J1031" s="102">
        <v>148.58</v>
      </c>
      <c r="K1031" s="101" t="s">
        <v>2941</v>
      </c>
      <c r="L1031" s="102">
        <v>23.0</v>
      </c>
      <c r="M1031" s="13"/>
    </row>
    <row r="1032">
      <c r="A1032" s="101" t="s">
        <v>3696</v>
      </c>
      <c r="B1032" s="101" t="s">
        <v>3697</v>
      </c>
      <c r="D1032" s="13"/>
      <c r="E1032" s="13"/>
      <c r="F1032" s="13"/>
      <c r="G1032" s="102">
        <v>1.0</v>
      </c>
      <c r="H1032" s="101" t="s">
        <v>2940</v>
      </c>
      <c r="I1032" s="102">
        <v>201.95</v>
      </c>
      <c r="J1032" s="102">
        <v>248.4</v>
      </c>
      <c r="K1032" s="101" t="s">
        <v>2941</v>
      </c>
      <c r="L1032" s="102">
        <v>23.0</v>
      </c>
      <c r="M1032" s="13"/>
    </row>
    <row r="1033">
      <c r="A1033" s="101" t="s">
        <v>3696</v>
      </c>
      <c r="B1033" s="101" t="s">
        <v>3697</v>
      </c>
      <c r="D1033" s="13"/>
      <c r="E1033" s="13"/>
      <c r="F1033" s="13"/>
      <c r="G1033" s="102">
        <v>2.0</v>
      </c>
      <c r="H1033" s="101" t="s">
        <v>2942</v>
      </c>
      <c r="I1033" s="102">
        <v>161.6</v>
      </c>
      <c r="J1033" s="102">
        <v>198.77</v>
      </c>
      <c r="K1033" s="101" t="s">
        <v>2941</v>
      </c>
      <c r="L1033" s="102">
        <v>23.0</v>
      </c>
      <c r="M1033" s="13"/>
    </row>
    <row r="1034">
      <c r="A1034" s="101" t="s">
        <v>3698</v>
      </c>
      <c r="B1034" s="101" t="s">
        <v>3699</v>
      </c>
      <c r="D1034" s="13"/>
      <c r="E1034" s="13"/>
      <c r="F1034" s="13"/>
      <c r="G1034" s="102">
        <v>1.0</v>
      </c>
      <c r="H1034" s="101" t="s">
        <v>2940</v>
      </c>
      <c r="I1034" s="102">
        <v>241.66</v>
      </c>
      <c r="J1034" s="102">
        <v>297.24</v>
      </c>
      <c r="K1034" s="101" t="s">
        <v>2941</v>
      </c>
      <c r="L1034" s="102">
        <v>23.0</v>
      </c>
      <c r="M1034" s="13"/>
    </row>
    <row r="1035">
      <c r="A1035" s="101" t="s">
        <v>3698</v>
      </c>
      <c r="B1035" s="101" t="s">
        <v>3699</v>
      </c>
      <c r="D1035" s="13"/>
      <c r="E1035" s="13"/>
      <c r="F1035" s="13"/>
      <c r="G1035" s="102">
        <v>2.0</v>
      </c>
      <c r="H1035" s="101" t="s">
        <v>2942</v>
      </c>
      <c r="I1035" s="102">
        <v>241.66</v>
      </c>
      <c r="J1035" s="102">
        <v>297.24</v>
      </c>
      <c r="K1035" s="101" t="s">
        <v>2941</v>
      </c>
      <c r="L1035" s="102">
        <v>23.0</v>
      </c>
      <c r="M1035" s="13"/>
    </row>
    <row r="1036">
      <c r="A1036" s="101" t="s">
        <v>3700</v>
      </c>
      <c r="B1036" s="101" t="s">
        <v>3701</v>
      </c>
      <c r="D1036" s="13"/>
      <c r="E1036" s="13"/>
      <c r="F1036" s="13"/>
      <c r="G1036" s="102">
        <v>1.0</v>
      </c>
      <c r="H1036" s="101" t="s">
        <v>2940</v>
      </c>
      <c r="I1036" s="102">
        <v>302.93</v>
      </c>
      <c r="J1036" s="102">
        <v>372.6</v>
      </c>
      <c r="K1036" s="101" t="s">
        <v>2941</v>
      </c>
      <c r="L1036" s="102">
        <v>23.0</v>
      </c>
      <c r="M1036" s="13"/>
    </row>
    <row r="1037">
      <c r="A1037" s="101" t="s">
        <v>3700</v>
      </c>
      <c r="B1037" s="101" t="s">
        <v>3701</v>
      </c>
      <c r="D1037" s="13"/>
      <c r="E1037" s="13"/>
      <c r="F1037" s="13"/>
      <c r="G1037" s="102">
        <v>2.0</v>
      </c>
      <c r="H1037" s="101" t="s">
        <v>2942</v>
      </c>
      <c r="I1037" s="102">
        <v>242.3</v>
      </c>
      <c r="J1037" s="102">
        <v>298.03</v>
      </c>
      <c r="K1037" s="101" t="s">
        <v>2941</v>
      </c>
      <c r="L1037" s="102">
        <v>23.0</v>
      </c>
      <c r="M1037" s="13"/>
    </row>
    <row r="1038">
      <c r="A1038" s="101" t="s">
        <v>3702</v>
      </c>
      <c r="B1038" s="101" t="s">
        <v>3703</v>
      </c>
      <c r="D1038" s="13"/>
      <c r="E1038" s="13"/>
      <c r="F1038" s="13"/>
      <c r="G1038" s="102">
        <v>1.0</v>
      </c>
      <c r="H1038" s="101" t="s">
        <v>2940</v>
      </c>
      <c r="I1038" s="102">
        <v>362.4</v>
      </c>
      <c r="J1038" s="102">
        <v>445.75</v>
      </c>
      <c r="K1038" s="101" t="s">
        <v>2941</v>
      </c>
      <c r="L1038" s="102">
        <v>23.0</v>
      </c>
      <c r="M1038" s="13"/>
    </row>
    <row r="1039">
      <c r="A1039" s="101" t="s">
        <v>3702</v>
      </c>
      <c r="B1039" s="101" t="s">
        <v>3703</v>
      </c>
      <c r="D1039" s="13"/>
      <c r="E1039" s="13"/>
      <c r="F1039" s="13"/>
      <c r="G1039" s="102">
        <v>2.0</v>
      </c>
      <c r="H1039" s="101" t="s">
        <v>2942</v>
      </c>
      <c r="I1039" s="102">
        <v>362.4</v>
      </c>
      <c r="J1039" s="102">
        <v>445.75</v>
      </c>
      <c r="K1039" s="101" t="s">
        <v>2941</v>
      </c>
      <c r="L1039" s="102">
        <v>23.0</v>
      </c>
      <c r="M1039" s="13"/>
    </row>
    <row r="1040">
      <c r="A1040" s="101" t="s">
        <v>3704</v>
      </c>
      <c r="B1040" s="101" t="s">
        <v>3705</v>
      </c>
      <c r="C1040" s="13"/>
      <c r="D1040" s="13"/>
      <c r="E1040" s="13"/>
      <c r="F1040" s="13"/>
      <c r="G1040" s="102">
        <v>1.0</v>
      </c>
      <c r="H1040" s="101" t="s">
        <v>2940</v>
      </c>
      <c r="I1040" s="102">
        <v>18.7</v>
      </c>
      <c r="J1040" s="102">
        <v>23.0</v>
      </c>
      <c r="K1040" s="101" t="s">
        <v>2941</v>
      </c>
      <c r="L1040" s="102">
        <v>23.0</v>
      </c>
      <c r="M1040" s="13"/>
    </row>
    <row r="1041">
      <c r="A1041" s="101" t="s">
        <v>3704</v>
      </c>
      <c r="B1041" s="101" t="s">
        <v>3705</v>
      </c>
      <c r="C1041" s="13"/>
      <c r="D1041" s="13"/>
      <c r="E1041" s="13"/>
      <c r="F1041" s="13"/>
      <c r="G1041" s="102">
        <v>2.0</v>
      </c>
      <c r="H1041" s="101" t="s">
        <v>2942</v>
      </c>
      <c r="I1041" s="102">
        <v>15.0</v>
      </c>
      <c r="J1041" s="102">
        <v>18.45</v>
      </c>
      <c r="K1041" s="101" t="s">
        <v>2941</v>
      </c>
      <c r="L1041" s="102">
        <v>23.0</v>
      </c>
      <c r="M1041" s="13"/>
    </row>
    <row r="1042">
      <c r="A1042" s="101" t="s">
        <v>3706</v>
      </c>
      <c r="B1042" s="101" t="s">
        <v>3707</v>
      </c>
      <c r="D1042" s="13"/>
      <c r="E1042" s="13"/>
      <c r="F1042" s="13"/>
      <c r="G1042" s="102">
        <v>1.0</v>
      </c>
      <c r="H1042" s="101" t="s">
        <v>2940</v>
      </c>
      <c r="I1042" s="102">
        <v>46.1</v>
      </c>
      <c r="J1042" s="102">
        <v>56.7</v>
      </c>
      <c r="K1042" s="101" t="s">
        <v>2941</v>
      </c>
      <c r="L1042" s="102">
        <v>23.0</v>
      </c>
      <c r="M1042" s="13"/>
    </row>
    <row r="1043">
      <c r="A1043" s="101" t="s">
        <v>3706</v>
      </c>
      <c r="B1043" s="101" t="s">
        <v>3707</v>
      </c>
      <c r="D1043" s="13"/>
      <c r="E1043" s="13"/>
      <c r="F1043" s="13"/>
      <c r="G1043" s="102">
        <v>2.0</v>
      </c>
      <c r="H1043" s="101" t="s">
        <v>2942</v>
      </c>
      <c r="I1043" s="102">
        <v>46.1</v>
      </c>
      <c r="J1043" s="102">
        <v>56.7</v>
      </c>
      <c r="K1043" s="101" t="s">
        <v>2941</v>
      </c>
      <c r="L1043" s="102">
        <v>23.0</v>
      </c>
      <c r="M1043" s="13"/>
    </row>
    <row r="1044">
      <c r="A1044" s="101" t="s">
        <v>3708</v>
      </c>
      <c r="B1044" s="101" t="s">
        <v>3709</v>
      </c>
      <c r="C1044" s="13"/>
      <c r="D1044" s="13"/>
      <c r="E1044" s="13"/>
      <c r="F1044" s="13"/>
      <c r="G1044" s="102">
        <v>1.0</v>
      </c>
      <c r="H1044" s="101" t="s">
        <v>2940</v>
      </c>
      <c r="I1044" s="102">
        <v>37.56</v>
      </c>
      <c r="J1044" s="102">
        <v>46.2</v>
      </c>
      <c r="K1044" s="101" t="s">
        <v>2941</v>
      </c>
      <c r="L1044" s="102">
        <v>23.0</v>
      </c>
      <c r="M1044" s="13"/>
    </row>
    <row r="1045">
      <c r="A1045" s="101" t="s">
        <v>3708</v>
      </c>
      <c r="B1045" s="101" t="s">
        <v>3709</v>
      </c>
      <c r="C1045" s="13"/>
      <c r="D1045" s="13"/>
      <c r="E1045" s="13"/>
      <c r="F1045" s="13"/>
      <c r="G1045" s="102">
        <v>2.0</v>
      </c>
      <c r="H1045" s="101" t="s">
        <v>2942</v>
      </c>
      <c r="I1045" s="102">
        <v>30.0</v>
      </c>
      <c r="J1045" s="102">
        <v>36.9</v>
      </c>
      <c r="K1045" s="101" t="s">
        <v>2941</v>
      </c>
      <c r="L1045" s="102">
        <v>23.0</v>
      </c>
      <c r="M1045" s="13"/>
    </row>
    <row r="1046">
      <c r="A1046" s="101" t="s">
        <v>3710</v>
      </c>
      <c r="B1046" s="101" t="s">
        <v>3711</v>
      </c>
      <c r="D1046" s="13"/>
      <c r="E1046" s="13"/>
      <c r="F1046" s="13"/>
      <c r="G1046" s="102">
        <v>1.0</v>
      </c>
      <c r="H1046" s="101" t="s">
        <v>2940</v>
      </c>
      <c r="I1046" s="102">
        <v>92.2</v>
      </c>
      <c r="J1046" s="102">
        <v>113.41</v>
      </c>
      <c r="K1046" s="101" t="s">
        <v>2941</v>
      </c>
      <c r="L1046" s="102">
        <v>23.0</v>
      </c>
      <c r="M1046" s="13"/>
    </row>
    <row r="1047">
      <c r="A1047" s="101" t="s">
        <v>3710</v>
      </c>
      <c r="B1047" s="101" t="s">
        <v>3711</v>
      </c>
      <c r="D1047" s="13"/>
      <c r="E1047" s="13"/>
      <c r="F1047" s="13"/>
      <c r="G1047" s="102">
        <v>2.0</v>
      </c>
      <c r="H1047" s="101" t="s">
        <v>2942</v>
      </c>
      <c r="I1047" s="102">
        <v>92.2</v>
      </c>
      <c r="J1047" s="102">
        <v>113.41</v>
      </c>
      <c r="K1047" s="101" t="s">
        <v>2941</v>
      </c>
      <c r="L1047" s="102">
        <v>23.0</v>
      </c>
      <c r="M1047" s="13"/>
    </row>
    <row r="1048">
      <c r="A1048" s="101" t="s">
        <v>3712</v>
      </c>
      <c r="B1048" s="101" t="s">
        <v>3713</v>
      </c>
      <c r="C1048" s="13"/>
      <c r="D1048" s="13"/>
      <c r="E1048" s="13"/>
      <c r="F1048" s="13"/>
      <c r="G1048" s="102">
        <v>1.0</v>
      </c>
      <c r="H1048" s="101" t="s">
        <v>2940</v>
      </c>
      <c r="I1048" s="102">
        <v>56.26</v>
      </c>
      <c r="J1048" s="102">
        <v>69.2</v>
      </c>
      <c r="K1048" s="101" t="s">
        <v>2941</v>
      </c>
      <c r="L1048" s="102">
        <v>23.0</v>
      </c>
      <c r="M1048" s="13"/>
    </row>
    <row r="1049">
      <c r="A1049" s="101" t="s">
        <v>3712</v>
      </c>
      <c r="B1049" s="101" t="s">
        <v>3713</v>
      </c>
      <c r="C1049" s="13"/>
      <c r="D1049" s="13"/>
      <c r="E1049" s="13"/>
      <c r="F1049" s="13"/>
      <c r="G1049" s="102">
        <v>2.0</v>
      </c>
      <c r="H1049" s="101" t="s">
        <v>2942</v>
      </c>
      <c r="I1049" s="102">
        <v>45.0</v>
      </c>
      <c r="J1049" s="102">
        <v>55.35</v>
      </c>
      <c r="K1049" s="101" t="s">
        <v>2941</v>
      </c>
      <c r="L1049" s="102">
        <v>23.0</v>
      </c>
      <c r="M1049" s="13"/>
    </row>
    <row r="1050">
      <c r="A1050" s="101" t="s">
        <v>3714</v>
      </c>
      <c r="B1050" s="101" t="s">
        <v>3715</v>
      </c>
      <c r="D1050" s="13"/>
      <c r="E1050" s="13"/>
      <c r="F1050" s="13"/>
      <c r="G1050" s="102">
        <v>1.0</v>
      </c>
      <c r="H1050" s="101" t="s">
        <v>2940</v>
      </c>
      <c r="I1050" s="102">
        <v>157.32</v>
      </c>
      <c r="J1050" s="102">
        <v>193.5</v>
      </c>
      <c r="K1050" s="101" t="s">
        <v>2941</v>
      </c>
      <c r="L1050" s="102">
        <v>23.0</v>
      </c>
      <c r="M1050" s="13"/>
    </row>
    <row r="1051">
      <c r="A1051" s="101" t="s">
        <v>3714</v>
      </c>
      <c r="B1051" s="101" t="s">
        <v>3715</v>
      </c>
      <c r="D1051" s="13"/>
      <c r="E1051" s="13"/>
      <c r="F1051" s="13"/>
      <c r="G1051" s="102">
        <v>2.0</v>
      </c>
      <c r="H1051" s="101" t="s">
        <v>2942</v>
      </c>
      <c r="I1051" s="102">
        <v>157.2</v>
      </c>
      <c r="J1051" s="102">
        <v>193.36</v>
      </c>
      <c r="K1051" s="101" t="s">
        <v>2941</v>
      </c>
      <c r="L1051" s="102">
        <v>23.0</v>
      </c>
      <c r="M1051" s="13"/>
    </row>
    <row r="1052">
      <c r="A1052" s="101" t="s">
        <v>3716</v>
      </c>
      <c r="B1052" s="101" t="s">
        <v>3717</v>
      </c>
      <c r="D1052" s="13"/>
      <c r="E1052" s="13"/>
      <c r="F1052" s="13"/>
      <c r="G1052" s="102">
        <v>1.0</v>
      </c>
      <c r="H1052" s="101" t="s">
        <v>2940</v>
      </c>
      <c r="I1052" s="102">
        <v>17.48</v>
      </c>
      <c r="J1052" s="102">
        <v>21.5</v>
      </c>
      <c r="K1052" s="101" t="s">
        <v>2941</v>
      </c>
      <c r="L1052" s="102">
        <v>23.0</v>
      </c>
      <c r="M1052" s="13"/>
    </row>
    <row r="1053">
      <c r="A1053" s="101" t="s">
        <v>3716</v>
      </c>
      <c r="B1053" s="101" t="s">
        <v>3717</v>
      </c>
      <c r="D1053" s="13"/>
      <c r="E1053" s="13"/>
      <c r="F1053" s="13"/>
      <c r="G1053" s="102">
        <v>2.0</v>
      </c>
      <c r="H1053" s="101" t="s">
        <v>2942</v>
      </c>
      <c r="I1053" s="102">
        <v>14.0</v>
      </c>
      <c r="J1053" s="102">
        <v>17.22</v>
      </c>
      <c r="K1053" s="101" t="s">
        <v>2941</v>
      </c>
      <c r="L1053" s="102">
        <v>23.0</v>
      </c>
      <c r="M1053" s="13"/>
    </row>
    <row r="1054">
      <c r="A1054" s="101" t="s">
        <v>3718</v>
      </c>
      <c r="B1054" s="101" t="s">
        <v>3719</v>
      </c>
      <c r="D1054" s="13"/>
      <c r="E1054" s="13"/>
      <c r="F1054" s="13"/>
      <c r="G1054" s="102">
        <v>1.0</v>
      </c>
      <c r="H1054" s="101" t="s">
        <v>2940</v>
      </c>
      <c r="I1054" s="102">
        <v>34.8</v>
      </c>
      <c r="J1054" s="102">
        <v>42.8</v>
      </c>
      <c r="K1054" s="101" t="s">
        <v>2941</v>
      </c>
      <c r="L1054" s="102">
        <v>23.0</v>
      </c>
      <c r="M1054" s="13"/>
    </row>
    <row r="1055">
      <c r="A1055" s="101" t="s">
        <v>3718</v>
      </c>
      <c r="B1055" s="101" t="s">
        <v>3719</v>
      </c>
      <c r="D1055" s="13"/>
      <c r="E1055" s="13"/>
      <c r="F1055" s="13"/>
      <c r="G1055" s="102">
        <v>2.0</v>
      </c>
      <c r="H1055" s="101" t="s">
        <v>2942</v>
      </c>
      <c r="I1055" s="102">
        <v>27.8</v>
      </c>
      <c r="J1055" s="102">
        <v>34.19</v>
      </c>
      <c r="K1055" s="101" t="s">
        <v>2941</v>
      </c>
      <c r="L1055" s="102">
        <v>23.0</v>
      </c>
      <c r="M1055" s="13"/>
    </row>
    <row r="1056">
      <c r="A1056" s="101" t="s">
        <v>3720</v>
      </c>
      <c r="B1056" s="101" t="s">
        <v>3721</v>
      </c>
      <c r="D1056" s="13"/>
      <c r="E1056" s="13"/>
      <c r="F1056" s="13"/>
      <c r="G1056" s="102">
        <v>1.0</v>
      </c>
      <c r="H1056" s="101" t="s">
        <v>2940</v>
      </c>
      <c r="I1056" s="102">
        <v>52.03</v>
      </c>
      <c r="J1056" s="102">
        <v>64.0</v>
      </c>
      <c r="K1056" s="101" t="s">
        <v>2941</v>
      </c>
      <c r="L1056" s="102">
        <v>23.0</v>
      </c>
      <c r="M1056" s="13"/>
    </row>
    <row r="1057">
      <c r="A1057" s="101" t="s">
        <v>3720</v>
      </c>
      <c r="B1057" s="101" t="s">
        <v>3721</v>
      </c>
      <c r="D1057" s="13"/>
      <c r="E1057" s="13"/>
      <c r="F1057" s="13"/>
      <c r="G1057" s="102">
        <v>2.0</v>
      </c>
      <c r="H1057" s="101" t="s">
        <v>2942</v>
      </c>
      <c r="I1057" s="102">
        <v>51.8</v>
      </c>
      <c r="J1057" s="102">
        <v>63.71</v>
      </c>
      <c r="K1057" s="101" t="s">
        <v>2941</v>
      </c>
      <c r="L1057" s="102">
        <v>23.0</v>
      </c>
      <c r="M1057" s="13"/>
    </row>
    <row r="1058">
      <c r="A1058" s="101" t="s">
        <v>3722</v>
      </c>
      <c r="B1058" s="101" t="s">
        <v>3723</v>
      </c>
      <c r="D1058" s="13"/>
      <c r="E1058" s="13"/>
      <c r="F1058" s="13"/>
      <c r="G1058" s="102">
        <v>1.0</v>
      </c>
      <c r="H1058" s="101" t="s">
        <v>2940</v>
      </c>
      <c r="I1058" s="102">
        <v>52.28</v>
      </c>
      <c r="J1058" s="102">
        <v>64.3</v>
      </c>
      <c r="K1058" s="101" t="s">
        <v>2941</v>
      </c>
      <c r="L1058" s="102">
        <v>23.0</v>
      </c>
      <c r="M1058" s="13"/>
    </row>
    <row r="1059">
      <c r="A1059" s="101" t="s">
        <v>3722</v>
      </c>
      <c r="B1059" s="101" t="s">
        <v>3723</v>
      </c>
      <c r="D1059" s="13"/>
      <c r="E1059" s="13"/>
      <c r="F1059" s="13"/>
      <c r="G1059" s="102">
        <v>2.0</v>
      </c>
      <c r="H1059" s="101" t="s">
        <v>2942</v>
      </c>
      <c r="I1059" s="102">
        <v>41.8</v>
      </c>
      <c r="J1059" s="102">
        <v>51.41</v>
      </c>
      <c r="K1059" s="101" t="s">
        <v>2941</v>
      </c>
      <c r="L1059" s="102">
        <v>23.0</v>
      </c>
      <c r="M1059" s="13"/>
    </row>
    <row r="1060">
      <c r="A1060" s="101" t="s">
        <v>3724</v>
      </c>
      <c r="B1060" s="101">
        <v>1973.0</v>
      </c>
      <c r="C1060" s="13"/>
      <c r="D1060" s="13"/>
      <c r="E1060" s="13"/>
      <c r="F1060" s="13"/>
      <c r="G1060" s="102">
        <v>1.0</v>
      </c>
      <c r="H1060" s="101" t="s">
        <v>2940</v>
      </c>
      <c r="I1060" s="102">
        <v>78.05</v>
      </c>
      <c r="J1060" s="102">
        <v>96.0</v>
      </c>
      <c r="K1060" s="101" t="s">
        <v>2941</v>
      </c>
      <c r="L1060" s="102">
        <v>23.0</v>
      </c>
      <c r="M1060" s="13"/>
    </row>
    <row r="1061">
      <c r="A1061" s="101" t="s">
        <v>3724</v>
      </c>
      <c r="B1061" s="101">
        <v>1973.0</v>
      </c>
      <c r="C1061" s="13"/>
      <c r="D1061" s="13"/>
      <c r="E1061" s="13"/>
      <c r="F1061" s="13"/>
      <c r="G1061" s="102">
        <v>2.0</v>
      </c>
      <c r="H1061" s="101" t="s">
        <v>2942</v>
      </c>
      <c r="I1061" s="102">
        <v>77.7</v>
      </c>
      <c r="J1061" s="102">
        <v>95.57</v>
      </c>
      <c r="K1061" s="101" t="s">
        <v>2941</v>
      </c>
      <c r="L1061" s="102">
        <v>23.0</v>
      </c>
      <c r="M1061" s="13"/>
    </row>
    <row r="1062">
      <c r="A1062" s="101" t="s">
        <v>3725</v>
      </c>
      <c r="B1062" s="101" t="s">
        <v>3726</v>
      </c>
      <c r="D1062" s="13"/>
      <c r="E1062" s="13"/>
      <c r="F1062" s="13"/>
      <c r="G1062" s="102">
        <v>1.0</v>
      </c>
      <c r="H1062" s="101" t="s">
        <v>2940</v>
      </c>
      <c r="I1062" s="102">
        <v>168.86</v>
      </c>
      <c r="J1062" s="102">
        <v>207.7</v>
      </c>
      <c r="K1062" s="101" t="s">
        <v>2941</v>
      </c>
      <c r="L1062" s="102">
        <v>23.0</v>
      </c>
      <c r="M1062" s="13"/>
    </row>
    <row r="1063">
      <c r="A1063" s="101" t="s">
        <v>3725</v>
      </c>
      <c r="B1063" s="101" t="s">
        <v>3726</v>
      </c>
      <c r="D1063" s="13"/>
      <c r="E1063" s="13"/>
      <c r="F1063" s="13"/>
      <c r="G1063" s="102">
        <v>2.0</v>
      </c>
      <c r="H1063" s="101" t="s">
        <v>2942</v>
      </c>
      <c r="I1063" s="102">
        <v>135.1</v>
      </c>
      <c r="J1063" s="102">
        <v>166.17</v>
      </c>
      <c r="K1063" s="101" t="s">
        <v>2941</v>
      </c>
      <c r="L1063" s="102">
        <v>23.0</v>
      </c>
      <c r="M1063" s="13"/>
    </row>
    <row r="1064">
      <c r="A1064" s="101" t="s">
        <v>3727</v>
      </c>
      <c r="B1064" s="101" t="s">
        <v>3728</v>
      </c>
      <c r="D1064" s="13"/>
      <c r="E1064" s="13"/>
      <c r="F1064" s="13"/>
      <c r="G1064" s="102">
        <v>1.0</v>
      </c>
      <c r="H1064" s="101" t="s">
        <v>2940</v>
      </c>
      <c r="I1064" s="102">
        <v>337.64</v>
      </c>
      <c r="J1064" s="102">
        <v>415.3</v>
      </c>
      <c r="K1064" s="101" t="s">
        <v>2941</v>
      </c>
      <c r="L1064" s="102">
        <v>23.0</v>
      </c>
      <c r="M1064" s="13"/>
    </row>
    <row r="1065">
      <c r="A1065" s="101" t="s">
        <v>3727</v>
      </c>
      <c r="B1065" s="101" t="s">
        <v>3728</v>
      </c>
      <c r="D1065" s="13"/>
      <c r="E1065" s="13"/>
      <c r="F1065" s="13"/>
      <c r="G1065" s="102">
        <v>2.0</v>
      </c>
      <c r="H1065" s="101" t="s">
        <v>2942</v>
      </c>
      <c r="I1065" s="102">
        <v>270.1</v>
      </c>
      <c r="J1065" s="102">
        <v>332.22</v>
      </c>
      <c r="K1065" s="101" t="s">
        <v>2941</v>
      </c>
      <c r="L1065" s="102">
        <v>23.0</v>
      </c>
      <c r="M1065" s="13"/>
    </row>
    <row r="1066">
      <c r="A1066" s="101" t="s">
        <v>3729</v>
      </c>
      <c r="B1066" s="101" t="s">
        <v>3730</v>
      </c>
      <c r="D1066" s="13"/>
      <c r="E1066" s="13"/>
      <c r="F1066" s="13"/>
      <c r="G1066" s="102">
        <v>1.0</v>
      </c>
      <c r="H1066" s="101" t="s">
        <v>2940</v>
      </c>
      <c r="I1066" s="102">
        <v>147.07</v>
      </c>
      <c r="J1066" s="102">
        <v>180.9</v>
      </c>
      <c r="K1066" s="101" t="s">
        <v>2941</v>
      </c>
      <c r="L1066" s="102">
        <v>23.0</v>
      </c>
      <c r="M1066" s="13"/>
    </row>
    <row r="1067">
      <c r="A1067" s="101" t="s">
        <v>3729</v>
      </c>
      <c r="B1067" s="101" t="s">
        <v>3730</v>
      </c>
      <c r="D1067" s="13"/>
      <c r="E1067" s="13"/>
      <c r="F1067" s="13"/>
      <c r="G1067" s="102">
        <v>2.0</v>
      </c>
      <c r="H1067" s="101" t="s">
        <v>2942</v>
      </c>
      <c r="I1067" s="102">
        <v>117.7</v>
      </c>
      <c r="J1067" s="102">
        <v>144.77</v>
      </c>
      <c r="K1067" s="101" t="s">
        <v>2941</v>
      </c>
      <c r="L1067" s="102">
        <v>23.0</v>
      </c>
      <c r="M1067" s="13"/>
    </row>
    <row r="1068">
      <c r="A1068" s="101" t="s">
        <v>3731</v>
      </c>
      <c r="B1068" s="101" t="s">
        <v>3732</v>
      </c>
      <c r="D1068" s="13"/>
      <c r="E1068" s="13"/>
      <c r="F1068" s="13"/>
      <c r="G1068" s="102">
        <v>1.0</v>
      </c>
      <c r="H1068" s="101" t="s">
        <v>2940</v>
      </c>
      <c r="I1068" s="102">
        <v>294.07</v>
      </c>
      <c r="J1068" s="102">
        <v>361.71</v>
      </c>
      <c r="K1068" s="101" t="s">
        <v>2941</v>
      </c>
      <c r="L1068" s="102">
        <v>23.0</v>
      </c>
      <c r="M1068" s="13"/>
    </row>
    <row r="1069">
      <c r="A1069" s="101" t="s">
        <v>3731</v>
      </c>
      <c r="B1069" s="101" t="s">
        <v>3732</v>
      </c>
      <c r="D1069" s="13"/>
      <c r="E1069" s="13"/>
      <c r="F1069" s="13"/>
      <c r="G1069" s="102">
        <v>2.0</v>
      </c>
      <c r="H1069" s="101" t="s">
        <v>2942</v>
      </c>
      <c r="I1069" s="102">
        <v>235.3</v>
      </c>
      <c r="J1069" s="102">
        <v>289.42</v>
      </c>
      <c r="K1069" s="101" t="s">
        <v>2941</v>
      </c>
      <c r="L1069" s="102">
        <v>23.0</v>
      </c>
      <c r="M1069" s="13"/>
    </row>
    <row r="1070">
      <c r="A1070" s="101" t="s">
        <v>3733</v>
      </c>
      <c r="B1070" s="101" t="s">
        <v>3734</v>
      </c>
      <c r="D1070" s="13"/>
      <c r="E1070" s="13"/>
      <c r="F1070" s="13"/>
      <c r="G1070" s="102">
        <v>1.0</v>
      </c>
      <c r="H1070" s="101" t="s">
        <v>2940</v>
      </c>
      <c r="I1070" s="102">
        <v>441.06</v>
      </c>
      <c r="J1070" s="102">
        <v>542.5</v>
      </c>
      <c r="K1070" s="101" t="s">
        <v>2941</v>
      </c>
      <c r="L1070" s="102">
        <v>23.0</v>
      </c>
      <c r="M1070" s="13"/>
    </row>
    <row r="1071">
      <c r="A1071" s="101" t="s">
        <v>3733</v>
      </c>
      <c r="B1071" s="101" t="s">
        <v>3734</v>
      </c>
      <c r="D1071" s="13"/>
      <c r="E1071" s="13"/>
      <c r="F1071" s="13"/>
      <c r="G1071" s="102">
        <v>2.0</v>
      </c>
      <c r="H1071" s="101" t="s">
        <v>2942</v>
      </c>
      <c r="I1071" s="102">
        <v>352.8</v>
      </c>
      <c r="J1071" s="102">
        <v>433.94</v>
      </c>
      <c r="K1071" s="101" t="s">
        <v>2941</v>
      </c>
      <c r="L1071" s="102">
        <v>23.0</v>
      </c>
      <c r="M1071" s="13"/>
    </row>
    <row r="1072">
      <c r="A1072" s="101" t="s">
        <v>3735</v>
      </c>
      <c r="B1072" s="101" t="s">
        <v>3736</v>
      </c>
      <c r="D1072" s="13"/>
      <c r="E1072" s="13"/>
      <c r="F1072" s="13"/>
      <c r="G1072" s="102">
        <v>1.0</v>
      </c>
      <c r="H1072" s="101" t="s">
        <v>2940</v>
      </c>
      <c r="I1072" s="102">
        <v>38.7</v>
      </c>
      <c r="J1072" s="102">
        <v>47.6</v>
      </c>
      <c r="K1072" s="101" t="s">
        <v>2941</v>
      </c>
      <c r="L1072" s="102">
        <v>23.0</v>
      </c>
      <c r="M1072" s="13"/>
    </row>
    <row r="1073">
      <c r="A1073" s="101" t="s">
        <v>3735</v>
      </c>
      <c r="B1073" s="101" t="s">
        <v>3736</v>
      </c>
      <c r="D1073" s="13"/>
      <c r="E1073" s="13"/>
      <c r="F1073" s="13"/>
      <c r="G1073" s="102">
        <v>2.0</v>
      </c>
      <c r="H1073" s="101" t="s">
        <v>2942</v>
      </c>
      <c r="I1073" s="102">
        <v>31.0</v>
      </c>
      <c r="J1073" s="102">
        <v>38.13</v>
      </c>
      <c r="K1073" s="101" t="s">
        <v>2941</v>
      </c>
      <c r="L1073" s="102">
        <v>23.0</v>
      </c>
      <c r="M1073" s="13"/>
    </row>
    <row r="1074">
      <c r="A1074" s="101" t="s">
        <v>3737</v>
      </c>
      <c r="B1074" s="101" t="s">
        <v>3738</v>
      </c>
      <c r="D1074" s="13"/>
      <c r="E1074" s="13"/>
      <c r="F1074" s="13"/>
      <c r="G1074" s="102">
        <v>1.0</v>
      </c>
      <c r="H1074" s="101" t="s">
        <v>2940</v>
      </c>
      <c r="I1074" s="102">
        <v>77.4</v>
      </c>
      <c r="J1074" s="102">
        <v>95.2</v>
      </c>
      <c r="K1074" s="101" t="s">
        <v>2941</v>
      </c>
      <c r="L1074" s="102">
        <v>23.0</v>
      </c>
      <c r="M1074" s="13"/>
    </row>
    <row r="1075">
      <c r="A1075" s="101" t="s">
        <v>3737</v>
      </c>
      <c r="B1075" s="101" t="s">
        <v>3738</v>
      </c>
      <c r="D1075" s="13"/>
      <c r="E1075" s="13"/>
      <c r="F1075" s="13"/>
      <c r="G1075" s="102">
        <v>2.0</v>
      </c>
      <c r="H1075" s="101" t="s">
        <v>2942</v>
      </c>
      <c r="I1075" s="102">
        <v>61.9</v>
      </c>
      <c r="J1075" s="102">
        <v>76.14</v>
      </c>
      <c r="K1075" s="101" t="s">
        <v>2941</v>
      </c>
      <c r="L1075" s="102">
        <v>23.0</v>
      </c>
      <c r="M1075" s="13"/>
    </row>
    <row r="1076">
      <c r="A1076" s="101" t="s">
        <v>3739</v>
      </c>
      <c r="B1076" s="101" t="s">
        <v>3740</v>
      </c>
      <c r="D1076" s="13"/>
      <c r="E1076" s="13"/>
      <c r="F1076" s="13"/>
      <c r="G1076" s="102">
        <v>1.0</v>
      </c>
      <c r="H1076" s="101" t="s">
        <v>2940</v>
      </c>
      <c r="I1076" s="102">
        <v>116.1</v>
      </c>
      <c r="J1076" s="102">
        <v>142.8</v>
      </c>
      <c r="K1076" s="101" t="s">
        <v>2941</v>
      </c>
      <c r="L1076" s="102">
        <v>23.0</v>
      </c>
      <c r="M1076" s="13"/>
    </row>
    <row r="1077">
      <c r="A1077" s="101" t="s">
        <v>3739</v>
      </c>
      <c r="B1077" s="101" t="s">
        <v>3740</v>
      </c>
      <c r="D1077" s="13"/>
      <c r="E1077" s="13"/>
      <c r="F1077" s="13"/>
      <c r="G1077" s="102">
        <v>2.0</v>
      </c>
      <c r="H1077" s="101" t="s">
        <v>2942</v>
      </c>
      <c r="I1077" s="102">
        <v>92.9</v>
      </c>
      <c r="J1077" s="102">
        <v>114.27</v>
      </c>
      <c r="K1077" s="101" t="s">
        <v>2941</v>
      </c>
      <c r="L1077" s="102">
        <v>23.0</v>
      </c>
      <c r="M1077" s="13"/>
    </row>
    <row r="1078">
      <c r="A1078" s="101" t="s">
        <v>3741</v>
      </c>
      <c r="B1078" s="101" t="s">
        <v>3742</v>
      </c>
      <c r="D1078" s="13"/>
      <c r="E1078" s="13"/>
      <c r="F1078" s="13"/>
      <c r="G1078" s="102">
        <v>1.0</v>
      </c>
      <c r="H1078" s="101" t="s">
        <v>2940</v>
      </c>
      <c r="I1078" s="102">
        <v>42.03</v>
      </c>
      <c r="J1078" s="102">
        <v>51.7</v>
      </c>
      <c r="K1078" s="101" t="s">
        <v>2941</v>
      </c>
      <c r="L1078" s="102">
        <v>23.0</v>
      </c>
      <c r="M1078" s="13"/>
    </row>
    <row r="1079">
      <c r="A1079" s="101" t="s">
        <v>3741</v>
      </c>
      <c r="B1079" s="101" t="s">
        <v>3742</v>
      </c>
      <c r="D1079" s="13"/>
      <c r="E1079" s="13"/>
      <c r="F1079" s="13"/>
      <c r="G1079" s="102">
        <v>2.0</v>
      </c>
      <c r="H1079" s="101" t="s">
        <v>2942</v>
      </c>
      <c r="I1079" s="102">
        <v>33.6</v>
      </c>
      <c r="J1079" s="102">
        <v>41.33</v>
      </c>
      <c r="K1079" s="101" t="s">
        <v>2941</v>
      </c>
      <c r="L1079" s="102">
        <v>23.0</v>
      </c>
      <c r="M1079" s="13"/>
    </row>
    <row r="1080">
      <c r="A1080" s="101" t="s">
        <v>3743</v>
      </c>
      <c r="B1080" s="101" t="s">
        <v>3744</v>
      </c>
      <c r="D1080" s="13"/>
      <c r="E1080" s="13"/>
      <c r="F1080" s="13"/>
      <c r="G1080" s="102">
        <v>1.0</v>
      </c>
      <c r="H1080" s="101" t="s">
        <v>2940</v>
      </c>
      <c r="I1080" s="102">
        <v>84.07</v>
      </c>
      <c r="J1080" s="102">
        <v>103.41</v>
      </c>
      <c r="K1080" s="101" t="s">
        <v>2941</v>
      </c>
      <c r="L1080" s="102">
        <v>23.0</v>
      </c>
      <c r="M1080" s="13"/>
    </row>
    <row r="1081">
      <c r="A1081" s="101" t="s">
        <v>3743</v>
      </c>
      <c r="B1081" s="101" t="s">
        <v>3744</v>
      </c>
      <c r="D1081" s="13"/>
      <c r="E1081" s="13"/>
      <c r="F1081" s="13"/>
      <c r="G1081" s="102">
        <v>2.0</v>
      </c>
      <c r="H1081" s="101" t="s">
        <v>2942</v>
      </c>
      <c r="I1081" s="102">
        <v>67.3</v>
      </c>
      <c r="J1081" s="102">
        <v>82.78</v>
      </c>
      <c r="K1081" s="101" t="s">
        <v>2941</v>
      </c>
      <c r="L1081" s="102">
        <v>23.0</v>
      </c>
      <c r="M1081" s="13"/>
    </row>
    <row r="1082">
      <c r="A1082" s="101" t="s">
        <v>3745</v>
      </c>
      <c r="B1082" s="101" t="s">
        <v>3746</v>
      </c>
      <c r="D1082" s="13"/>
      <c r="E1082" s="13"/>
      <c r="F1082" s="13"/>
      <c r="G1082" s="102">
        <v>1.0</v>
      </c>
      <c r="H1082" s="101" t="s">
        <v>2940</v>
      </c>
      <c r="I1082" s="102">
        <v>126.1</v>
      </c>
      <c r="J1082" s="102">
        <v>155.1</v>
      </c>
      <c r="K1082" s="101" t="s">
        <v>2941</v>
      </c>
      <c r="L1082" s="102">
        <v>23.0</v>
      </c>
      <c r="M1082" s="13"/>
    </row>
    <row r="1083">
      <c r="A1083" s="101" t="s">
        <v>3745</v>
      </c>
      <c r="B1083" s="101" t="s">
        <v>3746</v>
      </c>
      <c r="D1083" s="13"/>
      <c r="E1083" s="13"/>
      <c r="F1083" s="13"/>
      <c r="G1083" s="102">
        <v>2.0</v>
      </c>
      <c r="H1083" s="101" t="s">
        <v>2942</v>
      </c>
      <c r="I1083" s="102">
        <v>100.9</v>
      </c>
      <c r="J1083" s="102">
        <v>124.11</v>
      </c>
      <c r="K1083" s="101" t="s">
        <v>2941</v>
      </c>
      <c r="L1083" s="102">
        <v>23.0</v>
      </c>
      <c r="M1083" s="13"/>
    </row>
    <row r="1084">
      <c r="A1084" s="101" t="s">
        <v>3747</v>
      </c>
      <c r="B1084" s="101" t="s">
        <v>3748</v>
      </c>
      <c r="D1084" s="13"/>
      <c r="E1084" s="13"/>
      <c r="F1084" s="13"/>
      <c r="G1084" s="102">
        <v>1.0</v>
      </c>
      <c r="H1084" s="101" t="s">
        <v>2940</v>
      </c>
      <c r="I1084" s="102">
        <v>79.05</v>
      </c>
      <c r="J1084" s="102">
        <v>97.23</v>
      </c>
      <c r="K1084" s="101" t="s">
        <v>2941</v>
      </c>
      <c r="L1084" s="102">
        <v>23.0</v>
      </c>
      <c r="M1084" s="13"/>
    </row>
    <row r="1085">
      <c r="A1085" s="101" t="s">
        <v>3747</v>
      </c>
      <c r="B1085" s="101" t="s">
        <v>3748</v>
      </c>
      <c r="D1085" s="13"/>
      <c r="E1085" s="13"/>
      <c r="F1085" s="13"/>
      <c r="G1085" s="102">
        <v>2.0</v>
      </c>
      <c r="H1085" s="101" t="s">
        <v>2942</v>
      </c>
      <c r="I1085" s="102">
        <v>79.05</v>
      </c>
      <c r="J1085" s="102">
        <v>97.23</v>
      </c>
      <c r="K1085" s="101" t="s">
        <v>2941</v>
      </c>
      <c r="L1085" s="102">
        <v>23.0</v>
      </c>
      <c r="M1085" s="13"/>
    </row>
    <row r="1086">
      <c r="A1086" s="101" t="s">
        <v>3749</v>
      </c>
      <c r="B1086" s="101" t="s">
        <v>3750</v>
      </c>
      <c r="D1086" s="13"/>
      <c r="E1086" s="13"/>
      <c r="F1086" s="13"/>
      <c r="G1086" s="102">
        <v>1.0</v>
      </c>
      <c r="H1086" s="101" t="s">
        <v>2940</v>
      </c>
      <c r="I1086" s="102">
        <v>158.1</v>
      </c>
      <c r="J1086" s="102">
        <v>194.46</v>
      </c>
      <c r="K1086" s="101" t="s">
        <v>2941</v>
      </c>
      <c r="L1086" s="102">
        <v>23.0</v>
      </c>
      <c r="M1086" s="13"/>
    </row>
    <row r="1087">
      <c r="A1087" s="101" t="s">
        <v>3749</v>
      </c>
      <c r="B1087" s="101" t="s">
        <v>3750</v>
      </c>
      <c r="D1087" s="13"/>
      <c r="E1087" s="13"/>
      <c r="F1087" s="13"/>
      <c r="G1087" s="102">
        <v>2.0</v>
      </c>
      <c r="H1087" s="101" t="s">
        <v>2942</v>
      </c>
      <c r="I1087" s="102">
        <v>158.1</v>
      </c>
      <c r="J1087" s="102">
        <v>194.46</v>
      </c>
      <c r="K1087" s="101" t="s">
        <v>2941</v>
      </c>
      <c r="L1087" s="102">
        <v>23.0</v>
      </c>
      <c r="M1087" s="13"/>
    </row>
    <row r="1088">
      <c r="A1088" s="101" t="s">
        <v>3751</v>
      </c>
      <c r="B1088" s="101" t="s">
        <v>3752</v>
      </c>
      <c r="D1088" s="13"/>
      <c r="E1088" s="13"/>
      <c r="F1088" s="13"/>
      <c r="G1088" s="102">
        <v>1.0</v>
      </c>
      <c r="H1088" s="101" t="s">
        <v>2940</v>
      </c>
      <c r="I1088" s="102">
        <v>69.15</v>
      </c>
      <c r="J1088" s="102">
        <v>85.05</v>
      </c>
      <c r="K1088" s="101" t="s">
        <v>2941</v>
      </c>
      <c r="L1088" s="102">
        <v>23.0</v>
      </c>
      <c r="M1088" s="13"/>
    </row>
    <row r="1089">
      <c r="A1089" s="101" t="s">
        <v>3751</v>
      </c>
      <c r="B1089" s="101" t="s">
        <v>3752</v>
      </c>
      <c r="D1089" s="13"/>
      <c r="E1089" s="13"/>
      <c r="F1089" s="13"/>
      <c r="G1089" s="102">
        <v>2.0</v>
      </c>
      <c r="H1089" s="101" t="s">
        <v>2942</v>
      </c>
      <c r="I1089" s="102">
        <v>69.15</v>
      </c>
      <c r="J1089" s="102">
        <v>85.05</v>
      </c>
      <c r="K1089" s="101" t="s">
        <v>2941</v>
      </c>
      <c r="L1089" s="102">
        <v>23.0</v>
      </c>
      <c r="M1089" s="13"/>
    </row>
    <row r="1090">
      <c r="A1090" s="101" t="s">
        <v>3753</v>
      </c>
      <c r="B1090" s="101" t="s">
        <v>3754</v>
      </c>
      <c r="D1090" s="13"/>
      <c r="E1090" s="13"/>
      <c r="F1090" s="13"/>
      <c r="G1090" s="102">
        <v>1.0</v>
      </c>
      <c r="H1090" s="101" t="s">
        <v>2940</v>
      </c>
      <c r="I1090" s="102">
        <v>138.3</v>
      </c>
      <c r="J1090" s="102">
        <v>170.11</v>
      </c>
      <c r="K1090" s="101" t="s">
        <v>2941</v>
      </c>
      <c r="L1090" s="102">
        <v>23.0</v>
      </c>
      <c r="M1090" s="13"/>
    </row>
    <row r="1091">
      <c r="A1091" s="101" t="s">
        <v>3753</v>
      </c>
      <c r="B1091" s="101" t="s">
        <v>3754</v>
      </c>
      <c r="D1091" s="13"/>
      <c r="E1091" s="13"/>
      <c r="F1091" s="13"/>
      <c r="G1091" s="102">
        <v>2.0</v>
      </c>
      <c r="H1091" s="101" t="s">
        <v>2942</v>
      </c>
      <c r="I1091" s="102">
        <v>138.3</v>
      </c>
      <c r="J1091" s="102">
        <v>170.11</v>
      </c>
      <c r="K1091" s="101" t="s">
        <v>2941</v>
      </c>
      <c r="L1091" s="102">
        <v>23.0</v>
      </c>
      <c r="M1091" s="13"/>
    </row>
    <row r="1092">
      <c r="A1092" s="101" t="s">
        <v>3755</v>
      </c>
      <c r="B1092" s="101" t="s">
        <v>3756</v>
      </c>
      <c r="D1092" s="13"/>
      <c r="E1092" s="13"/>
      <c r="F1092" s="13"/>
      <c r="G1092" s="102">
        <v>1.0</v>
      </c>
      <c r="H1092" s="101" t="s">
        <v>2940</v>
      </c>
      <c r="I1092" s="102">
        <v>65.4</v>
      </c>
      <c r="J1092" s="102">
        <v>80.44</v>
      </c>
      <c r="K1092" s="101" t="s">
        <v>2941</v>
      </c>
      <c r="L1092" s="102">
        <v>23.0</v>
      </c>
      <c r="M1092" s="13"/>
    </row>
    <row r="1093">
      <c r="A1093" s="101" t="s">
        <v>3755</v>
      </c>
      <c r="B1093" s="101" t="s">
        <v>3756</v>
      </c>
      <c r="D1093" s="13"/>
      <c r="E1093" s="13"/>
      <c r="F1093" s="13"/>
      <c r="G1093" s="102">
        <v>2.0</v>
      </c>
      <c r="H1093" s="101" t="s">
        <v>2942</v>
      </c>
      <c r="I1093" s="102">
        <v>65.4</v>
      </c>
      <c r="J1093" s="102">
        <v>80.44</v>
      </c>
      <c r="K1093" s="101" t="s">
        <v>2941</v>
      </c>
      <c r="L1093" s="102">
        <v>23.0</v>
      </c>
      <c r="M1093" s="13"/>
    </row>
    <row r="1094">
      <c r="A1094" s="101" t="s">
        <v>3757</v>
      </c>
      <c r="B1094" s="101" t="s">
        <v>3758</v>
      </c>
      <c r="D1094" s="13"/>
      <c r="E1094" s="13"/>
      <c r="F1094" s="13"/>
      <c r="G1094" s="102">
        <v>1.0</v>
      </c>
      <c r="H1094" s="101" t="s">
        <v>2940</v>
      </c>
      <c r="I1094" s="102">
        <v>130.8</v>
      </c>
      <c r="J1094" s="102">
        <v>160.88</v>
      </c>
      <c r="K1094" s="101" t="s">
        <v>2941</v>
      </c>
      <c r="L1094" s="102">
        <v>23.0</v>
      </c>
      <c r="M1094" s="13"/>
    </row>
    <row r="1095">
      <c r="A1095" s="101" t="s">
        <v>3757</v>
      </c>
      <c r="B1095" s="101" t="s">
        <v>3758</v>
      </c>
      <c r="D1095" s="13"/>
      <c r="E1095" s="13"/>
      <c r="F1095" s="13"/>
      <c r="G1095" s="102">
        <v>2.0</v>
      </c>
      <c r="H1095" s="101" t="s">
        <v>2942</v>
      </c>
      <c r="I1095" s="102">
        <v>130.8</v>
      </c>
      <c r="J1095" s="102">
        <v>160.88</v>
      </c>
      <c r="K1095" s="101" t="s">
        <v>2941</v>
      </c>
      <c r="L1095" s="102">
        <v>23.0</v>
      </c>
      <c r="M1095" s="13"/>
    </row>
    <row r="1096">
      <c r="A1096" s="101" t="s">
        <v>3759</v>
      </c>
      <c r="B1096" s="101" t="s">
        <v>3760</v>
      </c>
      <c r="D1096" s="13"/>
      <c r="E1096" s="13"/>
      <c r="F1096" s="13"/>
      <c r="G1096" s="102">
        <v>1.0</v>
      </c>
      <c r="H1096" s="101" t="s">
        <v>2940</v>
      </c>
      <c r="I1096" s="102">
        <v>37.24</v>
      </c>
      <c r="J1096" s="102">
        <v>45.81</v>
      </c>
      <c r="K1096" s="101" t="s">
        <v>2941</v>
      </c>
      <c r="L1096" s="102">
        <v>23.0</v>
      </c>
      <c r="M1096" s="13"/>
    </row>
    <row r="1097">
      <c r="A1097" s="101" t="s">
        <v>3759</v>
      </c>
      <c r="B1097" s="101" t="s">
        <v>3760</v>
      </c>
      <c r="D1097" s="13"/>
      <c r="E1097" s="13"/>
      <c r="F1097" s="13"/>
      <c r="G1097" s="102">
        <v>2.0</v>
      </c>
      <c r="H1097" s="101" t="s">
        <v>2942</v>
      </c>
      <c r="I1097" s="102">
        <v>29.8</v>
      </c>
      <c r="J1097" s="102">
        <v>36.65</v>
      </c>
      <c r="K1097" s="101" t="s">
        <v>2941</v>
      </c>
      <c r="L1097" s="102">
        <v>23.0</v>
      </c>
      <c r="M1097" s="13"/>
    </row>
    <row r="1098">
      <c r="A1098" s="101" t="s">
        <v>3761</v>
      </c>
      <c r="B1098" s="101" t="s">
        <v>3762</v>
      </c>
      <c r="D1098" s="13"/>
      <c r="E1098" s="13"/>
      <c r="F1098" s="13"/>
      <c r="G1098" s="102">
        <v>1.0</v>
      </c>
      <c r="H1098" s="101" t="s">
        <v>2940</v>
      </c>
      <c r="I1098" s="102">
        <v>53.05</v>
      </c>
      <c r="J1098" s="102">
        <v>65.25</v>
      </c>
      <c r="K1098" s="101" t="s">
        <v>2941</v>
      </c>
      <c r="L1098" s="102">
        <v>23.0</v>
      </c>
      <c r="M1098" s="13"/>
    </row>
    <row r="1099">
      <c r="A1099" s="101" t="s">
        <v>3761</v>
      </c>
      <c r="B1099" s="101" t="s">
        <v>3762</v>
      </c>
      <c r="D1099" s="13"/>
      <c r="E1099" s="13"/>
      <c r="F1099" s="13"/>
      <c r="G1099" s="102">
        <v>2.0</v>
      </c>
      <c r="H1099" s="101" t="s">
        <v>2942</v>
      </c>
      <c r="I1099" s="102">
        <v>53.05</v>
      </c>
      <c r="J1099" s="102">
        <v>65.25</v>
      </c>
      <c r="K1099" s="101" t="s">
        <v>2941</v>
      </c>
      <c r="L1099" s="102">
        <v>23.0</v>
      </c>
      <c r="M1099" s="13"/>
    </row>
    <row r="1100">
      <c r="A1100" s="101" t="s">
        <v>3763</v>
      </c>
      <c r="B1100" s="101" t="s">
        <v>3764</v>
      </c>
      <c r="D1100" s="13"/>
      <c r="E1100" s="13"/>
      <c r="F1100" s="13"/>
      <c r="G1100" s="102">
        <v>1.0</v>
      </c>
      <c r="H1100" s="101" t="s">
        <v>2940</v>
      </c>
      <c r="I1100" s="102">
        <v>74.55</v>
      </c>
      <c r="J1100" s="102">
        <v>91.7</v>
      </c>
      <c r="K1100" s="101" t="s">
        <v>2941</v>
      </c>
      <c r="L1100" s="102">
        <v>23.0</v>
      </c>
      <c r="M1100" s="13"/>
    </row>
    <row r="1101">
      <c r="A1101" s="101" t="s">
        <v>3763</v>
      </c>
      <c r="B1101" s="101" t="s">
        <v>3764</v>
      </c>
      <c r="D1101" s="13"/>
      <c r="E1101" s="13"/>
      <c r="F1101" s="13"/>
      <c r="G1101" s="102">
        <v>2.0</v>
      </c>
      <c r="H1101" s="101" t="s">
        <v>2942</v>
      </c>
      <c r="I1101" s="102">
        <v>59.6</v>
      </c>
      <c r="J1101" s="102">
        <v>73.31</v>
      </c>
      <c r="K1101" s="101" t="s">
        <v>2941</v>
      </c>
      <c r="L1101" s="102">
        <v>23.0</v>
      </c>
      <c r="M1101" s="13"/>
    </row>
    <row r="1102">
      <c r="A1102" s="101" t="s">
        <v>3765</v>
      </c>
      <c r="B1102" s="101" t="s">
        <v>3766</v>
      </c>
      <c r="D1102" s="13"/>
      <c r="E1102" s="13"/>
      <c r="F1102" s="13"/>
      <c r="G1102" s="102">
        <v>1.0</v>
      </c>
      <c r="H1102" s="101" t="s">
        <v>2940</v>
      </c>
      <c r="I1102" s="102">
        <v>106.1</v>
      </c>
      <c r="J1102" s="102">
        <v>130.5</v>
      </c>
      <c r="K1102" s="101" t="s">
        <v>2941</v>
      </c>
      <c r="L1102" s="102">
        <v>23.0</v>
      </c>
      <c r="M1102" s="13"/>
    </row>
    <row r="1103">
      <c r="A1103" s="101" t="s">
        <v>3765</v>
      </c>
      <c r="B1103" s="101" t="s">
        <v>3766</v>
      </c>
      <c r="D1103" s="13"/>
      <c r="E1103" s="13"/>
      <c r="F1103" s="13"/>
      <c r="G1103" s="102">
        <v>2.0</v>
      </c>
      <c r="H1103" s="101" t="s">
        <v>2942</v>
      </c>
      <c r="I1103" s="102">
        <v>106.1</v>
      </c>
      <c r="J1103" s="102">
        <v>130.5</v>
      </c>
      <c r="K1103" s="101" t="s">
        <v>2941</v>
      </c>
      <c r="L1103" s="102">
        <v>23.0</v>
      </c>
      <c r="M1103" s="13"/>
    </row>
    <row r="1104">
      <c r="A1104" s="101" t="s">
        <v>3767</v>
      </c>
      <c r="B1104" s="101" t="s">
        <v>3768</v>
      </c>
      <c r="D1104" s="13"/>
      <c r="E1104" s="13"/>
      <c r="F1104" s="13"/>
      <c r="G1104" s="102">
        <v>1.0</v>
      </c>
      <c r="H1104" s="101" t="s">
        <v>2940</v>
      </c>
      <c r="I1104" s="102">
        <v>111.79</v>
      </c>
      <c r="J1104" s="102">
        <v>137.5</v>
      </c>
      <c r="K1104" s="101" t="s">
        <v>2941</v>
      </c>
      <c r="L1104" s="102">
        <v>23.0</v>
      </c>
      <c r="M1104" s="13"/>
    </row>
    <row r="1105">
      <c r="A1105" s="101" t="s">
        <v>3767</v>
      </c>
      <c r="B1105" s="101" t="s">
        <v>3768</v>
      </c>
      <c r="D1105" s="13"/>
      <c r="E1105" s="13"/>
      <c r="F1105" s="13"/>
      <c r="G1105" s="102">
        <v>2.0</v>
      </c>
      <c r="H1105" s="101" t="s">
        <v>2942</v>
      </c>
      <c r="I1105" s="102">
        <v>89.4</v>
      </c>
      <c r="J1105" s="102">
        <v>109.96</v>
      </c>
      <c r="K1105" s="101" t="s">
        <v>2941</v>
      </c>
      <c r="L1105" s="102">
        <v>23.0</v>
      </c>
      <c r="M1105" s="13"/>
    </row>
    <row r="1106">
      <c r="A1106" s="101" t="s">
        <v>3769</v>
      </c>
      <c r="B1106" s="101" t="s">
        <v>3770</v>
      </c>
      <c r="D1106" s="13"/>
      <c r="E1106" s="13"/>
      <c r="F1106" s="13"/>
      <c r="G1106" s="102">
        <v>1.0</v>
      </c>
      <c r="H1106" s="101" t="s">
        <v>2940</v>
      </c>
      <c r="I1106" s="102">
        <v>162.03</v>
      </c>
      <c r="J1106" s="102">
        <v>199.3</v>
      </c>
      <c r="K1106" s="101" t="s">
        <v>2941</v>
      </c>
      <c r="L1106" s="102">
        <v>23.0</v>
      </c>
      <c r="M1106" s="13"/>
    </row>
    <row r="1107">
      <c r="A1107" s="101" t="s">
        <v>3769</v>
      </c>
      <c r="B1107" s="101" t="s">
        <v>3770</v>
      </c>
      <c r="D1107" s="13"/>
      <c r="E1107" s="13"/>
      <c r="F1107" s="13"/>
      <c r="G1107" s="102">
        <v>2.0</v>
      </c>
      <c r="H1107" s="101" t="s">
        <v>2942</v>
      </c>
      <c r="I1107" s="102">
        <v>129.6</v>
      </c>
      <c r="J1107" s="102">
        <v>159.41</v>
      </c>
      <c r="K1107" s="101" t="s">
        <v>2941</v>
      </c>
      <c r="L1107" s="102">
        <v>23.0</v>
      </c>
      <c r="M1107" s="13"/>
    </row>
    <row r="1108">
      <c r="A1108" s="101" t="s">
        <v>3771</v>
      </c>
      <c r="B1108" s="101" t="s">
        <v>3772</v>
      </c>
      <c r="D1108" s="13"/>
      <c r="E1108" s="13"/>
      <c r="F1108" s="13"/>
      <c r="G1108" s="102">
        <v>1.0</v>
      </c>
      <c r="H1108" s="101" t="s">
        <v>2940</v>
      </c>
      <c r="I1108" s="102">
        <v>22.93</v>
      </c>
      <c r="J1108" s="102">
        <v>28.2</v>
      </c>
      <c r="K1108" s="101" t="s">
        <v>2941</v>
      </c>
      <c r="L1108" s="102">
        <v>23.0</v>
      </c>
      <c r="M1108" s="13"/>
    </row>
    <row r="1109">
      <c r="A1109" s="101" t="s">
        <v>3771</v>
      </c>
      <c r="B1109" s="101" t="s">
        <v>3772</v>
      </c>
      <c r="D1109" s="13"/>
      <c r="E1109" s="13"/>
      <c r="F1109" s="13"/>
      <c r="G1109" s="102">
        <v>2.0</v>
      </c>
      <c r="H1109" s="101" t="s">
        <v>2942</v>
      </c>
      <c r="I1109" s="102">
        <v>18.3</v>
      </c>
      <c r="J1109" s="102">
        <v>22.51</v>
      </c>
      <c r="K1109" s="101" t="s">
        <v>2941</v>
      </c>
      <c r="L1109" s="102">
        <v>23.0</v>
      </c>
      <c r="M1109" s="13"/>
    </row>
    <row r="1110">
      <c r="A1110" s="101" t="s">
        <v>3773</v>
      </c>
      <c r="B1110" s="101" t="s">
        <v>3774</v>
      </c>
      <c r="D1110" s="13"/>
      <c r="E1110" s="13"/>
      <c r="F1110" s="13"/>
      <c r="G1110" s="102">
        <v>1.0</v>
      </c>
      <c r="H1110" s="101" t="s">
        <v>2940</v>
      </c>
      <c r="I1110" s="102">
        <v>45.77</v>
      </c>
      <c r="J1110" s="102">
        <v>56.3</v>
      </c>
      <c r="K1110" s="101" t="s">
        <v>2941</v>
      </c>
      <c r="L1110" s="102">
        <v>23.0</v>
      </c>
      <c r="M1110" s="13"/>
    </row>
    <row r="1111">
      <c r="A1111" s="101" t="s">
        <v>3773</v>
      </c>
      <c r="B1111" s="101" t="s">
        <v>3774</v>
      </c>
      <c r="D1111" s="13"/>
      <c r="E1111" s="13"/>
      <c r="F1111" s="13"/>
      <c r="G1111" s="102">
        <v>2.0</v>
      </c>
      <c r="H1111" s="101" t="s">
        <v>2942</v>
      </c>
      <c r="I1111" s="102">
        <v>36.6</v>
      </c>
      <c r="J1111" s="102">
        <v>45.02</v>
      </c>
      <c r="K1111" s="101" t="s">
        <v>2941</v>
      </c>
      <c r="L1111" s="102">
        <v>23.0</v>
      </c>
      <c r="M1111" s="13"/>
    </row>
    <row r="1112">
      <c r="A1112" s="101" t="s">
        <v>3775</v>
      </c>
      <c r="B1112" s="101" t="s">
        <v>3776</v>
      </c>
      <c r="D1112" s="13"/>
      <c r="E1112" s="13"/>
      <c r="F1112" s="13"/>
      <c r="G1112" s="102">
        <v>1.0</v>
      </c>
      <c r="H1112" s="101" t="s">
        <v>2940</v>
      </c>
      <c r="I1112" s="102">
        <v>68.78</v>
      </c>
      <c r="J1112" s="102">
        <v>84.6</v>
      </c>
      <c r="K1112" s="101" t="s">
        <v>2941</v>
      </c>
      <c r="L1112" s="102">
        <v>23.0</v>
      </c>
      <c r="M1112" s="13"/>
    </row>
    <row r="1113">
      <c r="A1113" s="101" t="s">
        <v>3775</v>
      </c>
      <c r="B1113" s="101" t="s">
        <v>3776</v>
      </c>
      <c r="D1113" s="13"/>
      <c r="E1113" s="13"/>
      <c r="F1113" s="13"/>
      <c r="G1113" s="102">
        <v>2.0</v>
      </c>
      <c r="H1113" s="101" t="s">
        <v>2942</v>
      </c>
      <c r="I1113" s="102">
        <v>55.0</v>
      </c>
      <c r="J1113" s="102">
        <v>67.65</v>
      </c>
      <c r="K1113" s="101" t="s">
        <v>2941</v>
      </c>
      <c r="L1113" s="102">
        <v>23.0</v>
      </c>
      <c r="M1113" s="13"/>
    </row>
    <row r="1114">
      <c r="A1114" s="101" t="s">
        <v>3777</v>
      </c>
      <c r="B1114" s="101" t="s">
        <v>3778</v>
      </c>
      <c r="D1114" s="13"/>
      <c r="E1114" s="13"/>
      <c r="F1114" s="13"/>
      <c r="G1114" s="102">
        <v>1.0</v>
      </c>
      <c r="H1114" s="101" t="s">
        <v>2940</v>
      </c>
      <c r="I1114" s="102">
        <v>57.07</v>
      </c>
      <c r="J1114" s="102">
        <v>70.2</v>
      </c>
      <c r="K1114" s="101" t="s">
        <v>2941</v>
      </c>
      <c r="L1114" s="102">
        <v>23.0</v>
      </c>
      <c r="M1114" s="13"/>
    </row>
    <row r="1115">
      <c r="A1115" s="101" t="s">
        <v>3777</v>
      </c>
      <c r="B1115" s="101" t="s">
        <v>3778</v>
      </c>
      <c r="D1115" s="13"/>
      <c r="E1115" s="13"/>
      <c r="F1115" s="13"/>
      <c r="G1115" s="102">
        <v>2.0</v>
      </c>
      <c r="H1115" s="101" t="s">
        <v>2942</v>
      </c>
      <c r="I1115" s="102">
        <v>45.7</v>
      </c>
      <c r="J1115" s="102">
        <v>56.21</v>
      </c>
      <c r="K1115" s="101" t="s">
        <v>2941</v>
      </c>
      <c r="L1115" s="102">
        <v>23.0</v>
      </c>
      <c r="M1115" s="13"/>
    </row>
    <row r="1116">
      <c r="A1116" s="101" t="s">
        <v>3779</v>
      </c>
      <c r="B1116" s="101" t="s">
        <v>3780</v>
      </c>
      <c r="D1116" s="13"/>
      <c r="E1116" s="13"/>
      <c r="F1116" s="13"/>
      <c r="G1116" s="102">
        <v>1.0</v>
      </c>
      <c r="H1116" s="101" t="s">
        <v>2940</v>
      </c>
      <c r="I1116" s="102">
        <v>114.07</v>
      </c>
      <c r="J1116" s="102">
        <v>140.31</v>
      </c>
      <c r="K1116" s="101" t="s">
        <v>2941</v>
      </c>
      <c r="L1116" s="102">
        <v>23.0</v>
      </c>
      <c r="M1116" s="13"/>
    </row>
    <row r="1117">
      <c r="A1117" s="101" t="s">
        <v>3779</v>
      </c>
      <c r="B1117" s="101" t="s">
        <v>3780</v>
      </c>
      <c r="D1117" s="13"/>
      <c r="E1117" s="13"/>
      <c r="F1117" s="13"/>
      <c r="G1117" s="102">
        <v>2.0</v>
      </c>
      <c r="H1117" s="101" t="s">
        <v>2942</v>
      </c>
      <c r="I1117" s="102">
        <v>91.3</v>
      </c>
      <c r="J1117" s="102">
        <v>112.3</v>
      </c>
      <c r="K1117" s="101" t="s">
        <v>2941</v>
      </c>
      <c r="L1117" s="102">
        <v>23.0</v>
      </c>
      <c r="M1117" s="13"/>
    </row>
    <row r="1118">
      <c r="A1118" s="101" t="s">
        <v>3781</v>
      </c>
      <c r="B1118" s="101" t="s">
        <v>3782</v>
      </c>
      <c r="D1118" s="13"/>
      <c r="E1118" s="13"/>
      <c r="F1118" s="13"/>
      <c r="G1118" s="102">
        <v>1.0</v>
      </c>
      <c r="H1118" s="101" t="s">
        <v>2940</v>
      </c>
      <c r="I1118" s="102">
        <v>171.06</v>
      </c>
      <c r="J1118" s="102">
        <v>210.4</v>
      </c>
      <c r="K1118" s="101" t="s">
        <v>2941</v>
      </c>
      <c r="L1118" s="102">
        <v>23.0</v>
      </c>
      <c r="M1118" s="13"/>
    </row>
    <row r="1119">
      <c r="A1119" s="101" t="s">
        <v>3781</v>
      </c>
      <c r="B1119" s="101" t="s">
        <v>3782</v>
      </c>
      <c r="D1119" s="13"/>
      <c r="E1119" s="13"/>
      <c r="F1119" s="13"/>
      <c r="G1119" s="102">
        <v>2.0</v>
      </c>
      <c r="H1119" s="101" t="s">
        <v>2942</v>
      </c>
      <c r="I1119" s="102">
        <v>136.8</v>
      </c>
      <c r="J1119" s="102">
        <v>168.26</v>
      </c>
      <c r="K1119" s="101" t="s">
        <v>2941</v>
      </c>
      <c r="L1119" s="102">
        <v>23.0</v>
      </c>
      <c r="M1119" s="13"/>
    </row>
    <row r="1120">
      <c r="A1120" s="101" t="s">
        <v>3783</v>
      </c>
      <c r="B1120" s="101" t="s">
        <v>3784</v>
      </c>
      <c r="D1120" s="13"/>
      <c r="E1120" s="13"/>
      <c r="F1120" s="13"/>
      <c r="G1120" s="102">
        <v>1.0</v>
      </c>
      <c r="H1120" s="101" t="s">
        <v>2940</v>
      </c>
      <c r="I1120" s="102">
        <v>35.45</v>
      </c>
      <c r="J1120" s="102">
        <v>43.6</v>
      </c>
      <c r="K1120" s="101" t="s">
        <v>2941</v>
      </c>
      <c r="L1120" s="102">
        <v>23.0</v>
      </c>
      <c r="M1120" s="13"/>
    </row>
    <row r="1121">
      <c r="A1121" s="101" t="s">
        <v>3783</v>
      </c>
      <c r="B1121" s="101" t="s">
        <v>3784</v>
      </c>
      <c r="D1121" s="13"/>
      <c r="E1121" s="13"/>
      <c r="F1121" s="13"/>
      <c r="G1121" s="102">
        <v>2.0</v>
      </c>
      <c r="H1121" s="101" t="s">
        <v>2942</v>
      </c>
      <c r="I1121" s="102">
        <v>28.4</v>
      </c>
      <c r="J1121" s="102">
        <v>34.93</v>
      </c>
      <c r="K1121" s="101" t="s">
        <v>2941</v>
      </c>
      <c r="L1121" s="102">
        <v>23.0</v>
      </c>
      <c r="M1121" s="13"/>
    </row>
    <row r="1122">
      <c r="A1122" s="101" t="s">
        <v>3785</v>
      </c>
      <c r="B1122" s="101" t="s">
        <v>3786</v>
      </c>
      <c r="D1122" s="13"/>
      <c r="E1122" s="13"/>
      <c r="F1122" s="13"/>
      <c r="G1122" s="102">
        <v>1.0</v>
      </c>
      <c r="H1122" s="101" t="s">
        <v>2940</v>
      </c>
      <c r="I1122" s="102">
        <v>70.81</v>
      </c>
      <c r="J1122" s="102">
        <v>87.1</v>
      </c>
      <c r="K1122" s="101" t="s">
        <v>2941</v>
      </c>
      <c r="L1122" s="102">
        <v>23.0</v>
      </c>
      <c r="M1122" s="13"/>
    </row>
    <row r="1123">
      <c r="A1123" s="101" t="s">
        <v>3785</v>
      </c>
      <c r="B1123" s="101" t="s">
        <v>3786</v>
      </c>
      <c r="D1123" s="13"/>
      <c r="E1123" s="13"/>
      <c r="F1123" s="13"/>
      <c r="G1123" s="102">
        <v>2.0</v>
      </c>
      <c r="H1123" s="101" t="s">
        <v>2942</v>
      </c>
      <c r="I1123" s="102">
        <v>56.7</v>
      </c>
      <c r="J1123" s="102">
        <v>69.74</v>
      </c>
      <c r="K1123" s="101" t="s">
        <v>2941</v>
      </c>
      <c r="L1123" s="102">
        <v>23.0</v>
      </c>
      <c r="M1123" s="13"/>
    </row>
    <row r="1124">
      <c r="A1124" s="101" t="s">
        <v>3787</v>
      </c>
      <c r="B1124" s="101" t="s">
        <v>3788</v>
      </c>
      <c r="D1124" s="13"/>
      <c r="E1124" s="13"/>
      <c r="F1124" s="13"/>
      <c r="G1124" s="102">
        <v>1.0</v>
      </c>
      <c r="H1124" s="101" t="s">
        <v>2940</v>
      </c>
      <c r="I1124" s="102">
        <v>106.26</v>
      </c>
      <c r="J1124" s="102">
        <v>130.7</v>
      </c>
      <c r="K1124" s="101" t="s">
        <v>2941</v>
      </c>
      <c r="L1124" s="102">
        <v>23.0</v>
      </c>
      <c r="M1124" s="13"/>
    </row>
    <row r="1125">
      <c r="A1125" s="101" t="s">
        <v>3787</v>
      </c>
      <c r="B1125" s="101" t="s">
        <v>3788</v>
      </c>
      <c r="D1125" s="13"/>
      <c r="E1125" s="13"/>
      <c r="F1125" s="13"/>
      <c r="G1125" s="102">
        <v>2.0</v>
      </c>
      <c r="H1125" s="101" t="s">
        <v>2942</v>
      </c>
      <c r="I1125" s="102">
        <v>85.0</v>
      </c>
      <c r="J1125" s="102">
        <v>104.55</v>
      </c>
      <c r="K1125" s="101" t="s">
        <v>2941</v>
      </c>
      <c r="L1125" s="102">
        <v>23.0</v>
      </c>
      <c r="M1125" s="13"/>
    </row>
    <row r="1126">
      <c r="A1126" s="101" t="s">
        <v>3789</v>
      </c>
      <c r="B1126" s="101" t="s">
        <v>3790</v>
      </c>
      <c r="D1126" s="13"/>
      <c r="E1126" s="13"/>
      <c r="F1126" s="13"/>
      <c r="G1126" s="102">
        <v>1.0</v>
      </c>
      <c r="H1126" s="101" t="s">
        <v>2940</v>
      </c>
      <c r="I1126" s="102">
        <v>33.01</v>
      </c>
      <c r="J1126" s="102">
        <v>40.6</v>
      </c>
      <c r="K1126" s="101" t="s">
        <v>2941</v>
      </c>
      <c r="L1126" s="102">
        <v>23.0</v>
      </c>
      <c r="M1126" s="13"/>
    </row>
    <row r="1127">
      <c r="A1127" s="101" t="s">
        <v>3789</v>
      </c>
      <c r="B1127" s="101" t="s">
        <v>3790</v>
      </c>
      <c r="D1127" s="13"/>
      <c r="E1127" s="13"/>
      <c r="F1127" s="13"/>
      <c r="G1127" s="102">
        <v>2.0</v>
      </c>
      <c r="H1127" s="101" t="s">
        <v>2942</v>
      </c>
      <c r="I1127" s="102">
        <v>26.4</v>
      </c>
      <c r="J1127" s="102">
        <v>32.47</v>
      </c>
      <c r="K1127" s="101" t="s">
        <v>2941</v>
      </c>
      <c r="L1127" s="102">
        <v>23.0</v>
      </c>
      <c r="M1127" s="13"/>
    </row>
    <row r="1128">
      <c r="A1128" s="101" t="s">
        <v>3791</v>
      </c>
      <c r="B1128" s="101" t="s">
        <v>3792</v>
      </c>
      <c r="D1128" s="13"/>
      <c r="E1128" s="13"/>
      <c r="F1128" s="13"/>
      <c r="G1128" s="102">
        <v>1.0</v>
      </c>
      <c r="H1128" s="101" t="s">
        <v>2940</v>
      </c>
      <c r="I1128" s="102">
        <v>49.4</v>
      </c>
      <c r="J1128" s="102">
        <v>60.76</v>
      </c>
      <c r="K1128" s="101" t="s">
        <v>2941</v>
      </c>
      <c r="L1128" s="102">
        <v>23.0</v>
      </c>
      <c r="M1128" s="13"/>
    </row>
    <row r="1129">
      <c r="A1129" s="101" t="s">
        <v>3791</v>
      </c>
      <c r="B1129" s="101" t="s">
        <v>3792</v>
      </c>
      <c r="D1129" s="13"/>
      <c r="E1129" s="13"/>
      <c r="F1129" s="13"/>
      <c r="G1129" s="102">
        <v>2.0</v>
      </c>
      <c r="H1129" s="101" t="s">
        <v>2942</v>
      </c>
      <c r="I1129" s="102">
        <v>49.4</v>
      </c>
      <c r="J1129" s="102">
        <v>60.76</v>
      </c>
      <c r="K1129" s="101" t="s">
        <v>2941</v>
      </c>
      <c r="L1129" s="102">
        <v>23.0</v>
      </c>
      <c r="M1129" s="13"/>
    </row>
    <row r="1130">
      <c r="A1130" s="101" t="s">
        <v>3793</v>
      </c>
      <c r="B1130" s="101" t="s">
        <v>3794</v>
      </c>
      <c r="D1130" s="13"/>
      <c r="E1130" s="13"/>
      <c r="F1130" s="13"/>
      <c r="G1130" s="102">
        <v>1.0</v>
      </c>
      <c r="H1130" s="101" t="s">
        <v>2940</v>
      </c>
      <c r="I1130" s="102">
        <v>66.18</v>
      </c>
      <c r="J1130" s="102">
        <v>81.4</v>
      </c>
      <c r="K1130" s="101" t="s">
        <v>2941</v>
      </c>
      <c r="L1130" s="102">
        <v>23.0</v>
      </c>
      <c r="M1130" s="13"/>
    </row>
    <row r="1131">
      <c r="A1131" s="101" t="s">
        <v>3793</v>
      </c>
      <c r="B1131" s="101" t="s">
        <v>3794</v>
      </c>
      <c r="D1131" s="13"/>
      <c r="E1131" s="13"/>
      <c r="F1131" s="13"/>
      <c r="G1131" s="102">
        <v>2.0</v>
      </c>
      <c r="H1131" s="101" t="s">
        <v>2942</v>
      </c>
      <c r="I1131" s="102">
        <v>52.9</v>
      </c>
      <c r="J1131" s="102">
        <v>65.07</v>
      </c>
      <c r="K1131" s="101" t="s">
        <v>2941</v>
      </c>
      <c r="L1131" s="102">
        <v>23.0</v>
      </c>
      <c r="M1131" s="13"/>
    </row>
    <row r="1132">
      <c r="A1132" s="101" t="s">
        <v>3795</v>
      </c>
      <c r="B1132" s="101" t="s">
        <v>3796</v>
      </c>
      <c r="D1132" s="13"/>
      <c r="E1132" s="13"/>
      <c r="F1132" s="13"/>
      <c r="G1132" s="102">
        <v>1.0</v>
      </c>
      <c r="H1132" s="101" t="s">
        <v>2940</v>
      </c>
      <c r="I1132" s="102">
        <v>98.8</v>
      </c>
      <c r="J1132" s="102">
        <v>121.52</v>
      </c>
      <c r="K1132" s="101" t="s">
        <v>2941</v>
      </c>
      <c r="L1132" s="102">
        <v>23.0</v>
      </c>
      <c r="M1132" s="13"/>
    </row>
    <row r="1133">
      <c r="A1133" s="101" t="s">
        <v>3795</v>
      </c>
      <c r="B1133" s="101" t="s">
        <v>3796</v>
      </c>
      <c r="D1133" s="13"/>
      <c r="E1133" s="13"/>
      <c r="F1133" s="13"/>
      <c r="G1133" s="102">
        <v>2.0</v>
      </c>
      <c r="H1133" s="101" t="s">
        <v>2942</v>
      </c>
      <c r="I1133" s="102">
        <v>98.8</v>
      </c>
      <c r="J1133" s="102">
        <v>121.52</v>
      </c>
      <c r="K1133" s="101" t="s">
        <v>2941</v>
      </c>
      <c r="L1133" s="102">
        <v>23.0</v>
      </c>
      <c r="M1133" s="13"/>
    </row>
    <row r="1134">
      <c r="A1134" s="101" t="s">
        <v>3797</v>
      </c>
      <c r="B1134" s="101" t="s">
        <v>3798</v>
      </c>
      <c r="D1134" s="13"/>
      <c r="E1134" s="13"/>
      <c r="F1134" s="13"/>
      <c r="G1134" s="102">
        <v>1.0</v>
      </c>
      <c r="H1134" s="101" t="s">
        <v>2940</v>
      </c>
      <c r="I1134" s="102">
        <v>99.19</v>
      </c>
      <c r="J1134" s="102">
        <v>122.0</v>
      </c>
      <c r="K1134" s="101" t="s">
        <v>2941</v>
      </c>
      <c r="L1134" s="102">
        <v>23.0</v>
      </c>
      <c r="M1134" s="13"/>
    </row>
    <row r="1135">
      <c r="A1135" s="101" t="s">
        <v>3797</v>
      </c>
      <c r="B1135" s="101" t="s">
        <v>3798</v>
      </c>
      <c r="D1135" s="13"/>
      <c r="E1135" s="13"/>
      <c r="F1135" s="13"/>
      <c r="G1135" s="102">
        <v>2.0</v>
      </c>
      <c r="H1135" s="101" t="s">
        <v>2942</v>
      </c>
      <c r="I1135" s="102">
        <v>79.3</v>
      </c>
      <c r="J1135" s="102">
        <v>97.54</v>
      </c>
      <c r="K1135" s="101" t="s">
        <v>2941</v>
      </c>
      <c r="L1135" s="102">
        <v>23.0</v>
      </c>
      <c r="M1135" s="13"/>
    </row>
    <row r="1136">
      <c r="A1136" s="101" t="s">
        <v>3799</v>
      </c>
      <c r="B1136" s="101" t="s">
        <v>3800</v>
      </c>
      <c r="D1136" s="13"/>
      <c r="E1136" s="13"/>
      <c r="F1136" s="13"/>
      <c r="G1136" s="102">
        <v>1.0</v>
      </c>
      <c r="H1136" s="101" t="s">
        <v>2940</v>
      </c>
      <c r="I1136" s="102">
        <v>148.2</v>
      </c>
      <c r="J1136" s="102">
        <v>182.29</v>
      </c>
      <c r="K1136" s="101" t="s">
        <v>2941</v>
      </c>
      <c r="L1136" s="102">
        <v>23.0</v>
      </c>
      <c r="M1136" s="13"/>
    </row>
    <row r="1137">
      <c r="A1137" s="101" t="s">
        <v>3799</v>
      </c>
      <c r="B1137" s="101" t="s">
        <v>3800</v>
      </c>
      <c r="D1137" s="13"/>
      <c r="E1137" s="13"/>
      <c r="F1137" s="13"/>
      <c r="G1137" s="102">
        <v>2.0</v>
      </c>
      <c r="H1137" s="101" t="s">
        <v>2942</v>
      </c>
      <c r="I1137" s="102">
        <v>148.2</v>
      </c>
      <c r="J1137" s="102">
        <v>182.29</v>
      </c>
      <c r="K1137" s="101" t="s">
        <v>2941</v>
      </c>
      <c r="L1137" s="102">
        <v>23.0</v>
      </c>
      <c r="M1137" s="13"/>
    </row>
    <row r="1138">
      <c r="A1138" s="101" t="s">
        <v>3801</v>
      </c>
      <c r="B1138" s="101" t="s">
        <v>3802</v>
      </c>
      <c r="D1138" s="13"/>
      <c r="E1138" s="13"/>
      <c r="F1138" s="13"/>
      <c r="G1138" s="102">
        <v>1.0</v>
      </c>
      <c r="H1138" s="101" t="s">
        <v>2940</v>
      </c>
      <c r="I1138" s="102">
        <v>48.54</v>
      </c>
      <c r="J1138" s="102">
        <v>59.7</v>
      </c>
      <c r="K1138" s="101" t="s">
        <v>2941</v>
      </c>
      <c r="L1138" s="102">
        <v>23.0</v>
      </c>
      <c r="M1138" s="13"/>
    </row>
    <row r="1139">
      <c r="A1139" s="101" t="s">
        <v>3801</v>
      </c>
      <c r="B1139" s="101" t="s">
        <v>3802</v>
      </c>
      <c r="D1139" s="13"/>
      <c r="E1139" s="13"/>
      <c r="F1139" s="13"/>
      <c r="G1139" s="102">
        <v>2.0</v>
      </c>
      <c r="H1139" s="101" t="s">
        <v>2942</v>
      </c>
      <c r="I1139" s="102">
        <v>38.8</v>
      </c>
      <c r="J1139" s="102">
        <v>47.72</v>
      </c>
      <c r="K1139" s="101" t="s">
        <v>2941</v>
      </c>
      <c r="L1139" s="102">
        <v>23.0</v>
      </c>
      <c r="M1139" s="13"/>
    </row>
    <row r="1140">
      <c r="A1140" s="101" t="s">
        <v>3803</v>
      </c>
      <c r="B1140" s="101" t="s">
        <v>3804</v>
      </c>
      <c r="D1140" s="13"/>
      <c r="E1140" s="13"/>
      <c r="F1140" s="13"/>
      <c r="G1140" s="102">
        <v>1.0</v>
      </c>
      <c r="H1140" s="101" t="s">
        <v>2940</v>
      </c>
      <c r="I1140" s="102">
        <v>96.99</v>
      </c>
      <c r="J1140" s="102">
        <v>119.3</v>
      </c>
      <c r="K1140" s="101" t="s">
        <v>2941</v>
      </c>
      <c r="L1140" s="102">
        <v>23.0</v>
      </c>
      <c r="M1140" s="13"/>
    </row>
    <row r="1141">
      <c r="A1141" s="101" t="s">
        <v>3803</v>
      </c>
      <c r="B1141" s="101" t="s">
        <v>3804</v>
      </c>
      <c r="D1141" s="13"/>
      <c r="E1141" s="13"/>
      <c r="F1141" s="13"/>
      <c r="G1141" s="102">
        <v>2.0</v>
      </c>
      <c r="H1141" s="101" t="s">
        <v>2942</v>
      </c>
      <c r="I1141" s="102">
        <v>77.6</v>
      </c>
      <c r="J1141" s="102">
        <v>95.45</v>
      </c>
      <c r="K1141" s="101" t="s">
        <v>2941</v>
      </c>
      <c r="L1141" s="102">
        <v>23.0</v>
      </c>
      <c r="M1141" s="13"/>
    </row>
    <row r="1142">
      <c r="A1142" s="101" t="s">
        <v>3805</v>
      </c>
      <c r="B1142" s="101" t="s">
        <v>3806</v>
      </c>
      <c r="D1142" s="13"/>
      <c r="E1142" s="13"/>
      <c r="F1142" s="13"/>
      <c r="G1142" s="102">
        <v>1.0</v>
      </c>
      <c r="H1142" s="101" t="s">
        <v>2940</v>
      </c>
      <c r="I1142" s="102">
        <v>145.61</v>
      </c>
      <c r="J1142" s="102">
        <v>179.1</v>
      </c>
      <c r="K1142" s="101" t="s">
        <v>2941</v>
      </c>
      <c r="L1142" s="102">
        <v>23.0</v>
      </c>
      <c r="M1142" s="13"/>
    </row>
    <row r="1143">
      <c r="A1143" s="101" t="s">
        <v>3805</v>
      </c>
      <c r="B1143" s="101" t="s">
        <v>3806</v>
      </c>
      <c r="D1143" s="13"/>
      <c r="E1143" s="13"/>
      <c r="F1143" s="13"/>
      <c r="G1143" s="102">
        <v>2.0</v>
      </c>
      <c r="H1143" s="101" t="s">
        <v>2942</v>
      </c>
      <c r="I1143" s="102">
        <v>116.5</v>
      </c>
      <c r="J1143" s="102">
        <v>143.3</v>
      </c>
      <c r="K1143" s="101" t="s">
        <v>2941</v>
      </c>
      <c r="L1143" s="102">
        <v>23.0</v>
      </c>
      <c r="M1143" s="13"/>
    </row>
    <row r="1144">
      <c r="A1144" s="101" t="s">
        <v>3807</v>
      </c>
      <c r="B1144" s="101" t="s">
        <v>3808</v>
      </c>
      <c r="D1144" s="13"/>
      <c r="E1144" s="13"/>
      <c r="F1144" s="13"/>
      <c r="G1144" s="102">
        <v>1.0</v>
      </c>
      <c r="H1144" s="101" t="s">
        <v>2940</v>
      </c>
      <c r="I1144" s="102">
        <v>38.54</v>
      </c>
      <c r="J1144" s="102">
        <v>47.4</v>
      </c>
      <c r="K1144" s="101" t="s">
        <v>2941</v>
      </c>
      <c r="L1144" s="102">
        <v>23.0</v>
      </c>
      <c r="M1144" s="13"/>
    </row>
    <row r="1145">
      <c r="A1145" s="101" t="s">
        <v>3807</v>
      </c>
      <c r="B1145" s="101" t="s">
        <v>3808</v>
      </c>
      <c r="D1145" s="13"/>
      <c r="E1145" s="13"/>
      <c r="F1145" s="13"/>
      <c r="G1145" s="102">
        <v>2.0</v>
      </c>
      <c r="H1145" s="101" t="s">
        <v>2942</v>
      </c>
      <c r="I1145" s="102">
        <v>30.8</v>
      </c>
      <c r="J1145" s="102">
        <v>37.88</v>
      </c>
      <c r="K1145" s="101" t="s">
        <v>2941</v>
      </c>
      <c r="L1145" s="102">
        <v>23.0</v>
      </c>
      <c r="M1145" s="13"/>
    </row>
    <row r="1146">
      <c r="A1146" s="101" t="s">
        <v>3809</v>
      </c>
      <c r="B1146" s="101" t="s">
        <v>3810</v>
      </c>
      <c r="D1146" s="13"/>
      <c r="E1146" s="13"/>
      <c r="F1146" s="13"/>
      <c r="G1146" s="102">
        <v>1.0</v>
      </c>
      <c r="H1146" s="101" t="s">
        <v>2940</v>
      </c>
      <c r="I1146" s="102">
        <v>77.07</v>
      </c>
      <c r="J1146" s="102">
        <v>94.8</v>
      </c>
      <c r="K1146" s="101" t="s">
        <v>2941</v>
      </c>
      <c r="L1146" s="102">
        <v>23.0</v>
      </c>
      <c r="M1146" s="13"/>
    </row>
    <row r="1147">
      <c r="A1147" s="101" t="s">
        <v>3809</v>
      </c>
      <c r="B1147" s="101" t="s">
        <v>3810</v>
      </c>
      <c r="D1147" s="13"/>
      <c r="E1147" s="13"/>
      <c r="F1147" s="13"/>
      <c r="G1147" s="102">
        <v>2.0</v>
      </c>
      <c r="H1147" s="101" t="s">
        <v>2942</v>
      </c>
      <c r="I1147" s="102">
        <v>61.7</v>
      </c>
      <c r="J1147" s="102">
        <v>75.89</v>
      </c>
      <c r="K1147" s="101" t="s">
        <v>2941</v>
      </c>
      <c r="L1147" s="102">
        <v>23.0</v>
      </c>
      <c r="M1147" s="13"/>
    </row>
    <row r="1148">
      <c r="A1148" s="101" t="s">
        <v>3811</v>
      </c>
      <c r="B1148" s="101" t="s">
        <v>3812</v>
      </c>
      <c r="D1148" s="13"/>
      <c r="E1148" s="13"/>
      <c r="F1148" s="13"/>
      <c r="G1148" s="102">
        <v>1.0</v>
      </c>
      <c r="H1148" s="101" t="s">
        <v>2940</v>
      </c>
      <c r="I1148" s="102">
        <v>115.45</v>
      </c>
      <c r="J1148" s="102">
        <v>142.0</v>
      </c>
      <c r="K1148" s="101" t="s">
        <v>2941</v>
      </c>
      <c r="L1148" s="102">
        <v>23.0</v>
      </c>
      <c r="M1148" s="13"/>
    </row>
    <row r="1149">
      <c r="A1149" s="101" t="s">
        <v>3811</v>
      </c>
      <c r="B1149" s="101" t="s">
        <v>3812</v>
      </c>
      <c r="D1149" s="13"/>
      <c r="E1149" s="13"/>
      <c r="F1149" s="13"/>
      <c r="G1149" s="102">
        <v>2.0</v>
      </c>
      <c r="H1149" s="101" t="s">
        <v>2942</v>
      </c>
      <c r="I1149" s="102">
        <v>92.4</v>
      </c>
      <c r="J1149" s="102">
        <v>113.65</v>
      </c>
      <c r="K1149" s="101" t="s">
        <v>2941</v>
      </c>
      <c r="L1149" s="102">
        <v>23.0</v>
      </c>
      <c r="M1149" s="13"/>
    </row>
    <row r="1150">
      <c r="A1150" s="101" t="s">
        <v>3813</v>
      </c>
      <c r="B1150" s="101" t="s">
        <v>3814</v>
      </c>
      <c r="D1150" s="13"/>
      <c r="E1150" s="13"/>
      <c r="F1150" s="13"/>
      <c r="G1150" s="102">
        <v>1.0</v>
      </c>
      <c r="H1150" s="101" t="s">
        <v>2940</v>
      </c>
      <c r="I1150" s="102">
        <v>73.25</v>
      </c>
      <c r="J1150" s="102">
        <v>90.1</v>
      </c>
      <c r="K1150" s="101" t="s">
        <v>2941</v>
      </c>
      <c r="L1150" s="102">
        <v>23.0</v>
      </c>
      <c r="M1150" s="13"/>
    </row>
    <row r="1151">
      <c r="A1151" s="101" t="s">
        <v>3813</v>
      </c>
      <c r="B1151" s="101" t="s">
        <v>3814</v>
      </c>
      <c r="D1151" s="13"/>
      <c r="E1151" s="13"/>
      <c r="F1151" s="13"/>
      <c r="G1151" s="102">
        <v>2.0</v>
      </c>
      <c r="H1151" s="101" t="s">
        <v>2942</v>
      </c>
      <c r="I1151" s="102">
        <v>58.6</v>
      </c>
      <c r="J1151" s="102">
        <v>72.08</v>
      </c>
      <c r="K1151" s="101" t="s">
        <v>2941</v>
      </c>
      <c r="L1151" s="102">
        <v>23.0</v>
      </c>
      <c r="M1151" s="13"/>
    </row>
    <row r="1152">
      <c r="A1152" s="101" t="s">
        <v>3815</v>
      </c>
      <c r="B1152" s="101" t="s">
        <v>3816</v>
      </c>
      <c r="D1152" s="13"/>
      <c r="E1152" s="13"/>
      <c r="F1152" s="13"/>
      <c r="G1152" s="102">
        <v>1.0</v>
      </c>
      <c r="H1152" s="101" t="s">
        <v>2940</v>
      </c>
      <c r="I1152" s="102">
        <v>146.5</v>
      </c>
      <c r="J1152" s="102">
        <v>180.2</v>
      </c>
      <c r="K1152" s="101" t="s">
        <v>2941</v>
      </c>
      <c r="L1152" s="102">
        <v>23.0</v>
      </c>
      <c r="M1152" s="13"/>
    </row>
    <row r="1153">
      <c r="A1153" s="101" t="s">
        <v>3815</v>
      </c>
      <c r="B1153" s="101" t="s">
        <v>3816</v>
      </c>
      <c r="D1153" s="13"/>
      <c r="E1153" s="13"/>
      <c r="F1153" s="13"/>
      <c r="G1153" s="102">
        <v>2.0</v>
      </c>
      <c r="H1153" s="101" t="s">
        <v>2942</v>
      </c>
      <c r="I1153" s="102">
        <v>117.2</v>
      </c>
      <c r="J1153" s="102">
        <v>144.16</v>
      </c>
      <c r="K1153" s="101" t="s">
        <v>2941</v>
      </c>
      <c r="L1153" s="102">
        <v>23.0</v>
      </c>
      <c r="M1153" s="13"/>
    </row>
    <row r="1154">
      <c r="A1154" s="101" t="s">
        <v>3817</v>
      </c>
      <c r="B1154" s="101" t="s">
        <v>3818</v>
      </c>
      <c r="D1154" s="13"/>
      <c r="E1154" s="13"/>
      <c r="F1154" s="13"/>
      <c r="G1154" s="102">
        <v>1.0</v>
      </c>
      <c r="H1154" s="101" t="s">
        <v>2940</v>
      </c>
      <c r="I1154" s="102">
        <v>219.76</v>
      </c>
      <c r="J1154" s="102">
        <v>270.3</v>
      </c>
      <c r="K1154" s="101" t="s">
        <v>2941</v>
      </c>
      <c r="L1154" s="102">
        <v>23.0</v>
      </c>
      <c r="M1154" s="13"/>
    </row>
    <row r="1155">
      <c r="A1155" s="101" t="s">
        <v>3817</v>
      </c>
      <c r="B1155" s="101" t="s">
        <v>3818</v>
      </c>
      <c r="D1155" s="13"/>
      <c r="E1155" s="13"/>
      <c r="F1155" s="13"/>
      <c r="G1155" s="102">
        <v>2.0</v>
      </c>
      <c r="H1155" s="101" t="s">
        <v>2942</v>
      </c>
      <c r="I1155" s="102">
        <v>175.8</v>
      </c>
      <c r="J1155" s="102">
        <v>216.23</v>
      </c>
      <c r="K1155" s="101" t="s">
        <v>2941</v>
      </c>
      <c r="L1155" s="102">
        <v>23.0</v>
      </c>
      <c r="M1155" s="13"/>
    </row>
    <row r="1156">
      <c r="A1156" s="101" t="s">
        <v>3819</v>
      </c>
      <c r="B1156" s="101" t="s">
        <v>3820</v>
      </c>
      <c r="D1156" s="13"/>
      <c r="E1156" s="13"/>
      <c r="F1156" s="13"/>
      <c r="G1156" s="102">
        <v>1.0</v>
      </c>
      <c r="H1156" s="101" t="s">
        <v>2940</v>
      </c>
      <c r="I1156" s="102">
        <v>48.21</v>
      </c>
      <c r="J1156" s="102">
        <v>59.3</v>
      </c>
      <c r="K1156" s="101" t="s">
        <v>2941</v>
      </c>
      <c r="L1156" s="102">
        <v>23.0</v>
      </c>
      <c r="M1156" s="13"/>
    </row>
    <row r="1157">
      <c r="A1157" s="101" t="s">
        <v>3819</v>
      </c>
      <c r="B1157" s="101" t="s">
        <v>3820</v>
      </c>
      <c r="D1157" s="13"/>
      <c r="E1157" s="13"/>
      <c r="F1157" s="13"/>
      <c r="G1157" s="102">
        <v>2.0</v>
      </c>
      <c r="H1157" s="101" t="s">
        <v>2942</v>
      </c>
      <c r="I1157" s="102">
        <v>38.6</v>
      </c>
      <c r="J1157" s="102">
        <v>47.48</v>
      </c>
      <c r="K1157" s="101" t="s">
        <v>2941</v>
      </c>
      <c r="L1157" s="102">
        <v>23.0</v>
      </c>
      <c r="M1157" s="13"/>
    </row>
    <row r="1158">
      <c r="A1158" s="101" t="s">
        <v>3821</v>
      </c>
      <c r="B1158" s="101" t="s">
        <v>3822</v>
      </c>
      <c r="D1158" s="13"/>
      <c r="E1158" s="13"/>
      <c r="F1158" s="13"/>
      <c r="G1158" s="102">
        <v>1.0</v>
      </c>
      <c r="H1158" s="101" t="s">
        <v>2940</v>
      </c>
      <c r="I1158" s="102">
        <v>96.5</v>
      </c>
      <c r="J1158" s="102">
        <v>118.7</v>
      </c>
      <c r="K1158" s="101" t="s">
        <v>2941</v>
      </c>
      <c r="L1158" s="102">
        <v>23.0</v>
      </c>
      <c r="M1158" s="13"/>
    </row>
    <row r="1159">
      <c r="A1159" s="101" t="s">
        <v>3821</v>
      </c>
      <c r="B1159" s="101" t="s">
        <v>3822</v>
      </c>
      <c r="D1159" s="13"/>
      <c r="E1159" s="13"/>
      <c r="F1159" s="13"/>
      <c r="G1159" s="102">
        <v>2.0</v>
      </c>
      <c r="H1159" s="101" t="s">
        <v>2942</v>
      </c>
      <c r="I1159" s="102">
        <v>77.2</v>
      </c>
      <c r="J1159" s="102">
        <v>94.96</v>
      </c>
      <c r="K1159" s="101" t="s">
        <v>2941</v>
      </c>
      <c r="L1159" s="102">
        <v>23.0</v>
      </c>
      <c r="M1159" s="13"/>
    </row>
    <row r="1160">
      <c r="A1160" s="101" t="s">
        <v>3823</v>
      </c>
      <c r="B1160" s="101" t="s">
        <v>3824</v>
      </c>
      <c r="D1160" s="13"/>
      <c r="E1160" s="13"/>
      <c r="F1160" s="13"/>
      <c r="G1160" s="102">
        <v>1.0</v>
      </c>
      <c r="H1160" s="101" t="s">
        <v>2940</v>
      </c>
      <c r="I1160" s="102">
        <v>144.72</v>
      </c>
      <c r="J1160" s="102">
        <v>178.01</v>
      </c>
      <c r="K1160" s="101" t="s">
        <v>2941</v>
      </c>
      <c r="L1160" s="102">
        <v>23.0</v>
      </c>
      <c r="M1160" s="13"/>
    </row>
    <row r="1161">
      <c r="A1161" s="101" t="s">
        <v>3823</v>
      </c>
      <c r="B1161" s="101" t="s">
        <v>3824</v>
      </c>
      <c r="D1161" s="13"/>
      <c r="E1161" s="13"/>
      <c r="F1161" s="13"/>
      <c r="G1161" s="102">
        <v>2.0</v>
      </c>
      <c r="H1161" s="101" t="s">
        <v>2942</v>
      </c>
      <c r="I1161" s="102">
        <v>115.8</v>
      </c>
      <c r="J1161" s="102">
        <v>142.43</v>
      </c>
      <c r="K1161" s="101" t="s">
        <v>2941</v>
      </c>
      <c r="L1161" s="102">
        <v>23.0</v>
      </c>
      <c r="M1161" s="13"/>
    </row>
    <row r="1162">
      <c r="A1162" s="101" t="s">
        <v>3825</v>
      </c>
      <c r="B1162" s="101" t="s">
        <v>3826</v>
      </c>
      <c r="D1162" s="13"/>
      <c r="E1162" s="13"/>
      <c r="F1162" s="13"/>
      <c r="G1162" s="102">
        <v>1.0</v>
      </c>
      <c r="H1162" s="101" t="s">
        <v>2940</v>
      </c>
      <c r="I1162" s="102">
        <v>52.93</v>
      </c>
      <c r="J1162" s="102">
        <v>65.1</v>
      </c>
      <c r="K1162" s="101" t="s">
        <v>2941</v>
      </c>
      <c r="L1162" s="102">
        <v>23.0</v>
      </c>
      <c r="M1162" s="13"/>
    </row>
    <row r="1163">
      <c r="A1163" s="101" t="s">
        <v>3825</v>
      </c>
      <c r="B1163" s="101" t="s">
        <v>3826</v>
      </c>
      <c r="D1163" s="13"/>
      <c r="E1163" s="13"/>
      <c r="F1163" s="13"/>
      <c r="G1163" s="102">
        <v>2.0</v>
      </c>
      <c r="H1163" s="101" t="s">
        <v>2942</v>
      </c>
      <c r="I1163" s="102">
        <v>42.3</v>
      </c>
      <c r="J1163" s="102">
        <v>52.03</v>
      </c>
      <c r="K1163" s="101" t="s">
        <v>2941</v>
      </c>
      <c r="L1163" s="102">
        <v>23.0</v>
      </c>
      <c r="M1163" s="13"/>
    </row>
    <row r="1164">
      <c r="A1164" s="101" t="s">
        <v>3827</v>
      </c>
      <c r="B1164" s="101" t="s">
        <v>3828</v>
      </c>
      <c r="D1164" s="13"/>
      <c r="E1164" s="13"/>
      <c r="F1164" s="13"/>
      <c r="G1164" s="102">
        <v>1.0</v>
      </c>
      <c r="H1164" s="101" t="s">
        <v>2940</v>
      </c>
      <c r="I1164" s="102">
        <v>105.93</v>
      </c>
      <c r="J1164" s="102">
        <v>130.29</v>
      </c>
      <c r="K1164" s="101" t="s">
        <v>2941</v>
      </c>
      <c r="L1164" s="102">
        <v>23.0</v>
      </c>
      <c r="M1164" s="13"/>
    </row>
    <row r="1165">
      <c r="A1165" s="101" t="s">
        <v>3827</v>
      </c>
      <c r="B1165" s="101" t="s">
        <v>3828</v>
      </c>
      <c r="D1165" s="13"/>
      <c r="E1165" s="13"/>
      <c r="F1165" s="13"/>
      <c r="G1165" s="102">
        <v>2.0</v>
      </c>
      <c r="H1165" s="101" t="s">
        <v>2942</v>
      </c>
      <c r="I1165" s="102">
        <v>84.7</v>
      </c>
      <c r="J1165" s="102">
        <v>104.18</v>
      </c>
      <c r="K1165" s="101" t="s">
        <v>2941</v>
      </c>
      <c r="L1165" s="102">
        <v>23.0</v>
      </c>
      <c r="M1165" s="13"/>
    </row>
    <row r="1166">
      <c r="A1166" s="101" t="s">
        <v>3829</v>
      </c>
      <c r="B1166" s="101" t="s">
        <v>3830</v>
      </c>
      <c r="D1166" s="13"/>
      <c r="E1166" s="13"/>
      <c r="F1166" s="13"/>
      <c r="G1166" s="102">
        <v>1.0</v>
      </c>
      <c r="H1166" s="101" t="s">
        <v>2940</v>
      </c>
      <c r="I1166" s="102">
        <v>158.86</v>
      </c>
      <c r="J1166" s="102">
        <v>195.4</v>
      </c>
      <c r="K1166" s="101" t="s">
        <v>2941</v>
      </c>
      <c r="L1166" s="102">
        <v>23.0</v>
      </c>
      <c r="M1166" s="13"/>
    </row>
    <row r="1167">
      <c r="A1167" s="101" t="s">
        <v>3829</v>
      </c>
      <c r="B1167" s="101" t="s">
        <v>3830</v>
      </c>
      <c r="D1167" s="13"/>
      <c r="E1167" s="13"/>
      <c r="F1167" s="13"/>
      <c r="G1167" s="102">
        <v>2.0</v>
      </c>
      <c r="H1167" s="101" t="s">
        <v>2942</v>
      </c>
      <c r="I1167" s="102">
        <v>127.1</v>
      </c>
      <c r="J1167" s="102">
        <v>156.33</v>
      </c>
      <c r="K1167" s="101" t="s">
        <v>2941</v>
      </c>
      <c r="L1167" s="102">
        <v>23.0</v>
      </c>
      <c r="M1167" s="13"/>
    </row>
    <row r="1168">
      <c r="A1168" s="101" t="s">
        <v>3831</v>
      </c>
      <c r="B1168" s="101" t="s">
        <v>3832</v>
      </c>
      <c r="D1168" s="13"/>
      <c r="E1168" s="13"/>
      <c r="F1168" s="13"/>
      <c r="G1168" s="102">
        <v>1.0</v>
      </c>
      <c r="H1168" s="101" t="s">
        <v>2940</v>
      </c>
      <c r="I1168" s="102">
        <v>27.97</v>
      </c>
      <c r="J1168" s="102">
        <v>34.4</v>
      </c>
      <c r="K1168" s="101" t="s">
        <v>2941</v>
      </c>
      <c r="L1168" s="102">
        <v>23.0</v>
      </c>
      <c r="M1168" s="13"/>
    </row>
    <row r="1169">
      <c r="A1169" s="101" t="s">
        <v>3831</v>
      </c>
      <c r="B1169" s="101" t="s">
        <v>3832</v>
      </c>
      <c r="D1169" s="13"/>
      <c r="E1169" s="13"/>
      <c r="F1169" s="13"/>
      <c r="G1169" s="102">
        <v>2.0</v>
      </c>
      <c r="H1169" s="101" t="s">
        <v>2942</v>
      </c>
      <c r="I1169" s="102">
        <v>22.4</v>
      </c>
      <c r="J1169" s="102">
        <v>27.55</v>
      </c>
      <c r="K1169" s="101" t="s">
        <v>2941</v>
      </c>
      <c r="L1169" s="102">
        <v>23.0</v>
      </c>
      <c r="M1169" s="13"/>
    </row>
    <row r="1170">
      <c r="A1170" s="101" t="s">
        <v>3833</v>
      </c>
      <c r="B1170" s="101" t="s">
        <v>3834</v>
      </c>
      <c r="D1170" s="13"/>
      <c r="E1170" s="13"/>
      <c r="F1170" s="13"/>
      <c r="G1170" s="102">
        <v>1.0</v>
      </c>
      <c r="H1170" s="101" t="s">
        <v>2940</v>
      </c>
      <c r="I1170" s="102">
        <v>39.2</v>
      </c>
      <c r="J1170" s="102">
        <v>48.22</v>
      </c>
      <c r="K1170" s="101" t="s">
        <v>2941</v>
      </c>
      <c r="L1170" s="102">
        <v>23.0</v>
      </c>
      <c r="M1170" s="13"/>
    </row>
    <row r="1171">
      <c r="A1171" s="101" t="s">
        <v>3833</v>
      </c>
      <c r="B1171" s="101" t="s">
        <v>3834</v>
      </c>
      <c r="D1171" s="13"/>
      <c r="E1171" s="13"/>
      <c r="F1171" s="13"/>
      <c r="G1171" s="102">
        <v>2.0</v>
      </c>
      <c r="H1171" s="101" t="s">
        <v>2942</v>
      </c>
      <c r="I1171" s="102">
        <v>39.2</v>
      </c>
      <c r="J1171" s="102">
        <v>48.22</v>
      </c>
      <c r="K1171" s="101" t="s">
        <v>2941</v>
      </c>
      <c r="L1171" s="102">
        <v>23.0</v>
      </c>
      <c r="M1171" s="13"/>
    </row>
    <row r="1172">
      <c r="A1172" s="101" t="s">
        <v>3835</v>
      </c>
      <c r="B1172" s="101" t="s">
        <v>3836</v>
      </c>
      <c r="D1172" s="13"/>
      <c r="E1172" s="13"/>
      <c r="F1172" s="13"/>
      <c r="G1172" s="102">
        <v>1.0</v>
      </c>
      <c r="H1172" s="101" t="s">
        <v>2940</v>
      </c>
      <c r="I1172" s="102">
        <v>25.2</v>
      </c>
      <c r="J1172" s="102">
        <v>31.0</v>
      </c>
      <c r="K1172" s="101" t="s">
        <v>2941</v>
      </c>
      <c r="L1172" s="102">
        <v>23.0</v>
      </c>
      <c r="M1172" s="13"/>
    </row>
    <row r="1173">
      <c r="A1173" s="101" t="s">
        <v>3835</v>
      </c>
      <c r="B1173" s="101" t="s">
        <v>3836</v>
      </c>
      <c r="D1173" s="13"/>
      <c r="E1173" s="13"/>
      <c r="F1173" s="13"/>
      <c r="G1173" s="102">
        <v>2.0</v>
      </c>
      <c r="H1173" s="101" t="s">
        <v>2942</v>
      </c>
      <c r="I1173" s="102">
        <v>24.52</v>
      </c>
      <c r="J1173" s="102">
        <v>30.16</v>
      </c>
      <c r="K1173" s="101" t="s">
        <v>2941</v>
      </c>
      <c r="L1173" s="102">
        <v>23.0</v>
      </c>
      <c r="M1173" s="13"/>
    </row>
    <row r="1174">
      <c r="A1174" s="101" t="s">
        <v>3837</v>
      </c>
      <c r="B1174" s="101" t="s">
        <v>3838</v>
      </c>
      <c r="D1174" s="13"/>
      <c r="E1174" s="13"/>
      <c r="F1174" s="13"/>
      <c r="G1174" s="102">
        <v>1.0</v>
      </c>
      <c r="H1174" s="101" t="s">
        <v>2940</v>
      </c>
      <c r="I1174" s="102">
        <v>56.02</v>
      </c>
      <c r="J1174" s="102">
        <v>68.9</v>
      </c>
      <c r="K1174" s="101" t="s">
        <v>2941</v>
      </c>
      <c r="L1174" s="102">
        <v>23.0</v>
      </c>
      <c r="M1174" s="13"/>
    </row>
    <row r="1175">
      <c r="A1175" s="101" t="s">
        <v>3837</v>
      </c>
      <c r="B1175" s="101" t="s">
        <v>3838</v>
      </c>
      <c r="D1175" s="13"/>
      <c r="E1175" s="13"/>
      <c r="F1175" s="13"/>
      <c r="G1175" s="102">
        <v>2.0</v>
      </c>
      <c r="H1175" s="101" t="s">
        <v>2942</v>
      </c>
      <c r="I1175" s="102">
        <v>44.8</v>
      </c>
      <c r="J1175" s="102">
        <v>55.1</v>
      </c>
      <c r="K1175" s="101" t="s">
        <v>2941</v>
      </c>
      <c r="L1175" s="102">
        <v>23.0</v>
      </c>
      <c r="M1175" s="13"/>
    </row>
    <row r="1176">
      <c r="A1176" s="101" t="s">
        <v>3839</v>
      </c>
      <c r="B1176" s="101" t="s">
        <v>3840</v>
      </c>
      <c r="D1176" s="13"/>
      <c r="E1176" s="13"/>
      <c r="F1176" s="13"/>
      <c r="G1176" s="102">
        <v>1.0</v>
      </c>
      <c r="H1176" s="101" t="s">
        <v>2940</v>
      </c>
      <c r="I1176" s="102">
        <v>78.4</v>
      </c>
      <c r="J1176" s="102">
        <v>96.43</v>
      </c>
      <c r="K1176" s="101" t="s">
        <v>2941</v>
      </c>
      <c r="L1176" s="102">
        <v>23.0</v>
      </c>
      <c r="M1176" s="13"/>
    </row>
    <row r="1177">
      <c r="A1177" s="101" t="s">
        <v>3839</v>
      </c>
      <c r="B1177" s="101" t="s">
        <v>3840</v>
      </c>
      <c r="D1177" s="13"/>
      <c r="E1177" s="13"/>
      <c r="F1177" s="13"/>
      <c r="G1177" s="102">
        <v>2.0</v>
      </c>
      <c r="H1177" s="101" t="s">
        <v>2942</v>
      </c>
      <c r="I1177" s="102">
        <v>78.4</v>
      </c>
      <c r="J1177" s="102">
        <v>96.43</v>
      </c>
      <c r="K1177" s="101" t="s">
        <v>2941</v>
      </c>
      <c r="L1177" s="102">
        <v>23.0</v>
      </c>
      <c r="M1177" s="13"/>
    </row>
    <row r="1178">
      <c r="A1178" s="101" t="s">
        <v>3841</v>
      </c>
      <c r="B1178" s="101" t="s">
        <v>3842</v>
      </c>
      <c r="D1178" s="13"/>
      <c r="E1178" s="13"/>
      <c r="F1178" s="13"/>
      <c r="G1178" s="102">
        <v>1.0</v>
      </c>
      <c r="H1178" s="101" t="s">
        <v>2940</v>
      </c>
      <c r="I1178" s="102">
        <v>65.2</v>
      </c>
      <c r="J1178" s="102">
        <v>80.2</v>
      </c>
      <c r="K1178" s="101" t="s">
        <v>2941</v>
      </c>
      <c r="L1178" s="102">
        <v>23.0</v>
      </c>
      <c r="M1178" s="13"/>
    </row>
    <row r="1179">
      <c r="A1179" s="101" t="s">
        <v>3841</v>
      </c>
      <c r="B1179" s="101" t="s">
        <v>3842</v>
      </c>
      <c r="D1179" s="13"/>
      <c r="E1179" s="13"/>
      <c r="F1179" s="13"/>
      <c r="G1179" s="102">
        <v>2.0</v>
      </c>
      <c r="H1179" s="101" t="s">
        <v>2942</v>
      </c>
      <c r="I1179" s="102">
        <v>52.1</v>
      </c>
      <c r="J1179" s="102">
        <v>64.08</v>
      </c>
      <c r="K1179" s="101" t="s">
        <v>2941</v>
      </c>
      <c r="L1179" s="102">
        <v>23.0</v>
      </c>
      <c r="M1179" s="13"/>
    </row>
    <row r="1180">
      <c r="A1180" s="101" t="s">
        <v>3843</v>
      </c>
      <c r="B1180" s="101" t="s">
        <v>3844</v>
      </c>
      <c r="D1180" s="13"/>
      <c r="E1180" s="13"/>
      <c r="F1180" s="13"/>
      <c r="G1180" s="102">
        <v>1.0</v>
      </c>
      <c r="H1180" s="101" t="s">
        <v>2940</v>
      </c>
      <c r="I1180" s="102">
        <v>83.98</v>
      </c>
      <c r="J1180" s="102">
        <v>103.3</v>
      </c>
      <c r="K1180" s="101" t="s">
        <v>2941</v>
      </c>
      <c r="L1180" s="102">
        <v>23.0</v>
      </c>
      <c r="M1180" s="13"/>
    </row>
    <row r="1181">
      <c r="A1181" s="101" t="s">
        <v>3843</v>
      </c>
      <c r="B1181" s="101" t="s">
        <v>3844</v>
      </c>
      <c r="D1181" s="13"/>
      <c r="E1181" s="13"/>
      <c r="F1181" s="13"/>
      <c r="G1181" s="102">
        <v>2.0</v>
      </c>
      <c r="H1181" s="101" t="s">
        <v>2942</v>
      </c>
      <c r="I1181" s="102">
        <v>67.2</v>
      </c>
      <c r="J1181" s="102">
        <v>82.66</v>
      </c>
      <c r="K1181" s="101" t="s">
        <v>2941</v>
      </c>
      <c r="L1181" s="102">
        <v>23.0</v>
      </c>
      <c r="M1181" s="13"/>
    </row>
    <row r="1182">
      <c r="A1182" s="101" t="s">
        <v>3845</v>
      </c>
      <c r="B1182" s="101" t="s">
        <v>3846</v>
      </c>
      <c r="D1182" s="13"/>
      <c r="E1182" s="13"/>
      <c r="F1182" s="13"/>
      <c r="G1182" s="102">
        <v>1.0</v>
      </c>
      <c r="H1182" s="101" t="s">
        <v>2940</v>
      </c>
      <c r="I1182" s="102">
        <v>117.55</v>
      </c>
      <c r="J1182" s="102">
        <v>144.59</v>
      </c>
      <c r="K1182" s="101" t="s">
        <v>2941</v>
      </c>
      <c r="L1182" s="102">
        <v>23.0</v>
      </c>
      <c r="M1182" s="13"/>
    </row>
    <row r="1183">
      <c r="A1183" s="101" t="s">
        <v>3845</v>
      </c>
      <c r="B1183" s="101" t="s">
        <v>3846</v>
      </c>
      <c r="D1183" s="13"/>
      <c r="E1183" s="13"/>
      <c r="F1183" s="13"/>
      <c r="G1183" s="102">
        <v>2.0</v>
      </c>
      <c r="H1183" s="101" t="s">
        <v>2942</v>
      </c>
      <c r="I1183" s="102">
        <v>117.55</v>
      </c>
      <c r="J1183" s="102">
        <v>144.59</v>
      </c>
      <c r="K1183" s="101" t="s">
        <v>2941</v>
      </c>
      <c r="L1183" s="102">
        <v>23.0</v>
      </c>
      <c r="M1183" s="13"/>
    </row>
    <row r="1184">
      <c r="A1184" s="101" t="s">
        <v>3847</v>
      </c>
      <c r="B1184" s="101" t="s">
        <v>3848</v>
      </c>
      <c r="D1184" s="13"/>
      <c r="E1184" s="13"/>
      <c r="F1184" s="13"/>
      <c r="G1184" s="102">
        <v>1.0</v>
      </c>
      <c r="H1184" s="101" t="s">
        <v>2940</v>
      </c>
      <c r="I1184" s="102">
        <v>97.56</v>
      </c>
      <c r="J1184" s="102">
        <v>120.0</v>
      </c>
      <c r="K1184" s="101" t="s">
        <v>2941</v>
      </c>
      <c r="L1184" s="102">
        <v>23.0</v>
      </c>
      <c r="M1184" s="13"/>
    </row>
    <row r="1185">
      <c r="A1185" s="101" t="s">
        <v>3847</v>
      </c>
      <c r="B1185" s="101" t="s">
        <v>3848</v>
      </c>
      <c r="D1185" s="13"/>
      <c r="E1185" s="13"/>
      <c r="F1185" s="13"/>
      <c r="G1185" s="102">
        <v>2.0</v>
      </c>
      <c r="H1185" s="101" t="s">
        <v>2942</v>
      </c>
      <c r="I1185" s="102">
        <v>77.8</v>
      </c>
      <c r="J1185" s="102">
        <v>95.69</v>
      </c>
      <c r="K1185" s="101" t="s">
        <v>2941</v>
      </c>
      <c r="L1185" s="102">
        <v>23.0</v>
      </c>
      <c r="M1185" s="13"/>
    </row>
    <row r="1186">
      <c r="A1186" s="101" t="s">
        <v>3849</v>
      </c>
      <c r="B1186" s="101">
        <v>58.0</v>
      </c>
      <c r="C1186" s="13"/>
      <c r="D1186" s="13"/>
      <c r="E1186" s="13"/>
      <c r="F1186" s="13"/>
      <c r="G1186" s="102">
        <v>1.0</v>
      </c>
      <c r="H1186" s="101" t="s">
        <v>2940</v>
      </c>
      <c r="I1186" s="102">
        <v>46.34</v>
      </c>
      <c r="J1186" s="102">
        <v>57.0</v>
      </c>
      <c r="K1186" s="101" t="s">
        <v>2941</v>
      </c>
      <c r="L1186" s="102">
        <v>23.0</v>
      </c>
      <c r="M1186" s="13"/>
    </row>
    <row r="1187">
      <c r="A1187" s="101" t="s">
        <v>3849</v>
      </c>
      <c r="B1187" s="101">
        <v>58.0</v>
      </c>
      <c r="C1187" s="13"/>
      <c r="D1187" s="13"/>
      <c r="E1187" s="13"/>
      <c r="F1187" s="13"/>
      <c r="G1187" s="102">
        <v>2.0</v>
      </c>
      <c r="H1187" s="101" t="s">
        <v>2942</v>
      </c>
      <c r="I1187" s="102">
        <v>46.0</v>
      </c>
      <c r="J1187" s="102">
        <v>56.58</v>
      </c>
      <c r="K1187" s="101" t="s">
        <v>2941</v>
      </c>
      <c r="L1187" s="102">
        <v>23.0</v>
      </c>
      <c r="M1187" s="13"/>
    </row>
    <row r="1188">
      <c r="A1188" s="101" t="s">
        <v>3850</v>
      </c>
      <c r="B1188" s="101">
        <v>306.0</v>
      </c>
      <c r="C1188" s="13"/>
      <c r="D1188" s="13"/>
      <c r="E1188" s="13"/>
      <c r="F1188" s="13"/>
      <c r="G1188" s="102">
        <v>1.0</v>
      </c>
      <c r="H1188" s="101" t="s">
        <v>2940</v>
      </c>
      <c r="I1188" s="102">
        <v>69.11</v>
      </c>
      <c r="J1188" s="102">
        <v>85.01</v>
      </c>
      <c r="K1188" s="101" t="s">
        <v>2941</v>
      </c>
      <c r="L1188" s="102">
        <v>23.0</v>
      </c>
      <c r="M1188" s="13"/>
    </row>
    <row r="1189">
      <c r="A1189" s="101" t="s">
        <v>3850</v>
      </c>
      <c r="B1189" s="101">
        <v>306.0</v>
      </c>
      <c r="C1189" s="13"/>
      <c r="D1189" s="13"/>
      <c r="E1189" s="13"/>
      <c r="F1189" s="13"/>
      <c r="G1189" s="102">
        <v>2.0</v>
      </c>
      <c r="H1189" s="101" t="s">
        <v>2942</v>
      </c>
      <c r="I1189" s="102">
        <v>69.0</v>
      </c>
      <c r="J1189" s="102">
        <v>84.87</v>
      </c>
      <c r="K1189" s="101" t="s">
        <v>2941</v>
      </c>
      <c r="L1189" s="102">
        <v>23.0</v>
      </c>
      <c r="M1189" s="13"/>
    </row>
    <row r="1190">
      <c r="A1190" s="101" t="s">
        <v>3851</v>
      </c>
      <c r="B1190" s="101" t="s">
        <v>3852</v>
      </c>
      <c r="D1190" s="13"/>
      <c r="E1190" s="13"/>
      <c r="F1190" s="13"/>
      <c r="G1190" s="102">
        <v>1.0</v>
      </c>
      <c r="H1190" s="101" t="s">
        <v>2940</v>
      </c>
      <c r="I1190" s="102">
        <v>48.86</v>
      </c>
      <c r="J1190" s="102">
        <v>60.1</v>
      </c>
      <c r="K1190" s="101" t="s">
        <v>2941</v>
      </c>
      <c r="L1190" s="102">
        <v>23.0</v>
      </c>
      <c r="M1190" s="13"/>
    </row>
    <row r="1191">
      <c r="A1191" s="101" t="s">
        <v>3851</v>
      </c>
      <c r="B1191" s="101" t="s">
        <v>3852</v>
      </c>
      <c r="D1191" s="13"/>
      <c r="E1191" s="13"/>
      <c r="F1191" s="13"/>
      <c r="G1191" s="102">
        <v>2.0</v>
      </c>
      <c r="H1191" s="101" t="s">
        <v>2942</v>
      </c>
      <c r="I1191" s="102">
        <v>39.1</v>
      </c>
      <c r="J1191" s="102">
        <v>48.09</v>
      </c>
      <c r="K1191" s="101" t="s">
        <v>2941</v>
      </c>
      <c r="L1191" s="102">
        <v>23.0</v>
      </c>
      <c r="M1191" s="13"/>
    </row>
    <row r="1192">
      <c r="A1192" s="101" t="s">
        <v>3853</v>
      </c>
      <c r="B1192" s="101" t="s">
        <v>3854</v>
      </c>
      <c r="D1192" s="13"/>
      <c r="E1192" s="13"/>
      <c r="F1192" s="13"/>
      <c r="G1192" s="102">
        <v>1.0</v>
      </c>
      <c r="H1192" s="101" t="s">
        <v>2940</v>
      </c>
      <c r="I1192" s="102">
        <v>63.95</v>
      </c>
      <c r="J1192" s="102">
        <v>78.66</v>
      </c>
      <c r="K1192" s="101" t="s">
        <v>2941</v>
      </c>
      <c r="L1192" s="102">
        <v>23.0</v>
      </c>
      <c r="M1192" s="13"/>
    </row>
    <row r="1193">
      <c r="A1193" s="101" t="s">
        <v>3853</v>
      </c>
      <c r="B1193" s="101" t="s">
        <v>3854</v>
      </c>
      <c r="D1193" s="13"/>
      <c r="E1193" s="13"/>
      <c r="F1193" s="13"/>
      <c r="G1193" s="102">
        <v>2.0</v>
      </c>
      <c r="H1193" s="101" t="s">
        <v>2942</v>
      </c>
      <c r="I1193" s="102">
        <v>63.95</v>
      </c>
      <c r="J1193" s="102">
        <v>78.66</v>
      </c>
      <c r="K1193" s="101" t="s">
        <v>2941</v>
      </c>
      <c r="L1193" s="102">
        <v>23.0</v>
      </c>
      <c r="M1193" s="13"/>
    </row>
    <row r="1194">
      <c r="A1194" s="101" t="s">
        <v>3855</v>
      </c>
      <c r="B1194" s="101" t="s">
        <v>3856</v>
      </c>
      <c r="D1194" s="13"/>
      <c r="E1194" s="13"/>
      <c r="F1194" s="13"/>
      <c r="G1194" s="102">
        <v>1.0</v>
      </c>
      <c r="H1194" s="101" t="s">
        <v>2940</v>
      </c>
      <c r="I1194" s="102">
        <v>63.95</v>
      </c>
      <c r="J1194" s="102">
        <v>78.66</v>
      </c>
      <c r="K1194" s="101" t="s">
        <v>2941</v>
      </c>
      <c r="L1194" s="102">
        <v>23.0</v>
      </c>
      <c r="M1194" s="13"/>
    </row>
    <row r="1195">
      <c r="A1195" s="101" t="s">
        <v>3855</v>
      </c>
      <c r="B1195" s="101" t="s">
        <v>3856</v>
      </c>
      <c r="D1195" s="13"/>
      <c r="E1195" s="13"/>
      <c r="F1195" s="13"/>
      <c r="G1195" s="102">
        <v>2.0</v>
      </c>
      <c r="H1195" s="101" t="s">
        <v>2942</v>
      </c>
      <c r="I1195" s="102">
        <v>63.95</v>
      </c>
      <c r="J1195" s="102">
        <v>78.66</v>
      </c>
      <c r="K1195" s="101" t="s">
        <v>2941</v>
      </c>
      <c r="L1195" s="102">
        <v>23.0</v>
      </c>
      <c r="M1195" s="13"/>
    </row>
    <row r="1196">
      <c r="A1196" s="101" t="s">
        <v>3857</v>
      </c>
      <c r="B1196" s="101" t="s">
        <v>3858</v>
      </c>
      <c r="D1196" s="13"/>
      <c r="E1196" s="13"/>
      <c r="F1196" s="13"/>
      <c r="G1196" s="102">
        <v>1.0</v>
      </c>
      <c r="H1196" s="101" t="s">
        <v>2940</v>
      </c>
      <c r="I1196" s="102">
        <v>97.72</v>
      </c>
      <c r="J1196" s="102">
        <v>120.2</v>
      </c>
      <c r="K1196" s="101" t="s">
        <v>2941</v>
      </c>
      <c r="L1196" s="102">
        <v>23.0</v>
      </c>
      <c r="M1196" s="13"/>
    </row>
    <row r="1197">
      <c r="A1197" s="101" t="s">
        <v>3857</v>
      </c>
      <c r="B1197" s="101" t="s">
        <v>3858</v>
      </c>
      <c r="D1197" s="13"/>
      <c r="E1197" s="13"/>
      <c r="F1197" s="13"/>
      <c r="G1197" s="102">
        <v>2.0</v>
      </c>
      <c r="H1197" s="101" t="s">
        <v>2942</v>
      </c>
      <c r="I1197" s="102">
        <v>78.2</v>
      </c>
      <c r="J1197" s="102">
        <v>96.19</v>
      </c>
      <c r="K1197" s="101" t="s">
        <v>2941</v>
      </c>
      <c r="L1197" s="102">
        <v>23.0</v>
      </c>
      <c r="M1197" s="13"/>
    </row>
    <row r="1198">
      <c r="A1198" s="101" t="s">
        <v>3859</v>
      </c>
      <c r="B1198" s="101" t="s">
        <v>3860</v>
      </c>
      <c r="D1198" s="13"/>
      <c r="E1198" s="13"/>
      <c r="F1198" s="13"/>
      <c r="G1198" s="102">
        <v>1.0</v>
      </c>
      <c r="H1198" s="101" t="s">
        <v>2940</v>
      </c>
      <c r="I1198" s="102">
        <v>124.96</v>
      </c>
      <c r="J1198" s="102">
        <v>153.7</v>
      </c>
      <c r="K1198" s="101" t="s">
        <v>2941</v>
      </c>
      <c r="L1198" s="102">
        <v>23.0</v>
      </c>
      <c r="M1198" s="13"/>
    </row>
    <row r="1199">
      <c r="A1199" s="101" t="s">
        <v>3859</v>
      </c>
      <c r="B1199" s="101" t="s">
        <v>3860</v>
      </c>
      <c r="D1199" s="13"/>
      <c r="E1199" s="13"/>
      <c r="F1199" s="13"/>
      <c r="G1199" s="102">
        <v>2.0</v>
      </c>
      <c r="H1199" s="101" t="s">
        <v>2942</v>
      </c>
      <c r="I1199" s="102">
        <v>99.9</v>
      </c>
      <c r="J1199" s="102">
        <v>122.88</v>
      </c>
      <c r="K1199" s="101" t="s">
        <v>2941</v>
      </c>
      <c r="L1199" s="102">
        <v>23.0</v>
      </c>
      <c r="M1199" s="13"/>
    </row>
    <row r="1200">
      <c r="A1200" s="101" t="s">
        <v>3861</v>
      </c>
      <c r="B1200" s="101" t="s">
        <v>3862</v>
      </c>
      <c r="D1200" s="13"/>
      <c r="E1200" s="13"/>
      <c r="F1200" s="13"/>
      <c r="G1200" s="102">
        <v>1.0</v>
      </c>
      <c r="H1200" s="101" t="s">
        <v>2940</v>
      </c>
      <c r="I1200" s="102">
        <v>127.9</v>
      </c>
      <c r="J1200" s="102">
        <v>157.32</v>
      </c>
      <c r="K1200" s="101" t="s">
        <v>2941</v>
      </c>
      <c r="L1200" s="102">
        <v>23.0</v>
      </c>
      <c r="M1200" s="13"/>
    </row>
    <row r="1201">
      <c r="A1201" s="101" t="s">
        <v>3861</v>
      </c>
      <c r="B1201" s="101" t="s">
        <v>3862</v>
      </c>
      <c r="D1201" s="13"/>
      <c r="E1201" s="13"/>
      <c r="F1201" s="13"/>
      <c r="G1201" s="102">
        <v>2.0</v>
      </c>
      <c r="H1201" s="101" t="s">
        <v>2942</v>
      </c>
      <c r="I1201" s="102">
        <v>127.9</v>
      </c>
      <c r="J1201" s="102">
        <v>157.32</v>
      </c>
      <c r="K1201" s="101" t="s">
        <v>2941</v>
      </c>
      <c r="L1201" s="102">
        <v>23.0</v>
      </c>
      <c r="M1201" s="13"/>
    </row>
    <row r="1202">
      <c r="A1202" s="101" t="s">
        <v>3863</v>
      </c>
      <c r="B1202" s="101" t="s">
        <v>3864</v>
      </c>
      <c r="D1202" s="13"/>
      <c r="E1202" s="13"/>
      <c r="F1202" s="13"/>
      <c r="G1202" s="102">
        <v>1.0</v>
      </c>
      <c r="H1202" s="101" t="s">
        <v>2940</v>
      </c>
      <c r="I1202" s="102">
        <v>108.6</v>
      </c>
      <c r="J1202" s="102">
        <v>133.58</v>
      </c>
      <c r="K1202" s="101" t="s">
        <v>2941</v>
      </c>
      <c r="L1202" s="102">
        <v>23.0</v>
      </c>
      <c r="M1202" s="13"/>
    </row>
    <row r="1203">
      <c r="A1203" s="101" t="s">
        <v>3863</v>
      </c>
      <c r="B1203" s="101" t="s">
        <v>3864</v>
      </c>
      <c r="D1203" s="13"/>
      <c r="E1203" s="13"/>
      <c r="F1203" s="13"/>
      <c r="G1203" s="102">
        <v>2.0</v>
      </c>
      <c r="H1203" s="101" t="s">
        <v>2942</v>
      </c>
      <c r="I1203" s="102">
        <v>108.6</v>
      </c>
      <c r="J1203" s="102">
        <v>133.58</v>
      </c>
      <c r="K1203" s="101" t="s">
        <v>2941</v>
      </c>
      <c r="L1203" s="102">
        <v>23.0</v>
      </c>
      <c r="M1203" s="13"/>
    </row>
    <row r="1204">
      <c r="A1204" s="101" t="s">
        <v>3865</v>
      </c>
      <c r="B1204" s="101" t="s">
        <v>3866</v>
      </c>
      <c r="D1204" s="13"/>
      <c r="E1204" s="13"/>
      <c r="F1204" s="13"/>
      <c r="G1204" s="102">
        <v>1.0</v>
      </c>
      <c r="H1204" s="101" t="s">
        <v>2940</v>
      </c>
      <c r="I1204" s="102">
        <v>146.5</v>
      </c>
      <c r="J1204" s="102">
        <v>180.2</v>
      </c>
      <c r="K1204" s="101" t="s">
        <v>2941</v>
      </c>
      <c r="L1204" s="102">
        <v>23.0</v>
      </c>
      <c r="M1204" s="13"/>
    </row>
    <row r="1205">
      <c r="A1205" s="101" t="s">
        <v>3865</v>
      </c>
      <c r="B1205" s="101" t="s">
        <v>3866</v>
      </c>
      <c r="D1205" s="13"/>
      <c r="E1205" s="13"/>
      <c r="F1205" s="13"/>
      <c r="G1205" s="102">
        <v>2.0</v>
      </c>
      <c r="H1205" s="101" t="s">
        <v>2942</v>
      </c>
      <c r="I1205" s="102">
        <v>117.2</v>
      </c>
      <c r="J1205" s="102">
        <v>144.16</v>
      </c>
      <c r="K1205" s="101" t="s">
        <v>2941</v>
      </c>
      <c r="L1205" s="102">
        <v>23.0</v>
      </c>
      <c r="M1205" s="13"/>
    </row>
    <row r="1206">
      <c r="A1206" s="101" t="s">
        <v>3867</v>
      </c>
      <c r="B1206" s="101" t="s">
        <v>3868</v>
      </c>
      <c r="D1206" s="13"/>
      <c r="E1206" s="13"/>
      <c r="F1206" s="13"/>
      <c r="G1206" s="102">
        <v>1.0</v>
      </c>
      <c r="H1206" s="101" t="s">
        <v>2940</v>
      </c>
      <c r="I1206" s="102">
        <v>196.75</v>
      </c>
      <c r="J1206" s="102">
        <v>242.0</v>
      </c>
      <c r="K1206" s="101" t="s">
        <v>2941</v>
      </c>
      <c r="L1206" s="102">
        <v>23.0</v>
      </c>
      <c r="M1206" s="13"/>
    </row>
    <row r="1207">
      <c r="A1207" s="101" t="s">
        <v>3867</v>
      </c>
      <c r="B1207" s="101" t="s">
        <v>3868</v>
      </c>
      <c r="D1207" s="13"/>
      <c r="E1207" s="13"/>
      <c r="F1207" s="13"/>
      <c r="G1207" s="102">
        <v>2.0</v>
      </c>
      <c r="H1207" s="101" t="s">
        <v>2942</v>
      </c>
      <c r="I1207" s="102">
        <v>157.4</v>
      </c>
      <c r="J1207" s="102">
        <v>193.6</v>
      </c>
      <c r="K1207" s="101" t="s">
        <v>2941</v>
      </c>
      <c r="L1207" s="102">
        <v>23.0</v>
      </c>
      <c r="M1207" s="13"/>
    </row>
    <row r="1208">
      <c r="A1208" s="101" t="s">
        <v>3869</v>
      </c>
      <c r="B1208" s="101" t="s">
        <v>3870</v>
      </c>
      <c r="D1208" s="13"/>
      <c r="E1208" s="13"/>
      <c r="F1208" s="13"/>
      <c r="G1208" s="102">
        <v>1.0</v>
      </c>
      <c r="H1208" s="101" t="s">
        <v>2940</v>
      </c>
      <c r="I1208" s="102">
        <v>146.59</v>
      </c>
      <c r="J1208" s="102">
        <v>180.3</v>
      </c>
      <c r="K1208" s="101" t="s">
        <v>2941</v>
      </c>
      <c r="L1208" s="102">
        <v>23.0</v>
      </c>
      <c r="M1208" s="13"/>
    </row>
    <row r="1209">
      <c r="A1209" s="101" t="s">
        <v>3869</v>
      </c>
      <c r="B1209" s="101" t="s">
        <v>3870</v>
      </c>
      <c r="D1209" s="13"/>
      <c r="E1209" s="13"/>
      <c r="F1209" s="13"/>
      <c r="G1209" s="102">
        <v>2.0</v>
      </c>
      <c r="H1209" s="101" t="s">
        <v>2942</v>
      </c>
      <c r="I1209" s="102">
        <v>117.3</v>
      </c>
      <c r="J1209" s="102">
        <v>144.28</v>
      </c>
      <c r="K1209" s="101" t="s">
        <v>2941</v>
      </c>
      <c r="L1209" s="102">
        <v>23.0</v>
      </c>
      <c r="M1209" s="13"/>
    </row>
    <row r="1210">
      <c r="A1210" s="101" t="s">
        <v>3871</v>
      </c>
      <c r="B1210" s="101" t="s">
        <v>3872</v>
      </c>
      <c r="D1210" s="13"/>
      <c r="E1210" s="13"/>
      <c r="F1210" s="13"/>
      <c r="G1210" s="102">
        <v>1.0</v>
      </c>
      <c r="H1210" s="101" t="s">
        <v>2940</v>
      </c>
      <c r="I1210" s="102">
        <v>81.71</v>
      </c>
      <c r="J1210" s="102">
        <v>100.5</v>
      </c>
      <c r="K1210" s="101" t="s">
        <v>2941</v>
      </c>
      <c r="L1210" s="102">
        <v>23.0</v>
      </c>
      <c r="M1210" s="13"/>
    </row>
    <row r="1211">
      <c r="A1211" s="101" t="s">
        <v>3871</v>
      </c>
      <c r="B1211" s="101" t="s">
        <v>3872</v>
      </c>
      <c r="D1211" s="13"/>
      <c r="E1211" s="13"/>
      <c r="F1211" s="13"/>
      <c r="G1211" s="102">
        <v>2.0</v>
      </c>
      <c r="H1211" s="101" t="s">
        <v>2942</v>
      </c>
      <c r="I1211" s="102">
        <v>65.4</v>
      </c>
      <c r="J1211" s="102">
        <v>80.44</v>
      </c>
      <c r="K1211" s="101" t="s">
        <v>2941</v>
      </c>
      <c r="L1211" s="102">
        <v>23.0</v>
      </c>
      <c r="M1211" s="13"/>
    </row>
    <row r="1212">
      <c r="A1212" s="101" t="s">
        <v>3873</v>
      </c>
      <c r="B1212" s="101" t="s">
        <v>3874</v>
      </c>
      <c r="D1212" s="13"/>
      <c r="E1212" s="13"/>
      <c r="F1212" s="13"/>
      <c r="G1212" s="102">
        <v>1.0</v>
      </c>
      <c r="H1212" s="101" t="s">
        <v>2940</v>
      </c>
      <c r="I1212" s="102">
        <v>163.41</v>
      </c>
      <c r="J1212" s="102">
        <v>200.99</v>
      </c>
      <c r="K1212" s="101" t="s">
        <v>2941</v>
      </c>
      <c r="L1212" s="102">
        <v>23.0</v>
      </c>
      <c r="M1212" s="13"/>
    </row>
    <row r="1213">
      <c r="A1213" s="101" t="s">
        <v>3873</v>
      </c>
      <c r="B1213" s="101" t="s">
        <v>3874</v>
      </c>
      <c r="D1213" s="13"/>
      <c r="E1213" s="13"/>
      <c r="F1213" s="13"/>
      <c r="G1213" s="102">
        <v>2.0</v>
      </c>
      <c r="H1213" s="101" t="s">
        <v>2942</v>
      </c>
      <c r="I1213" s="102">
        <v>130.7</v>
      </c>
      <c r="J1213" s="102">
        <v>160.76</v>
      </c>
      <c r="K1213" s="101" t="s">
        <v>2941</v>
      </c>
      <c r="L1213" s="102">
        <v>23.0</v>
      </c>
      <c r="M1213" s="13"/>
    </row>
    <row r="1214">
      <c r="A1214" s="101" t="s">
        <v>3875</v>
      </c>
      <c r="B1214" s="101" t="s">
        <v>3876</v>
      </c>
      <c r="D1214" s="13"/>
      <c r="E1214" s="13"/>
      <c r="F1214" s="13"/>
      <c r="G1214" s="102">
        <v>1.0</v>
      </c>
      <c r="H1214" s="101" t="s">
        <v>2940</v>
      </c>
      <c r="I1214" s="102">
        <v>245.04</v>
      </c>
      <c r="J1214" s="102">
        <v>301.4</v>
      </c>
      <c r="K1214" s="101" t="s">
        <v>2941</v>
      </c>
      <c r="L1214" s="102">
        <v>23.0</v>
      </c>
      <c r="M1214" s="13"/>
    </row>
    <row r="1215">
      <c r="A1215" s="101" t="s">
        <v>3875</v>
      </c>
      <c r="B1215" s="101" t="s">
        <v>3876</v>
      </c>
      <c r="D1215" s="13"/>
      <c r="E1215" s="13"/>
      <c r="F1215" s="13"/>
      <c r="G1215" s="102">
        <v>2.0</v>
      </c>
      <c r="H1215" s="101" t="s">
        <v>2942</v>
      </c>
      <c r="I1215" s="102">
        <v>196.0</v>
      </c>
      <c r="J1215" s="102">
        <v>241.08</v>
      </c>
      <c r="K1215" s="101" t="s">
        <v>2941</v>
      </c>
      <c r="L1215" s="102">
        <v>23.0</v>
      </c>
      <c r="M1215" s="13"/>
    </row>
    <row r="1216">
      <c r="A1216" s="101" t="s">
        <v>3877</v>
      </c>
      <c r="B1216" s="101" t="s">
        <v>3878</v>
      </c>
      <c r="D1216" s="13"/>
      <c r="E1216" s="13"/>
      <c r="F1216" s="13"/>
      <c r="G1216" s="102">
        <v>1.0</v>
      </c>
      <c r="H1216" s="101" t="s">
        <v>2940</v>
      </c>
      <c r="I1216" s="102">
        <v>9.31</v>
      </c>
      <c r="J1216" s="102">
        <v>11.45</v>
      </c>
      <c r="K1216" s="101" t="s">
        <v>2941</v>
      </c>
      <c r="L1216" s="102">
        <v>23.0</v>
      </c>
      <c r="M1216" s="13"/>
    </row>
    <row r="1217">
      <c r="A1217" s="101" t="s">
        <v>3877</v>
      </c>
      <c r="B1217" s="101" t="s">
        <v>3878</v>
      </c>
      <c r="D1217" s="13"/>
      <c r="E1217" s="13"/>
      <c r="F1217" s="13"/>
      <c r="G1217" s="102">
        <v>2.0</v>
      </c>
      <c r="H1217" s="101" t="s">
        <v>2942</v>
      </c>
      <c r="I1217" s="102">
        <v>9.31</v>
      </c>
      <c r="J1217" s="102">
        <v>11.45</v>
      </c>
      <c r="K1217" s="101" t="s">
        <v>2941</v>
      </c>
      <c r="L1217" s="102">
        <v>23.0</v>
      </c>
      <c r="M1217" s="13"/>
    </row>
    <row r="1218">
      <c r="A1218" s="101" t="s">
        <v>3879</v>
      </c>
      <c r="B1218" s="101" t="s">
        <v>3880</v>
      </c>
      <c r="D1218" s="13"/>
      <c r="E1218" s="13"/>
      <c r="F1218" s="13"/>
      <c r="G1218" s="102">
        <v>1.0</v>
      </c>
      <c r="H1218" s="101" t="s">
        <v>2940</v>
      </c>
      <c r="I1218" s="102">
        <v>18.62</v>
      </c>
      <c r="J1218" s="102">
        <v>22.9</v>
      </c>
      <c r="K1218" s="101" t="s">
        <v>2941</v>
      </c>
      <c r="L1218" s="102">
        <v>23.0</v>
      </c>
      <c r="M1218" s="13"/>
    </row>
    <row r="1219">
      <c r="A1219" s="101" t="s">
        <v>3879</v>
      </c>
      <c r="B1219" s="101" t="s">
        <v>3880</v>
      </c>
      <c r="D1219" s="13"/>
      <c r="E1219" s="13"/>
      <c r="F1219" s="13"/>
      <c r="G1219" s="102">
        <v>2.0</v>
      </c>
      <c r="H1219" s="101" t="s">
        <v>2942</v>
      </c>
      <c r="I1219" s="102">
        <v>18.62</v>
      </c>
      <c r="J1219" s="102">
        <v>22.9</v>
      </c>
      <c r="K1219" s="101" t="s">
        <v>2941</v>
      </c>
      <c r="L1219" s="102">
        <v>23.0</v>
      </c>
      <c r="M1219" s="13"/>
    </row>
    <row r="1220">
      <c r="A1220" s="101" t="s">
        <v>3881</v>
      </c>
      <c r="B1220" s="101" t="s">
        <v>3882</v>
      </c>
      <c r="D1220" s="13"/>
      <c r="E1220" s="13"/>
      <c r="F1220" s="13"/>
      <c r="G1220" s="102">
        <v>1.0</v>
      </c>
      <c r="H1220" s="101" t="s">
        <v>2940</v>
      </c>
      <c r="I1220" s="102">
        <v>27.93</v>
      </c>
      <c r="J1220" s="102">
        <v>34.35</v>
      </c>
      <c r="K1220" s="101" t="s">
        <v>2941</v>
      </c>
      <c r="L1220" s="102">
        <v>23.0</v>
      </c>
      <c r="M1220" s="13"/>
    </row>
    <row r="1221">
      <c r="A1221" s="101" t="s">
        <v>3881</v>
      </c>
      <c r="B1221" s="101" t="s">
        <v>3882</v>
      </c>
      <c r="D1221" s="13"/>
      <c r="E1221" s="13"/>
      <c r="F1221" s="13"/>
      <c r="G1221" s="102">
        <v>2.0</v>
      </c>
      <c r="H1221" s="101" t="s">
        <v>2942</v>
      </c>
      <c r="I1221" s="102">
        <v>27.93</v>
      </c>
      <c r="J1221" s="102">
        <v>34.35</v>
      </c>
      <c r="K1221" s="101" t="s">
        <v>2941</v>
      </c>
      <c r="L1221" s="102">
        <v>23.0</v>
      </c>
      <c r="M1221" s="13"/>
    </row>
    <row r="1222">
      <c r="A1222" s="101" t="s">
        <v>3883</v>
      </c>
      <c r="B1222" s="101" t="s">
        <v>3884</v>
      </c>
      <c r="D1222" s="13"/>
      <c r="E1222" s="13"/>
      <c r="F1222" s="13"/>
      <c r="G1222" s="102">
        <v>1.0</v>
      </c>
      <c r="H1222" s="101" t="s">
        <v>2940</v>
      </c>
      <c r="I1222" s="102">
        <v>18.13</v>
      </c>
      <c r="J1222" s="102">
        <v>22.3</v>
      </c>
      <c r="K1222" s="101" t="s">
        <v>2941</v>
      </c>
      <c r="L1222" s="102">
        <v>23.0</v>
      </c>
      <c r="M1222" s="13"/>
    </row>
    <row r="1223">
      <c r="A1223" s="101" t="s">
        <v>3883</v>
      </c>
      <c r="B1223" s="101" t="s">
        <v>3884</v>
      </c>
      <c r="D1223" s="13"/>
      <c r="E1223" s="13"/>
      <c r="F1223" s="13"/>
      <c r="G1223" s="102">
        <v>2.0</v>
      </c>
      <c r="H1223" s="101" t="s">
        <v>2942</v>
      </c>
      <c r="I1223" s="102">
        <v>14.5</v>
      </c>
      <c r="J1223" s="102">
        <v>17.84</v>
      </c>
      <c r="K1223" s="101" t="s">
        <v>2941</v>
      </c>
      <c r="L1223" s="102">
        <v>23.0</v>
      </c>
      <c r="M1223" s="13"/>
    </row>
    <row r="1224">
      <c r="A1224" s="101" t="s">
        <v>3885</v>
      </c>
      <c r="B1224" s="101" t="s">
        <v>3886</v>
      </c>
      <c r="D1224" s="13"/>
      <c r="E1224" s="13"/>
      <c r="F1224" s="13"/>
      <c r="G1224" s="102">
        <v>1.0</v>
      </c>
      <c r="H1224" s="101" t="s">
        <v>2940</v>
      </c>
      <c r="I1224" s="102">
        <v>36.18</v>
      </c>
      <c r="J1224" s="102">
        <v>44.5</v>
      </c>
      <c r="K1224" s="101" t="s">
        <v>2941</v>
      </c>
      <c r="L1224" s="102">
        <v>23.0</v>
      </c>
      <c r="M1224" s="13"/>
    </row>
    <row r="1225">
      <c r="A1225" s="101" t="s">
        <v>3885</v>
      </c>
      <c r="B1225" s="101" t="s">
        <v>3886</v>
      </c>
      <c r="D1225" s="13"/>
      <c r="E1225" s="13"/>
      <c r="F1225" s="13"/>
      <c r="G1225" s="102">
        <v>2.0</v>
      </c>
      <c r="H1225" s="101" t="s">
        <v>2942</v>
      </c>
      <c r="I1225" s="102">
        <v>28.9</v>
      </c>
      <c r="J1225" s="102">
        <v>35.55</v>
      </c>
      <c r="K1225" s="101" t="s">
        <v>2941</v>
      </c>
      <c r="L1225" s="102">
        <v>23.0</v>
      </c>
      <c r="M1225" s="13"/>
    </row>
    <row r="1226">
      <c r="A1226" s="101" t="s">
        <v>3887</v>
      </c>
      <c r="B1226" s="101" t="s">
        <v>3888</v>
      </c>
      <c r="D1226" s="13"/>
      <c r="E1226" s="13"/>
      <c r="F1226" s="13"/>
      <c r="G1226" s="102">
        <v>1.0</v>
      </c>
      <c r="H1226" s="101" t="s">
        <v>2940</v>
      </c>
      <c r="I1226" s="102">
        <v>54.31</v>
      </c>
      <c r="J1226" s="102">
        <v>66.8</v>
      </c>
      <c r="K1226" s="101" t="s">
        <v>2941</v>
      </c>
      <c r="L1226" s="102">
        <v>23.0</v>
      </c>
      <c r="M1226" s="13"/>
    </row>
    <row r="1227">
      <c r="A1227" s="101" t="s">
        <v>3887</v>
      </c>
      <c r="B1227" s="101" t="s">
        <v>3888</v>
      </c>
      <c r="D1227" s="13"/>
      <c r="E1227" s="13"/>
      <c r="F1227" s="13"/>
      <c r="G1227" s="102">
        <v>2.0</v>
      </c>
      <c r="H1227" s="101" t="s">
        <v>2942</v>
      </c>
      <c r="I1227" s="102">
        <v>43.4</v>
      </c>
      <c r="J1227" s="102">
        <v>53.38</v>
      </c>
      <c r="K1227" s="101" t="s">
        <v>2941</v>
      </c>
      <c r="L1227" s="102">
        <v>23.0</v>
      </c>
      <c r="M1227" s="13"/>
    </row>
    <row r="1228">
      <c r="A1228" s="101" t="s">
        <v>3889</v>
      </c>
      <c r="B1228" s="101" t="s">
        <v>3890</v>
      </c>
      <c r="D1228" s="13"/>
      <c r="E1228" s="13"/>
      <c r="F1228" s="13"/>
      <c r="G1228" s="102">
        <v>1.0</v>
      </c>
      <c r="H1228" s="101" t="s">
        <v>2940</v>
      </c>
      <c r="I1228" s="102">
        <v>40.49</v>
      </c>
      <c r="J1228" s="102">
        <v>49.8</v>
      </c>
      <c r="K1228" s="101" t="s">
        <v>2941</v>
      </c>
      <c r="L1228" s="102">
        <v>23.0</v>
      </c>
      <c r="M1228" s="13"/>
    </row>
    <row r="1229">
      <c r="A1229" s="101" t="s">
        <v>3889</v>
      </c>
      <c r="B1229" s="101" t="s">
        <v>3890</v>
      </c>
      <c r="D1229" s="13"/>
      <c r="E1229" s="13"/>
      <c r="F1229" s="13"/>
      <c r="G1229" s="102">
        <v>2.0</v>
      </c>
      <c r="H1229" s="101" t="s">
        <v>2942</v>
      </c>
      <c r="I1229" s="102">
        <v>32.4</v>
      </c>
      <c r="J1229" s="102">
        <v>39.85</v>
      </c>
      <c r="K1229" s="101" t="s">
        <v>2941</v>
      </c>
      <c r="L1229" s="102">
        <v>23.0</v>
      </c>
      <c r="M1229" s="13"/>
    </row>
    <row r="1230">
      <c r="A1230" s="101" t="s">
        <v>3891</v>
      </c>
      <c r="B1230" s="101" t="s">
        <v>3892</v>
      </c>
      <c r="D1230" s="13"/>
      <c r="E1230" s="13"/>
      <c r="F1230" s="13"/>
      <c r="G1230" s="102">
        <v>1.0</v>
      </c>
      <c r="H1230" s="101" t="s">
        <v>2940</v>
      </c>
      <c r="I1230" s="102">
        <v>58.29</v>
      </c>
      <c r="J1230" s="102">
        <v>71.7</v>
      </c>
      <c r="K1230" s="101" t="s">
        <v>2941</v>
      </c>
      <c r="L1230" s="102">
        <v>23.0</v>
      </c>
      <c r="M1230" s="13"/>
    </row>
    <row r="1231">
      <c r="A1231" s="101" t="s">
        <v>3891</v>
      </c>
      <c r="B1231" s="101" t="s">
        <v>3892</v>
      </c>
      <c r="D1231" s="13"/>
      <c r="E1231" s="13"/>
      <c r="F1231" s="13"/>
      <c r="G1231" s="102">
        <v>2.0</v>
      </c>
      <c r="H1231" s="101" t="s">
        <v>2942</v>
      </c>
      <c r="I1231" s="102">
        <v>46.6</v>
      </c>
      <c r="J1231" s="102">
        <v>57.32</v>
      </c>
      <c r="K1231" s="101" t="s">
        <v>2941</v>
      </c>
      <c r="L1231" s="102">
        <v>23.0</v>
      </c>
      <c r="M1231" s="13"/>
    </row>
    <row r="1232">
      <c r="A1232" s="101" t="s">
        <v>3893</v>
      </c>
      <c r="B1232" s="101" t="s">
        <v>3894</v>
      </c>
      <c r="D1232" s="13"/>
      <c r="E1232" s="13"/>
      <c r="F1232" s="13"/>
      <c r="G1232" s="102">
        <v>1.0</v>
      </c>
      <c r="H1232" s="101" t="s">
        <v>2940</v>
      </c>
      <c r="I1232" s="102">
        <v>118.77</v>
      </c>
      <c r="J1232" s="102">
        <v>146.09</v>
      </c>
      <c r="K1232" s="101" t="s">
        <v>2941</v>
      </c>
      <c r="L1232" s="102">
        <v>23.0</v>
      </c>
      <c r="M1232" s="13"/>
    </row>
    <row r="1233">
      <c r="A1233" s="101" t="s">
        <v>3893</v>
      </c>
      <c r="B1233" s="101" t="s">
        <v>3894</v>
      </c>
      <c r="D1233" s="13"/>
      <c r="E1233" s="13"/>
      <c r="F1233" s="13"/>
      <c r="G1233" s="102">
        <v>2.0</v>
      </c>
      <c r="H1233" s="101" t="s">
        <v>2942</v>
      </c>
      <c r="I1233" s="102">
        <v>118.77</v>
      </c>
      <c r="J1233" s="102">
        <v>146.09</v>
      </c>
      <c r="K1233" s="101" t="s">
        <v>2941</v>
      </c>
      <c r="L1233" s="102">
        <v>23.0</v>
      </c>
      <c r="M1233" s="13"/>
    </row>
    <row r="1234">
      <c r="A1234" s="101" t="s">
        <v>3895</v>
      </c>
      <c r="B1234" s="101" t="s">
        <v>3896</v>
      </c>
      <c r="D1234" s="13"/>
      <c r="E1234" s="13"/>
      <c r="F1234" s="13"/>
      <c r="G1234" s="102">
        <v>1.0</v>
      </c>
      <c r="H1234" s="101" t="s">
        <v>2940</v>
      </c>
      <c r="I1234" s="102">
        <v>56.05</v>
      </c>
      <c r="J1234" s="102">
        <v>68.94</v>
      </c>
      <c r="K1234" s="101" t="s">
        <v>2941</v>
      </c>
      <c r="L1234" s="102">
        <v>23.0</v>
      </c>
      <c r="M1234" s="13"/>
    </row>
    <row r="1235">
      <c r="A1235" s="101" t="s">
        <v>3895</v>
      </c>
      <c r="B1235" s="101" t="s">
        <v>3896</v>
      </c>
      <c r="D1235" s="13"/>
      <c r="E1235" s="13"/>
      <c r="F1235" s="13"/>
      <c r="G1235" s="102">
        <v>2.0</v>
      </c>
      <c r="H1235" s="101" t="s">
        <v>2942</v>
      </c>
      <c r="I1235" s="102">
        <v>56.05</v>
      </c>
      <c r="J1235" s="102">
        <v>68.94</v>
      </c>
      <c r="K1235" s="101" t="s">
        <v>2941</v>
      </c>
      <c r="L1235" s="102">
        <v>23.0</v>
      </c>
      <c r="M1235" s="13"/>
    </row>
    <row r="1236">
      <c r="A1236" s="101" t="s">
        <v>3897</v>
      </c>
      <c r="B1236" s="101" t="s">
        <v>3898</v>
      </c>
      <c r="D1236" s="13"/>
      <c r="E1236" s="13"/>
      <c r="F1236" s="13"/>
      <c r="G1236" s="102">
        <v>1.0</v>
      </c>
      <c r="H1236" s="101" t="s">
        <v>2940</v>
      </c>
      <c r="I1236" s="102">
        <v>56.05</v>
      </c>
      <c r="J1236" s="102">
        <v>68.94</v>
      </c>
      <c r="K1236" s="101" t="s">
        <v>2941</v>
      </c>
      <c r="L1236" s="102">
        <v>23.0</v>
      </c>
      <c r="M1236" s="13"/>
    </row>
    <row r="1237">
      <c r="A1237" s="101" t="s">
        <v>3897</v>
      </c>
      <c r="B1237" s="101" t="s">
        <v>3898</v>
      </c>
      <c r="D1237" s="13"/>
      <c r="E1237" s="13"/>
      <c r="F1237" s="13"/>
      <c r="G1237" s="102">
        <v>2.0</v>
      </c>
      <c r="H1237" s="101" t="s">
        <v>2942</v>
      </c>
      <c r="I1237" s="102">
        <v>56.05</v>
      </c>
      <c r="J1237" s="102">
        <v>68.94</v>
      </c>
      <c r="K1237" s="101" t="s">
        <v>2941</v>
      </c>
      <c r="L1237" s="102">
        <v>23.0</v>
      </c>
      <c r="M1237" s="13"/>
    </row>
    <row r="1238">
      <c r="A1238" s="101" t="s">
        <v>3899</v>
      </c>
      <c r="B1238" s="101" t="s">
        <v>3900</v>
      </c>
      <c r="D1238" s="13"/>
      <c r="E1238" s="13"/>
      <c r="F1238" s="13"/>
      <c r="G1238" s="102">
        <v>1.0</v>
      </c>
      <c r="H1238" s="101" t="s">
        <v>2940</v>
      </c>
      <c r="I1238" s="102">
        <v>43.09</v>
      </c>
      <c r="J1238" s="102">
        <v>53.0</v>
      </c>
      <c r="K1238" s="101" t="s">
        <v>2941</v>
      </c>
      <c r="L1238" s="102">
        <v>23.0</v>
      </c>
      <c r="M1238" s="13"/>
    </row>
    <row r="1239">
      <c r="A1239" s="101" t="s">
        <v>3899</v>
      </c>
      <c r="B1239" s="101" t="s">
        <v>3900</v>
      </c>
      <c r="D1239" s="13"/>
      <c r="E1239" s="13"/>
      <c r="F1239" s="13"/>
      <c r="G1239" s="102">
        <v>2.0</v>
      </c>
      <c r="H1239" s="101" t="s">
        <v>2942</v>
      </c>
      <c r="I1239" s="102">
        <v>34.5</v>
      </c>
      <c r="J1239" s="102">
        <v>42.44</v>
      </c>
      <c r="K1239" s="101" t="s">
        <v>2941</v>
      </c>
      <c r="L1239" s="102">
        <v>23.0</v>
      </c>
      <c r="M1239" s="13"/>
    </row>
    <row r="1240">
      <c r="A1240" s="101" t="s">
        <v>3901</v>
      </c>
      <c r="B1240" s="101" t="s">
        <v>3902</v>
      </c>
      <c r="D1240" s="13"/>
      <c r="E1240" s="13"/>
      <c r="F1240" s="13"/>
      <c r="G1240" s="102">
        <v>1.0</v>
      </c>
      <c r="H1240" s="101" t="s">
        <v>2940</v>
      </c>
      <c r="I1240" s="102">
        <v>81.06</v>
      </c>
      <c r="J1240" s="102">
        <v>99.7</v>
      </c>
      <c r="K1240" s="101" t="s">
        <v>2941</v>
      </c>
      <c r="L1240" s="102">
        <v>23.0</v>
      </c>
      <c r="M1240" s="13"/>
    </row>
    <row r="1241">
      <c r="A1241" s="101" t="s">
        <v>3901</v>
      </c>
      <c r="B1241" s="101" t="s">
        <v>3902</v>
      </c>
      <c r="D1241" s="13"/>
      <c r="E1241" s="13"/>
      <c r="F1241" s="13"/>
      <c r="G1241" s="102">
        <v>2.0</v>
      </c>
      <c r="H1241" s="101" t="s">
        <v>2942</v>
      </c>
      <c r="I1241" s="102">
        <v>64.8</v>
      </c>
      <c r="J1241" s="102">
        <v>79.7</v>
      </c>
      <c r="K1241" s="101" t="s">
        <v>2941</v>
      </c>
      <c r="L1241" s="102">
        <v>23.0</v>
      </c>
      <c r="M1241" s="13"/>
    </row>
    <row r="1242">
      <c r="A1242" s="101" t="s">
        <v>3903</v>
      </c>
      <c r="B1242" s="101" t="s">
        <v>3904</v>
      </c>
      <c r="D1242" s="13"/>
      <c r="E1242" s="13"/>
      <c r="F1242" s="13"/>
      <c r="G1242" s="102">
        <v>1.0</v>
      </c>
      <c r="H1242" s="101" t="s">
        <v>2940</v>
      </c>
      <c r="I1242" s="102">
        <v>111.22</v>
      </c>
      <c r="J1242" s="102">
        <v>136.8</v>
      </c>
      <c r="K1242" s="101" t="s">
        <v>2941</v>
      </c>
      <c r="L1242" s="102">
        <v>23.0</v>
      </c>
      <c r="M1242" s="13"/>
    </row>
    <row r="1243">
      <c r="A1243" s="101" t="s">
        <v>3903</v>
      </c>
      <c r="B1243" s="101" t="s">
        <v>3904</v>
      </c>
      <c r="D1243" s="13"/>
      <c r="E1243" s="13"/>
      <c r="F1243" s="13"/>
      <c r="G1243" s="102">
        <v>2.0</v>
      </c>
      <c r="H1243" s="101" t="s">
        <v>2942</v>
      </c>
      <c r="I1243" s="102">
        <v>89.0</v>
      </c>
      <c r="J1243" s="102">
        <v>109.47</v>
      </c>
      <c r="K1243" s="101" t="s">
        <v>2941</v>
      </c>
      <c r="L1243" s="102">
        <v>23.0</v>
      </c>
      <c r="M1243" s="13"/>
    </row>
    <row r="1244">
      <c r="A1244" s="101" t="s">
        <v>3905</v>
      </c>
      <c r="B1244" s="101" t="s">
        <v>3906</v>
      </c>
      <c r="D1244" s="13"/>
      <c r="E1244" s="13"/>
      <c r="F1244" s="13"/>
      <c r="G1244" s="102">
        <v>1.0</v>
      </c>
      <c r="H1244" s="101" t="s">
        <v>2940</v>
      </c>
      <c r="I1244" s="102">
        <v>114.55</v>
      </c>
      <c r="J1244" s="102">
        <v>140.9</v>
      </c>
      <c r="K1244" s="101" t="s">
        <v>2941</v>
      </c>
      <c r="L1244" s="102">
        <v>23.0</v>
      </c>
      <c r="M1244" s="13"/>
    </row>
    <row r="1245">
      <c r="A1245" s="101" t="s">
        <v>3905</v>
      </c>
      <c r="B1245" s="101" t="s">
        <v>3906</v>
      </c>
      <c r="D1245" s="13"/>
      <c r="E1245" s="13"/>
      <c r="F1245" s="13"/>
      <c r="G1245" s="102">
        <v>2.0</v>
      </c>
      <c r="H1245" s="101" t="s">
        <v>2942</v>
      </c>
      <c r="I1245" s="102">
        <v>91.6</v>
      </c>
      <c r="J1245" s="102">
        <v>112.67</v>
      </c>
      <c r="K1245" s="101" t="s">
        <v>2941</v>
      </c>
      <c r="L1245" s="102">
        <v>23.0</v>
      </c>
      <c r="M1245" s="13"/>
    </row>
    <row r="1246">
      <c r="A1246" s="101" t="s">
        <v>3907</v>
      </c>
      <c r="B1246" s="101" t="s">
        <v>3908</v>
      </c>
      <c r="D1246" s="13"/>
      <c r="E1246" s="13"/>
      <c r="F1246" s="13"/>
      <c r="G1246" s="102">
        <v>1.0</v>
      </c>
      <c r="H1246" s="101" t="s">
        <v>2940</v>
      </c>
      <c r="I1246" s="102">
        <v>112.1</v>
      </c>
      <c r="J1246" s="102">
        <v>137.88</v>
      </c>
      <c r="K1246" s="101" t="s">
        <v>2941</v>
      </c>
      <c r="L1246" s="102">
        <v>23.0</v>
      </c>
      <c r="M1246" s="13"/>
    </row>
    <row r="1247">
      <c r="A1247" s="101" t="s">
        <v>3907</v>
      </c>
      <c r="B1247" s="101" t="s">
        <v>3908</v>
      </c>
      <c r="D1247" s="13"/>
      <c r="E1247" s="13"/>
      <c r="F1247" s="13"/>
      <c r="G1247" s="102">
        <v>2.0</v>
      </c>
      <c r="H1247" s="101" t="s">
        <v>2942</v>
      </c>
      <c r="I1247" s="102">
        <v>112.1</v>
      </c>
      <c r="J1247" s="102">
        <v>137.88</v>
      </c>
      <c r="K1247" s="101" t="s">
        <v>2941</v>
      </c>
      <c r="L1247" s="102">
        <v>23.0</v>
      </c>
      <c r="M1247" s="13"/>
    </row>
    <row r="1248">
      <c r="A1248" s="101" t="s">
        <v>3909</v>
      </c>
      <c r="B1248" s="101" t="s">
        <v>3910</v>
      </c>
      <c r="D1248" s="13"/>
      <c r="E1248" s="13"/>
      <c r="F1248" s="13"/>
      <c r="G1248" s="102">
        <v>1.0</v>
      </c>
      <c r="H1248" s="101" t="s">
        <v>2940</v>
      </c>
      <c r="I1248" s="102">
        <v>86.18</v>
      </c>
      <c r="J1248" s="102">
        <v>106.0</v>
      </c>
      <c r="K1248" s="101" t="s">
        <v>2941</v>
      </c>
      <c r="L1248" s="102">
        <v>23.0</v>
      </c>
      <c r="M1248" s="13"/>
    </row>
    <row r="1249">
      <c r="A1249" s="101" t="s">
        <v>3909</v>
      </c>
      <c r="B1249" s="101" t="s">
        <v>3910</v>
      </c>
      <c r="D1249" s="13"/>
      <c r="E1249" s="13"/>
      <c r="F1249" s="13"/>
      <c r="G1249" s="102">
        <v>2.0</v>
      </c>
      <c r="H1249" s="101" t="s">
        <v>2942</v>
      </c>
      <c r="I1249" s="102">
        <v>69.0</v>
      </c>
      <c r="J1249" s="102">
        <v>84.87</v>
      </c>
      <c r="K1249" s="101" t="s">
        <v>2941</v>
      </c>
      <c r="L1249" s="102">
        <v>23.0</v>
      </c>
      <c r="M1249" s="13"/>
    </row>
    <row r="1250">
      <c r="A1250" s="101" t="s">
        <v>3911</v>
      </c>
      <c r="B1250" s="101" t="s">
        <v>3912</v>
      </c>
      <c r="D1250" s="13"/>
      <c r="E1250" s="13"/>
      <c r="F1250" s="13"/>
      <c r="G1250" s="102">
        <v>1.0</v>
      </c>
      <c r="H1250" s="101" t="s">
        <v>2940</v>
      </c>
      <c r="I1250" s="102">
        <v>146.8</v>
      </c>
      <c r="J1250" s="102">
        <v>180.56</v>
      </c>
      <c r="K1250" s="101" t="s">
        <v>2941</v>
      </c>
      <c r="L1250" s="102">
        <v>23.0</v>
      </c>
      <c r="M1250" s="13"/>
    </row>
    <row r="1251">
      <c r="A1251" s="101" t="s">
        <v>3911</v>
      </c>
      <c r="B1251" s="101" t="s">
        <v>3912</v>
      </c>
      <c r="D1251" s="13"/>
      <c r="E1251" s="13"/>
      <c r="F1251" s="13"/>
      <c r="G1251" s="102">
        <v>2.0</v>
      </c>
      <c r="H1251" s="101" t="s">
        <v>2942</v>
      </c>
      <c r="I1251" s="102">
        <v>146.8</v>
      </c>
      <c r="J1251" s="102">
        <v>180.56</v>
      </c>
      <c r="K1251" s="101" t="s">
        <v>2941</v>
      </c>
      <c r="L1251" s="102">
        <v>23.0</v>
      </c>
      <c r="M1251" s="13"/>
    </row>
    <row r="1252">
      <c r="A1252" s="101" t="s">
        <v>3913</v>
      </c>
      <c r="B1252" s="101" t="s">
        <v>3914</v>
      </c>
      <c r="D1252" s="13"/>
      <c r="E1252" s="13"/>
      <c r="F1252" s="13"/>
      <c r="G1252" s="102">
        <v>1.0</v>
      </c>
      <c r="H1252" s="101" t="s">
        <v>2940</v>
      </c>
      <c r="I1252" s="102">
        <v>121.63</v>
      </c>
      <c r="J1252" s="102">
        <v>149.6</v>
      </c>
      <c r="K1252" s="101" t="s">
        <v>2941</v>
      </c>
      <c r="L1252" s="102">
        <v>23.0</v>
      </c>
      <c r="M1252" s="13"/>
    </row>
    <row r="1253">
      <c r="A1253" s="101" t="s">
        <v>3913</v>
      </c>
      <c r="B1253" s="101" t="s">
        <v>3914</v>
      </c>
      <c r="D1253" s="13"/>
      <c r="E1253" s="13"/>
      <c r="F1253" s="13"/>
      <c r="G1253" s="102">
        <v>2.0</v>
      </c>
      <c r="H1253" s="101" t="s">
        <v>2942</v>
      </c>
      <c r="I1253" s="102">
        <v>97.3</v>
      </c>
      <c r="J1253" s="102">
        <v>119.68</v>
      </c>
      <c r="K1253" s="101" t="s">
        <v>2941</v>
      </c>
      <c r="L1253" s="102">
        <v>23.0</v>
      </c>
      <c r="M1253" s="13"/>
    </row>
    <row r="1254">
      <c r="A1254" s="101" t="s">
        <v>3915</v>
      </c>
      <c r="B1254" s="101" t="s">
        <v>3916</v>
      </c>
      <c r="D1254" s="13"/>
      <c r="E1254" s="13"/>
      <c r="F1254" s="13"/>
      <c r="G1254" s="102">
        <v>1.0</v>
      </c>
      <c r="H1254" s="101" t="s">
        <v>2940</v>
      </c>
      <c r="I1254" s="102">
        <v>174.88</v>
      </c>
      <c r="J1254" s="102">
        <v>215.1</v>
      </c>
      <c r="K1254" s="101" t="s">
        <v>2941</v>
      </c>
      <c r="L1254" s="102">
        <v>23.0</v>
      </c>
      <c r="M1254" s="13"/>
    </row>
    <row r="1255">
      <c r="A1255" s="101" t="s">
        <v>3915</v>
      </c>
      <c r="B1255" s="101" t="s">
        <v>3916</v>
      </c>
      <c r="D1255" s="13"/>
      <c r="E1255" s="13"/>
      <c r="F1255" s="13"/>
      <c r="G1255" s="102">
        <v>2.0</v>
      </c>
      <c r="H1255" s="101" t="s">
        <v>2942</v>
      </c>
      <c r="I1255" s="102">
        <v>139.9</v>
      </c>
      <c r="J1255" s="102">
        <v>172.08</v>
      </c>
      <c r="K1255" s="101" t="s">
        <v>2941</v>
      </c>
      <c r="L1255" s="102">
        <v>23.0</v>
      </c>
      <c r="M1255" s="13"/>
    </row>
    <row r="1256">
      <c r="A1256" s="101" t="s">
        <v>3917</v>
      </c>
      <c r="B1256" s="101" t="s">
        <v>3918</v>
      </c>
      <c r="D1256" s="13"/>
      <c r="E1256" s="13"/>
      <c r="F1256" s="13"/>
      <c r="G1256" s="102">
        <v>1.0</v>
      </c>
      <c r="H1256" s="101" t="s">
        <v>2940</v>
      </c>
      <c r="I1256" s="102">
        <v>168.15</v>
      </c>
      <c r="J1256" s="102">
        <v>206.82</v>
      </c>
      <c r="K1256" s="101" t="s">
        <v>2941</v>
      </c>
      <c r="L1256" s="102">
        <v>23.0</v>
      </c>
      <c r="M1256" s="13"/>
    </row>
    <row r="1257">
      <c r="A1257" s="101" t="s">
        <v>3917</v>
      </c>
      <c r="B1257" s="101" t="s">
        <v>3918</v>
      </c>
      <c r="D1257" s="13"/>
      <c r="E1257" s="13"/>
      <c r="F1257" s="13"/>
      <c r="G1257" s="102">
        <v>2.0</v>
      </c>
      <c r="H1257" s="101" t="s">
        <v>2942</v>
      </c>
      <c r="I1257" s="102">
        <v>168.15</v>
      </c>
      <c r="J1257" s="102">
        <v>206.82</v>
      </c>
      <c r="K1257" s="101" t="s">
        <v>2941</v>
      </c>
      <c r="L1257" s="102">
        <v>23.0</v>
      </c>
      <c r="M1257" s="13"/>
    </row>
    <row r="1258">
      <c r="A1258" s="101" t="s">
        <v>3919</v>
      </c>
      <c r="B1258" s="101" t="s">
        <v>3920</v>
      </c>
      <c r="D1258" s="13"/>
      <c r="E1258" s="13"/>
      <c r="F1258" s="13"/>
      <c r="G1258" s="102">
        <v>1.0</v>
      </c>
      <c r="H1258" s="101" t="s">
        <v>2940</v>
      </c>
      <c r="I1258" s="102">
        <v>190.35</v>
      </c>
      <c r="J1258" s="102">
        <v>234.13</v>
      </c>
      <c r="K1258" s="101" t="s">
        <v>2941</v>
      </c>
      <c r="L1258" s="102">
        <v>23.0</v>
      </c>
      <c r="M1258" s="13"/>
    </row>
    <row r="1259">
      <c r="A1259" s="101" t="s">
        <v>3919</v>
      </c>
      <c r="B1259" s="101" t="s">
        <v>3920</v>
      </c>
      <c r="D1259" s="13"/>
      <c r="E1259" s="13"/>
      <c r="F1259" s="13"/>
      <c r="G1259" s="102">
        <v>2.0</v>
      </c>
      <c r="H1259" s="101" t="s">
        <v>2942</v>
      </c>
      <c r="I1259" s="102">
        <v>190.35</v>
      </c>
      <c r="J1259" s="102">
        <v>234.13</v>
      </c>
      <c r="K1259" s="101" t="s">
        <v>2941</v>
      </c>
      <c r="L1259" s="102">
        <v>23.0</v>
      </c>
      <c r="M1259" s="13"/>
    </row>
    <row r="1260">
      <c r="A1260" s="101" t="s">
        <v>3921</v>
      </c>
      <c r="B1260" s="101" t="s">
        <v>3922</v>
      </c>
      <c r="D1260" s="13"/>
      <c r="E1260" s="13"/>
      <c r="F1260" s="13"/>
      <c r="G1260" s="102">
        <v>1.0</v>
      </c>
      <c r="H1260" s="101" t="s">
        <v>2940</v>
      </c>
      <c r="I1260" s="102">
        <v>162.6</v>
      </c>
      <c r="J1260" s="102">
        <v>200.0</v>
      </c>
      <c r="K1260" s="101" t="s">
        <v>2941</v>
      </c>
      <c r="L1260" s="102">
        <v>23.0</v>
      </c>
      <c r="M1260" s="13"/>
    </row>
    <row r="1261">
      <c r="A1261" s="101" t="s">
        <v>3921</v>
      </c>
      <c r="B1261" s="101" t="s">
        <v>3922</v>
      </c>
      <c r="D1261" s="13"/>
      <c r="E1261" s="13"/>
      <c r="F1261" s="13"/>
      <c r="G1261" s="102">
        <v>2.0</v>
      </c>
      <c r="H1261" s="101" t="s">
        <v>2942</v>
      </c>
      <c r="I1261" s="102">
        <v>158.85</v>
      </c>
      <c r="J1261" s="102">
        <v>195.39</v>
      </c>
      <c r="K1261" s="101" t="s">
        <v>2941</v>
      </c>
      <c r="L1261" s="102">
        <v>23.0</v>
      </c>
      <c r="M1261" s="13"/>
    </row>
    <row r="1262">
      <c r="A1262" s="101" t="s">
        <v>3923</v>
      </c>
      <c r="B1262" s="101">
        <v>283.0</v>
      </c>
      <c r="C1262" s="13"/>
      <c r="D1262" s="13"/>
      <c r="E1262" s="13"/>
      <c r="F1262" s="13"/>
      <c r="G1262" s="102">
        <v>1.0</v>
      </c>
      <c r="H1262" s="101" t="s">
        <v>2940</v>
      </c>
      <c r="I1262" s="102">
        <v>194.31</v>
      </c>
      <c r="J1262" s="102">
        <v>239.0</v>
      </c>
      <c r="K1262" s="101" t="s">
        <v>2941</v>
      </c>
      <c r="L1262" s="102">
        <v>23.0</v>
      </c>
      <c r="M1262" s="13"/>
    </row>
    <row r="1263">
      <c r="A1263" s="101" t="s">
        <v>3923</v>
      </c>
      <c r="B1263" s="101">
        <v>283.0</v>
      </c>
      <c r="C1263" s="13"/>
      <c r="D1263" s="13"/>
      <c r="E1263" s="13"/>
      <c r="F1263" s="13"/>
      <c r="G1263" s="102">
        <v>2.0</v>
      </c>
      <c r="H1263" s="101" t="s">
        <v>2942</v>
      </c>
      <c r="I1263" s="102">
        <v>194.3</v>
      </c>
      <c r="J1263" s="102">
        <v>238.99</v>
      </c>
      <c r="K1263" s="101" t="s">
        <v>2941</v>
      </c>
      <c r="L1263" s="102">
        <v>23.0</v>
      </c>
      <c r="M1263" s="13"/>
    </row>
    <row r="1264">
      <c r="A1264" s="101" t="s">
        <v>3924</v>
      </c>
      <c r="B1264" s="101">
        <v>857.0</v>
      </c>
      <c r="C1264" s="13"/>
      <c r="D1264" s="13"/>
      <c r="E1264" s="13"/>
      <c r="F1264" s="13"/>
      <c r="G1264" s="102">
        <v>1.0</v>
      </c>
      <c r="H1264" s="101" t="s">
        <v>2940</v>
      </c>
      <c r="I1264" s="102">
        <v>95.2</v>
      </c>
      <c r="J1264" s="102">
        <v>117.1</v>
      </c>
      <c r="K1264" s="101" t="s">
        <v>2941</v>
      </c>
      <c r="L1264" s="102">
        <v>23.0</v>
      </c>
      <c r="M1264" s="13"/>
    </row>
    <row r="1265">
      <c r="A1265" s="101" t="s">
        <v>3924</v>
      </c>
      <c r="B1265" s="101">
        <v>857.0</v>
      </c>
      <c r="C1265" s="13"/>
      <c r="D1265" s="13"/>
      <c r="E1265" s="13"/>
      <c r="F1265" s="13"/>
      <c r="G1265" s="102">
        <v>2.0</v>
      </c>
      <c r="H1265" s="101" t="s">
        <v>2942</v>
      </c>
      <c r="I1265" s="102">
        <v>95.2</v>
      </c>
      <c r="J1265" s="102">
        <v>117.1</v>
      </c>
      <c r="K1265" s="101" t="s">
        <v>2941</v>
      </c>
      <c r="L1265" s="102">
        <v>23.0</v>
      </c>
      <c r="M1265" s="13"/>
    </row>
    <row r="1266">
      <c r="A1266" s="101" t="s">
        <v>3925</v>
      </c>
      <c r="B1266" s="101">
        <v>858.0</v>
      </c>
      <c r="C1266" s="13"/>
      <c r="D1266" s="13"/>
      <c r="E1266" s="13"/>
      <c r="F1266" s="13"/>
      <c r="G1266" s="102">
        <v>1.0</v>
      </c>
      <c r="H1266" s="101" t="s">
        <v>2940</v>
      </c>
      <c r="I1266" s="102">
        <v>171.38</v>
      </c>
      <c r="J1266" s="102">
        <v>210.8</v>
      </c>
      <c r="K1266" s="101" t="s">
        <v>2941</v>
      </c>
      <c r="L1266" s="102">
        <v>23.0</v>
      </c>
      <c r="M1266" s="13"/>
    </row>
    <row r="1267">
      <c r="A1267" s="101" t="s">
        <v>3925</v>
      </c>
      <c r="B1267" s="101">
        <v>858.0</v>
      </c>
      <c r="C1267" s="13"/>
      <c r="D1267" s="13"/>
      <c r="E1267" s="13"/>
      <c r="F1267" s="13"/>
      <c r="G1267" s="102">
        <v>2.0</v>
      </c>
      <c r="H1267" s="101" t="s">
        <v>2942</v>
      </c>
      <c r="I1267" s="102">
        <v>137.1</v>
      </c>
      <c r="J1267" s="102">
        <v>168.63</v>
      </c>
      <c r="K1267" s="101" t="s">
        <v>2941</v>
      </c>
      <c r="L1267" s="102">
        <v>23.0</v>
      </c>
      <c r="M1267" s="13"/>
    </row>
    <row r="1268">
      <c r="A1268" s="101" t="s">
        <v>3926</v>
      </c>
      <c r="B1268" s="101">
        <v>1420.0</v>
      </c>
      <c r="C1268" s="13"/>
      <c r="D1268" s="13"/>
      <c r="E1268" s="13"/>
      <c r="F1268" s="13"/>
      <c r="G1268" s="102">
        <v>1.0</v>
      </c>
      <c r="H1268" s="101" t="s">
        <v>2940</v>
      </c>
      <c r="I1268" s="102">
        <v>210.0</v>
      </c>
      <c r="J1268" s="102">
        <v>258.3</v>
      </c>
      <c r="K1268" s="101" t="s">
        <v>2941</v>
      </c>
      <c r="L1268" s="102">
        <v>23.0</v>
      </c>
      <c r="M1268" s="13"/>
    </row>
    <row r="1269">
      <c r="A1269" s="101" t="s">
        <v>3926</v>
      </c>
      <c r="B1269" s="101">
        <v>1420.0</v>
      </c>
      <c r="C1269" s="13"/>
      <c r="D1269" s="13"/>
      <c r="E1269" s="13"/>
      <c r="F1269" s="13"/>
      <c r="G1269" s="102">
        <v>2.0</v>
      </c>
      <c r="H1269" s="101" t="s">
        <v>2942</v>
      </c>
      <c r="I1269" s="102">
        <v>210.0</v>
      </c>
      <c r="J1269" s="102">
        <v>258.3</v>
      </c>
      <c r="K1269" s="101" t="s">
        <v>2941</v>
      </c>
      <c r="L1269" s="102">
        <v>23.0</v>
      </c>
      <c r="M1269" s="13"/>
    </row>
    <row r="1270">
      <c r="A1270" s="101" t="s">
        <v>3927</v>
      </c>
      <c r="B1270" s="101">
        <v>859.0</v>
      </c>
      <c r="C1270" s="13"/>
      <c r="D1270" s="13"/>
      <c r="E1270" s="13"/>
      <c r="F1270" s="13"/>
      <c r="G1270" s="102">
        <v>1.0</v>
      </c>
      <c r="H1270" s="101" t="s">
        <v>2940</v>
      </c>
      <c r="I1270" s="102">
        <v>285.61</v>
      </c>
      <c r="J1270" s="102">
        <v>351.3</v>
      </c>
      <c r="K1270" s="101" t="s">
        <v>2941</v>
      </c>
      <c r="L1270" s="102">
        <v>23.0</v>
      </c>
      <c r="M1270" s="13"/>
    </row>
    <row r="1271">
      <c r="A1271" s="101" t="s">
        <v>3927</v>
      </c>
      <c r="B1271" s="101">
        <v>859.0</v>
      </c>
      <c r="C1271" s="13"/>
      <c r="D1271" s="13"/>
      <c r="E1271" s="13"/>
      <c r="F1271" s="13"/>
      <c r="G1271" s="102">
        <v>2.0</v>
      </c>
      <c r="H1271" s="101" t="s">
        <v>2942</v>
      </c>
      <c r="I1271" s="102">
        <v>285.6</v>
      </c>
      <c r="J1271" s="102">
        <v>351.29</v>
      </c>
      <c r="K1271" s="101" t="s">
        <v>2941</v>
      </c>
      <c r="L1271" s="102">
        <v>23.0</v>
      </c>
      <c r="M1271" s="13"/>
    </row>
    <row r="1272">
      <c r="A1272" s="101" t="s">
        <v>3928</v>
      </c>
      <c r="B1272" s="101">
        <v>1421.0</v>
      </c>
      <c r="C1272" s="13"/>
      <c r="D1272" s="13"/>
      <c r="E1272" s="13"/>
      <c r="F1272" s="13"/>
      <c r="G1272" s="102">
        <v>1.0</v>
      </c>
      <c r="H1272" s="101" t="s">
        <v>2940</v>
      </c>
      <c r="I1272" s="102">
        <v>315.04</v>
      </c>
      <c r="J1272" s="102">
        <v>387.5</v>
      </c>
      <c r="K1272" s="101" t="s">
        <v>2941</v>
      </c>
      <c r="L1272" s="102">
        <v>23.0</v>
      </c>
      <c r="M1272" s="13"/>
    </row>
    <row r="1273">
      <c r="A1273" s="101" t="s">
        <v>3928</v>
      </c>
      <c r="B1273" s="101">
        <v>1421.0</v>
      </c>
      <c r="C1273" s="13"/>
      <c r="D1273" s="13"/>
      <c r="E1273" s="13"/>
      <c r="F1273" s="13"/>
      <c r="G1273" s="102">
        <v>2.0</v>
      </c>
      <c r="H1273" s="101" t="s">
        <v>2942</v>
      </c>
      <c r="I1273" s="102">
        <v>315.0</v>
      </c>
      <c r="J1273" s="102">
        <v>387.45</v>
      </c>
      <c r="K1273" s="101" t="s">
        <v>2941</v>
      </c>
      <c r="L1273" s="102">
        <v>23.0</v>
      </c>
      <c r="M1273" s="13"/>
    </row>
    <row r="1274">
      <c r="A1274" s="101" t="s">
        <v>3929</v>
      </c>
      <c r="B1274" s="101" t="s">
        <v>3930</v>
      </c>
      <c r="C1274" s="13"/>
      <c r="D1274" s="13"/>
      <c r="E1274" s="13"/>
      <c r="F1274" s="13"/>
      <c r="G1274" s="102">
        <v>1.0</v>
      </c>
      <c r="H1274" s="101" t="s">
        <v>2940</v>
      </c>
      <c r="I1274" s="102">
        <v>52.76</v>
      </c>
      <c r="J1274" s="102">
        <v>64.89</v>
      </c>
      <c r="K1274" s="101" t="s">
        <v>2941</v>
      </c>
      <c r="L1274" s="102">
        <v>23.0</v>
      </c>
      <c r="M1274" s="13"/>
    </row>
    <row r="1275">
      <c r="A1275" s="101" t="s">
        <v>3929</v>
      </c>
      <c r="B1275" s="101" t="s">
        <v>3930</v>
      </c>
      <c r="C1275" s="13"/>
      <c r="D1275" s="13"/>
      <c r="E1275" s="13"/>
      <c r="F1275" s="13"/>
      <c r="G1275" s="102">
        <v>2.0</v>
      </c>
      <c r="H1275" s="101" t="s">
        <v>2942</v>
      </c>
      <c r="I1275" s="102">
        <v>42.2</v>
      </c>
      <c r="J1275" s="102">
        <v>51.91</v>
      </c>
      <c r="K1275" s="101" t="s">
        <v>2941</v>
      </c>
      <c r="L1275" s="102">
        <v>23.0</v>
      </c>
      <c r="M1275" s="13"/>
    </row>
    <row r="1276">
      <c r="A1276" s="101" t="s">
        <v>3931</v>
      </c>
      <c r="B1276" s="101" t="s">
        <v>3932</v>
      </c>
      <c r="C1276" s="13"/>
      <c r="D1276" s="13"/>
      <c r="E1276" s="13"/>
      <c r="F1276" s="13"/>
      <c r="G1276" s="102">
        <v>1.0</v>
      </c>
      <c r="H1276" s="101" t="s">
        <v>2940</v>
      </c>
      <c r="I1276" s="102">
        <v>113.01</v>
      </c>
      <c r="J1276" s="102">
        <v>139.0</v>
      </c>
      <c r="K1276" s="101" t="s">
        <v>2941</v>
      </c>
      <c r="L1276" s="102">
        <v>23.0</v>
      </c>
      <c r="M1276" s="13"/>
    </row>
    <row r="1277">
      <c r="A1277" s="101" t="s">
        <v>3931</v>
      </c>
      <c r="B1277" s="101" t="s">
        <v>3932</v>
      </c>
      <c r="C1277" s="13"/>
      <c r="D1277" s="13"/>
      <c r="E1277" s="13"/>
      <c r="F1277" s="13"/>
      <c r="G1277" s="102">
        <v>2.0</v>
      </c>
      <c r="H1277" s="101" t="s">
        <v>2942</v>
      </c>
      <c r="I1277" s="102">
        <v>90.4</v>
      </c>
      <c r="J1277" s="102">
        <v>111.19</v>
      </c>
      <c r="K1277" s="101" t="s">
        <v>2941</v>
      </c>
      <c r="L1277" s="102">
        <v>23.0</v>
      </c>
      <c r="M1277" s="13"/>
    </row>
    <row r="1278">
      <c r="A1278" s="101" t="s">
        <v>3933</v>
      </c>
      <c r="B1278" s="101" t="s">
        <v>3934</v>
      </c>
      <c r="C1278" s="13"/>
      <c r="D1278" s="13"/>
      <c r="E1278" s="13"/>
      <c r="F1278" s="13"/>
      <c r="G1278" s="102">
        <v>1.0</v>
      </c>
      <c r="H1278" s="101" t="s">
        <v>2940</v>
      </c>
      <c r="I1278" s="102">
        <v>158.21</v>
      </c>
      <c r="J1278" s="102">
        <v>194.6</v>
      </c>
      <c r="K1278" s="101" t="s">
        <v>2941</v>
      </c>
      <c r="L1278" s="102">
        <v>23.0</v>
      </c>
      <c r="M1278" s="13"/>
    </row>
    <row r="1279">
      <c r="A1279" s="101" t="s">
        <v>3933</v>
      </c>
      <c r="B1279" s="101" t="s">
        <v>3934</v>
      </c>
      <c r="C1279" s="13"/>
      <c r="D1279" s="13"/>
      <c r="E1279" s="13"/>
      <c r="F1279" s="13"/>
      <c r="G1279" s="102">
        <v>2.0</v>
      </c>
      <c r="H1279" s="101" t="s">
        <v>2942</v>
      </c>
      <c r="I1279" s="102">
        <v>126.6</v>
      </c>
      <c r="J1279" s="102">
        <v>155.72</v>
      </c>
      <c r="K1279" s="101" t="s">
        <v>2941</v>
      </c>
      <c r="L1279" s="102">
        <v>23.0</v>
      </c>
      <c r="M1279" s="13"/>
    </row>
    <row r="1280">
      <c r="A1280" s="101" t="s">
        <v>3935</v>
      </c>
      <c r="B1280" s="101" t="s">
        <v>3936</v>
      </c>
      <c r="D1280" s="13"/>
      <c r="E1280" s="13"/>
      <c r="F1280" s="13"/>
      <c r="G1280" s="102">
        <v>1.0</v>
      </c>
      <c r="H1280" s="101" t="s">
        <v>2940</v>
      </c>
      <c r="I1280" s="102">
        <v>54.39</v>
      </c>
      <c r="J1280" s="102">
        <v>66.9</v>
      </c>
      <c r="K1280" s="101" t="s">
        <v>2941</v>
      </c>
      <c r="L1280" s="102">
        <v>23.0</v>
      </c>
      <c r="M1280" s="13"/>
    </row>
    <row r="1281">
      <c r="A1281" s="101" t="s">
        <v>3935</v>
      </c>
      <c r="B1281" s="101" t="s">
        <v>3936</v>
      </c>
      <c r="D1281" s="13"/>
      <c r="E1281" s="13"/>
      <c r="F1281" s="13"/>
      <c r="G1281" s="102">
        <v>2.0</v>
      </c>
      <c r="H1281" s="101" t="s">
        <v>2942</v>
      </c>
      <c r="I1281" s="102">
        <v>43.5</v>
      </c>
      <c r="J1281" s="102">
        <v>53.51</v>
      </c>
      <c r="K1281" s="101" t="s">
        <v>2941</v>
      </c>
      <c r="L1281" s="102">
        <v>23.0</v>
      </c>
      <c r="M1281" s="13"/>
    </row>
    <row r="1282">
      <c r="A1282" s="101" t="s">
        <v>3937</v>
      </c>
      <c r="B1282" s="101" t="s">
        <v>3938</v>
      </c>
      <c r="D1282" s="13"/>
      <c r="E1282" s="13"/>
      <c r="F1282" s="13"/>
      <c r="G1282" s="102">
        <v>1.0</v>
      </c>
      <c r="H1282" s="101" t="s">
        <v>2940</v>
      </c>
      <c r="I1282" s="102">
        <v>69.6</v>
      </c>
      <c r="J1282" s="102">
        <v>85.61</v>
      </c>
      <c r="K1282" s="101" t="s">
        <v>2941</v>
      </c>
      <c r="L1282" s="102">
        <v>23.0</v>
      </c>
      <c r="M1282" s="13"/>
    </row>
    <row r="1283">
      <c r="A1283" s="101" t="s">
        <v>3937</v>
      </c>
      <c r="B1283" s="101" t="s">
        <v>3938</v>
      </c>
      <c r="D1283" s="13"/>
      <c r="E1283" s="13"/>
      <c r="F1283" s="13"/>
      <c r="G1283" s="102">
        <v>2.0</v>
      </c>
      <c r="H1283" s="101" t="s">
        <v>2942</v>
      </c>
      <c r="I1283" s="102">
        <v>69.6</v>
      </c>
      <c r="J1283" s="102">
        <v>85.61</v>
      </c>
      <c r="K1283" s="101" t="s">
        <v>2941</v>
      </c>
      <c r="L1283" s="102">
        <v>23.0</v>
      </c>
      <c r="M1283" s="13"/>
    </row>
    <row r="1284">
      <c r="A1284" s="101" t="s">
        <v>3939</v>
      </c>
      <c r="B1284" s="101" t="s">
        <v>3940</v>
      </c>
      <c r="D1284" s="13"/>
      <c r="E1284" s="13"/>
      <c r="F1284" s="13"/>
      <c r="G1284" s="102">
        <v>1.0</v>
      </c>
      <c r="H1284" s="101" t="s">
        <v>2940</v>
      </c>
      <c r="I1284" s="102">
        <v>69.6</v>
      </c>
      <c r="J1284" s="102">
        <v>85.61</v>
      </c>
      <c r="K1284" s="101" t="s">
        <v>2941</v>
      </c>
      <c r="L1284" s="102">
        <v>23.0</v>
      </c>
      <c r="M1284" s="13"/>
    </row>
    <row r="1285">
      <c r="A1285" s="101" t="s">
        <v>3939</v>
      </c>
      <c r="B1285" s="101" t="s">
        <v>3940</v>
      </c>
      <c r="D1285" s="13"/>
      <c r="E1285" s="13"/>
      <c r="F1285" s="13"/>
      <c r="G1285" s="102">
        <v>2.0</v>
      </c>
      <c r="H1285" s="101" t="s">
        <v>2942</v>
      </c>
      <c r="I1285" s="102">
        <v>69.6</v>
      </c>
      <c r="J1285" s="102">
        <v>85.61</v>
      </c>
      <c r="K1285" s="101" t="s">
        <v>2941</v>
      </c>
      <c r="L1285" s="102">
        <v>23.0</v>
      </c>
      <c r="M1285" s="13"/>
    </row>
    <row r="1286">
      <c r="A1286" s="101" t="s">
        <v>3941</v>
      </c>
      <c r="B1286" s="101" t="s">
        <v>3942</v>
      </c>
      <c r="D1286" s="13"/>
      <c r="E1286" s="13"/>
      <c r="F1286" s="13"/>
      <c r="G1286" s="102">
        <v>1.0</v>
      </c>
      <c r="H1286" s="101" t="s">
        <v>2940</v>
      </c>
      <c r="I1286" s="102">
        <v>108.7</v>
      </c>
      <c r="J1286" s="102">
        <v>133.7</v>
      </c>
      <c r="K1286" s="101" t="s">
        <v>2941</v>
      </c>
      <c r="L1286" s="102">
        <v>23.0</v>
      </c>
      <c r="M1286" s="13"/>
    </row>
    <row r="1287">
      <c r="A1287" s="101" t="s">
        <v>3941</v>
      </c>
      <c r="B1287" s="101" t="s">
        <v>3942</v>
      </c>
      <c r="D1287" s="13"/>
      <c r="E1287" s="13"/>
      <c r="F1287" s="13"/>
      <c r="G1287" s="102">
        <v>2.0</v>
      </c>
      <c r="H1287" s="101" t="s">
        <v>2942</v>
      </c>
      <c r="I1287" s="102">
        <v>87.0</v>
      </c>
      <c r="J1287" s="102">
        <v>107.01</v>
      </c>
      <c r="K1287" s="101" t="s">
        <v>2941</v>
      </c>
      <c r="L1287" s="102">
        <v>23.0</v>
      </c>
      <c r="M1287" s="13"/>
    </row>
    <row r="1288">
      <c r="A1288" s="101" t="s">
        <v>3943</v>
      </c>
      <c r="B1288" s="101" t="s">
        <v>3944</v>
      </c>
      <c r="D1288" s="13"/>
      <c r="E1288" s="13"/>
      <c r="F1288" s="13"/>
      <c r="G1288" s="102">
        <v>1.0</v>
      </c>
      <c r="H1288" s="101" t="s">
        <v>2940</v>
      </c>
      <c r="I1288" s="102">
        <v>139.2</v>
      </c>
      <c r="J1288" s="102">
        <v>171.22</v>
      </c>
      <c r="K1288" s="101" t="s">
        <v>2941</v>
      </c>
      <c r="L1288" s="102">
        <v>23.0</v>
      </c>
      <c r="M1288" s="13"/>
    </row>
    <row r="1289">
      <c r="A1289" s="101" t="s">
        <v>3943</v>
      </c>
      <c r="B1289" s="101" t="s">
        <v>3944</v>
      </c>
      <c r="D1289" s="13"/>
      <c r="E1289" s="13"/>
      <c r="F1289" s="13"/>
      <c r="G1289" s="102">
        <v>2.0</v>
      </c>
      <c r="H1289" s="101" t="s">
        <v>2942</v>
      </c>
      <c r="I1289" s="102">
        <v>139.2</v>
      </c>
      <c r="J1289" s="102">
        <v>171.22</v>
      </c>
      <c r="K1289" s="101" t="s">
        <v>2941</v>
      </c>
      <c r="L1289" s="102">
        <v>23.0</v>
      </c>
      <c r="M1289" s="13"/>
    </row>
    <row r="1290">
      <c r="A1290" s="101" t="s">
        <v>3945</v>
      </c>
      <c r="B1290" s="101" t="s">
        <v>3946</v>
      </c>
      <c r="D1290" s="13"/>
      <c r="E1290" s="13"/>
      <c r="F1290" s="13"/>
      <c r="G1290" s="102">
        <v>1.0</v>
      </c>
      <c r="H1290" s="101" t="s">
        <v>2940</v>
      </c>
      <c r="I1290" s="102">
        <v>139.2</v>
      </c>
      <c r="J1290" s="102">
        <v>171.22</v>
      </c>
      <c r="K1290" s="101" t="s">
        <v>2941</v>
      </c>
      <c r="L1290" s="102">
        <v>23.0</v>
      </c>
      <c r="M1290" s="13"/>
    </row>
    <row r="1291">
      <c r="A1291" s="101" t="s">
        <v>3945</v>
      </c>
      <c r="B1291" s="101" t="s">
        <v>3946</v>
      </c>
      <c r="D1291" s="13"/>
      <c r="E1291" s="13"/>
      <c r="F1291" s="13"/>
      <c r="G1291" s="102">
        <v>2.0</v>
      </c>
      <c r="H1291" s="101" t="s">
        <v>2942</v>
      </c>
      <c r="I1291" s="102">
        <v>139.2</v>
      </c>
      <c r="J1291" s="102">
        <v>171.22</v>
      </c>
      <c r="K1291" s="101" t="s">
        <v>2941</v>
      </c>
      <c r="L1291" s="102">
        <v>23.0</v>
      </c>
      <c r="M1291" s="13"/>
    </row>
    <row r="1292">
      <c r="A1292" s="101" t="s">
        <v>3947</v>
      </c>
      <c r="B1292" s="101" t="s">
        <v>3948</v>
      </c>
      <c r="D1292" s="13"/>
      <c r="E1292" s="13"/>
      <c r="F1292" s="13"/>
      <c r="G1292" s="102">
        <v>1.0</v>
      </c>
      <c r="H1292" s="101" t="s">
        <v>2940</v>
      </c>
      <c r="I1292" s="102">
        <v>163.01</v>
      </c>
      <c r="J1292" s="102">
        <v>200.5</v>
      </c>
      <c r="K1292" s="101" t="s">
        <v>2941</v>
      </c>
      <c r="L1292" s="102">
        <v>23.0</v>
      </c>
      <c r="M1292" s="13"/>
    </row>
    <row r="1293">
      <c r="A1293" s="101" t="s">
        <v>3947</v>
      </c>
      <c r="B1293" s="101" t="s">
        <v>3948</v>
      </c>
      <c r="D1293" s="13"/>
      <c r="E1293" s="13"/>
      <c r="F1293" s="13"/>
      <c r="G1293" s="102">
        <v>2.0</v>
      </c>
      <c r="H1293" s="101" t="s">
        <v>2942</v>
      </c>
      <c r="I1293" s="102">
        <v>130.4</v>
      </c>
      <c r="J1293" s="102">
        <v>160.39</v>
      </c>
      <c r="K1293" s="101" t="s">
        <v>2941</v>
      </c>
      <c r="L1293" s="102">
        <v>23.0</v>
      </c>
      <c r="M1293" s="13"/>
    </row>
    <row r="1294">
      <c r="A1294" s="101" t="s">
        <v>3949</v>
      </c>
      <c r="B1294" s="101" t="s">
        <v>3950</v>
      </c>
      <c r="D1294" s="13"/>
      <c r="E1294" s="13"/>
      <c r="F1294" s="13"/>
      <c r="G1294" s="102">
        <v>1.0</v>
      </c>
      <c r="H1294" s="101" t="s">
        <v>2940</v>
      </c>
      <c r="I1294" s="102">
        <v>208.8</v>
      </c>
      <c r="J1294" s="102">
        <v>256.82</v>
      </c>
      <c r="K1294" s="101" t="s">
        <v>2941</v>
      </c>
      <c r="L1294" s="102">
        <v>23.0</v>
      </c>
      <c r="M1294" s="13"/>
    </row>
    <row r="1295">
      <c r="A1295" s="101" t="s">
        <v>3949</v>
      </c>
      <c r="B1295" s="101" t="s">
        <v>3950</v>
      </c>
      <c r="D1295" s="13"/>
      <c r="E1295" s="13"/>
      <c r="F1295" s="13"/>
      <c r="G1295" s="102">
        <v>2.0</v>
      </c>
      <c r="H1295" s="101" t="s">
        <v>2942</v>
      </c>
      <c r="I1295" s="102">
        <v>208.8</v>
      </c>
      <c r="J1295" s="102">
        <v>256.82</v>
      </c>
      <c r="K1295" s="101" t="s">
        <v>2941</v>
      </c>
      <c r="L1295" s="102">
        <v>23.0</v>
      </c>
      <c r="M1295" s="13"/>
    </row>
    <row r="1296">
      <c r="A1296" s="101" t="s">
        <v>3951</v>
      </c>
      <c r="B1296" s="101" t="s">
        <v>3952</v>
      </c>
      <c r="D1296" s="13"/>
      <c r="E1296" s="13"/>
      <c r="F1296" s="13"/>
      <c r="G1296" s="102">
        <v>1.0</v>
      </c>
      <c r="H1296" s="101" t="s">
        <v>2940</v>
      </c>
      <c r="I1296" s="102">
        <v>208.8</v>
      </c>
      <c r="J1296" s="102">
        <v>256.82</v>
      </c>
      <c r="K1296" s="101" t="s">
        <v>2941</v>
      </c>
      <c r="L1296" s="102">
        <v>23.0</v>
      </c>
      <c r="M1296" s="13"/>
    </row>
    <row r="1297">
      <c r="A1297" s="101" t="s">
        <v>3951</v>
      </c>
      <c r="B1297" s="101" t="s">
        <v>3952</v>
      </c>
      <c r="D1297" s="13"/>
      <c r="E1297" s="13"/>
      <c r="F1297" s="13"/>
      <c r="G1297" s="102">
        <v>2.0</v>
      </c>
      <c r="H1297" s="101" t="s">
        <v>2942</v>
      </c>
      <c r="I1297" s="102">
        <v>208.8</v>
      </c>
      <c r="J1297" s="102">
        <v>256.82</v>
      </c>
      <c r="K1297" s="101" t="s">
        <v>2941</v>
      </c>
      <c r="L1297" s="102">
        <v>23.0</v>
      </c>
      <c r="M1297" s="13"/>
    </row>
    <row r="1298">
      <c r="A1298" s="101" t="s">
        <v>3953</v>
      </c>
      <c r="B1298" s="101" t="s">
        <v>3954</v>
      </c>
      <c r="D1298" s="13"/>
      <c r="E1298" s="13"/>
      <c r="F1298" s="13"/>
      <c r="G1298" s="102">
        <v>1.0</v>
      </c>
      <c r="H1298" s="101" t="s">
        <v>2940</v>
      </c>
      <c r="I1298" s="102">
        <v>40.49</v>
      </c>
      <c r="J1298" s="102">
        <v>49.8</v>
      </c>
      <c r="K1298" s="101" t="s">
        <v>2941</v>
      </c>
      <c r="L1298" s="102">
        <v>23.0</v>
      </c>
      <c r="M1298" s="13"/>
    </row>
    <row r="1299">
      <c r="A1299" s="101" t="s">
        <v>3953</v>
      </c>
      <c r="B1299" s="101" t="s">
        <v>3954</v>
      </c>
      <c r="D1299" s="13"/>
      <c r="E1299" s="13"/>
      <c r="F1299" s="13"/>
      <c r="G1299" s="102">
        <v>2.0</v>
      </c>
      <c r="H1299" s="101" t="s">
        <v>2942</v>
      </c>
      <c r="I1299" s="102">
        <v>32.4</v>
      </c>
      <c r="J1299" s="102">
        <v>39.85</v>
      </c>
      <c r="K1299" s="101" t="s">
        <v>2941</v>
      </c>
      <c r="L1299" s="102">
        <v>23.0</v>
      </c>
      <c r="M1299" s="13"/>
    </row>
    <row r="1300">
      <c r="A1300" s="101" t="s">
        <v>3955</v>
      </c>
      <c r="B1300" s="101">
        <v>1460.0</v>
      </c>
      <c r="C1300" s="13"/>
      <c r="D1300" s="13"/>
      <c r="E1300" s="13"/>
      <c r="F1300" s="13"/>
      <c r="G1300" s="102">
        <v>1.0</v>
      </c>
      <c r="H1300" s="101" t="s">
        <v>2940</v>
      </c>
      <c r="I1300" s="102">
        <v>52.52</v>
      </c>
      <c r="J1300" s="102">
        <v>64.6</v>
      </c>
      <c r="K1300" s="101" t="s">
        <v>2941</v>
      </c>
      <c r="L1300" s="102">
        <v>23.0</v>
      </c>
      <c r="M1300" s="13"/>
    </row>
    <row r="1301">
      <c r="A1301" s="101" t="s">
        <v>3955</v>
      </c>
      <c r="B1301" s="101">
        <v>1460.0</v>
      </c>
      <c r="C1301" s="13"/>
      <c r="D1301" s="13"/>
      <c r="E1301" s="13"/>
      <c r="F1301" s="13"/>
      <c r="G1301" s="102">
        <v>2.0</v>
      </c>
      <c r="H1301" s="101" t="s">
        <v>2942</v>
      </c>
      <c r="I1301" s="102">
        <v>52.5</v>
      </c>
      <c r="J1301" s="102">
        <v>64.58</v>
      </c>
      <c r="K1301" s="101" t="s">
        <v>2941</v>
      </c>
      <c r="L1301" s="102">
        <v>23.0</v>
      </c>
      <c r="M1301" s="13"/>
    </row>
    <row r="1302">
      <c r="A1302" s="101" t="s">
        <v>3956</v>
      </c>
      <c r="B1302" s="101" t="s">
        <v>3957</v>
      </c>
      <c r="E1302" s="13"/>
      <c r="F1302" s="13"/>
      <c r="G1302" s="102">
        <v>1.0</v>
      </c>
      <c r="H1302" s="101" t="s">
        <v>2940</v>
      </c>
      <c r="I1302" s="102">
        <v>61.65</v>
      </c>
      <c r="J1302" s="102">
        <v>75.83</v>
      </c>
      <c r="K1302" s="101" t="s">
        <v>2941</v>
      </c>
      <c r="L1302" s="102">
        <v>23.0</v>
      </c>
      <c r="M1302" s="13"/>
    </row>
    <row r="1303">
      <c r="A1303" s="101" t="s">
        <v>3956</v>
      </c>
      <c r="B1303" s="101" t="s">
        <v>3957</v>
      </c>
      <c r="E1303" s="13"/>
      <c r="F1303" s="13"/>
      <c r="G1303" s="102">
        <v>2.0</v>
      </c>
      <c r="H1303" s="101" t="s">
        <v>2942</v>
      </c>
      <c r="I1303" s="102">
        <v>61.65</v>
      </c>
      <c r="J1303" s="102">
        <v>75.83</v>
      </c>
      <c r="K1303" s="101" t="s">
        <v>2941</v>
      </c>
      <c r="L1303" s="102">
        <v>23.0</v>
      </c>
      <c r="M1303" s="13"/>
    </row>
    <row r="1304">
      <c r="A1304" s="101" t="s">
        <v>3958</v>
      </c>
      <c r="B1304" s="101" t="s">
        <v>3959</v>
      </c>
      <c r="D1304" s="13"/>
      <c r="E1304" s="13"/>
      <c r="F1304" s="13"/>
      <c r="G1304" s="102">
        <v>1.0</v>
      </c>
      <c r="H1304" s="101" t="s">
        <v>2940</v>
      </c>
      <c r="I1304" s="102">
        <v>56.5</v>
      </c>
      <c r="J1304" s="102">
        <v>69.5</v>
      </c>
      <c r="K1304" s="101" t="s">
        <v>2941</v>
      </c>
      <c r="L1304" s="102">
        <v>23.0</v>
      </c>
      <c r="M1304" s="13"/>
    </row>
    <row r="1305">
      <c r="A1305" s="101" t="s">
        <v>3958</v>
      </c>
      <c r="B1305" s="101" t="s">
        <v>3959</v>
      </c>
      <c r="D1305" s="13"/>
      <c r="E1305" s="13"/>
      <c r="F1305" s="13"/>
      <c r="G1305" s="102">
        <v>2.0</v>
      </c>
      <c r="H1305" s="101" t="s">
        <v>2942</v>
      </c>
      <c r="I1305" s="102">
        <v>56.5</v>
      </c>
      <c r="J1305" s="102">
        <v>69.5</v>
      </c>
      <c r="K1305" s="101" t="s">
        <v>2941</v>
      </c>
      <c r="L1305" s="102">
        <v>23.0</v>
      </c>
      <c r="M1305" s="13"/>
    </row>
    <row r="1306">
      <c r="A1306" s="101" t="s">
        <v>3960</v>
      </c>
      <c r="B1306" s="101">
        <v>1666.0</v>
      </c>
      <c r="C1306" s="13"/>
      <c r="D1306" s="13"/>
      <c r="E1306" s="13"/>
      <c r="F1306" s="13"/>
      <c r="G1306" s="102">
        <v>1.0</v>
      </c>
      <c r="H1306" s="101" t="s">
        <v>2940</v>
      </c>
      <c r="I1306" s="102">
        <v>44.39</v>
      </c>
      <c r="J1306" s="102">
        <v>54.6</v>
      </c>
      <c r="K1306" s="101" t="s">
        <v>2941</v>
      </c>
      <c r="L1306" s="102">
        <v>23.0</v>
      </c>
      <c r="M1306" s="13"/>
    </row>
    <row r="1307">
      <c r="A1307" s="101" t="s">
        <v>3960</v>
      </c>
      <c r="B1307" s="101">
        <v>1666.0</v>
      </c>
      <c r="C1307" s="13"/>
      <c r="D1307" s="13"/>
      <c r="E1307" s="13"/>
      <c r="F1307" s="13"/>
      <c r="G1307" s="102">
        <v>2.0</v>
      </c>
      <c r="H1307" s="101" t="s">
        <v>2942</v>
      </c>
      <c r="I1307" s="102">
        <v>44.4</v>
      </c>
      <c r="J1307" s="102">
        <v>54.61</v>
      </c>
      <c r="K1307" s="101" t="s">
        <v>2941</v>
      </c>
      <c r="L1307" s="102">
        <v>23.0</v>
      </c>
      <c r="M1307" s="13"/>
    </row>
    <row r="1308">
      <c r="A1308" s="101" t="s">
        <v>3961</v>
      </c>
      <c r="B1308" s="101" t="s">
        <v>3962</v>
      </c>
      <c r="D1308" s="13"/>
      <c r="E1308" s="13"/>
      <c r="F1308" s="13"/>
      <c r="G1308" s="102">
        <v>1.0</v>
      </c>
      <c r="H1308" s="101" t="s">
        <v>2940</v>
      </c>
      <c r="I1308" s="102">
        <v>56.5</v>
      </c>
      <c r="J1308" s="102">
        <v>69.5</v>
      </c>
      <c r="K1308" s="101" t="s">
        <v>2941</v>
      </c>
      <c r="L1308" s="102">
        <v>23.0</v>
      </c>
      <c r="M1308" s="13"/>
    </row>
    <row r="1309">
      <c r="A1309" s="101" t="s">
        <v>3961</v>
      </c>
      <c r="B1309" s="101" t="s">
        <v>3962</v>
      </c>
      <c r="D1309" s="13"/>
      <c r="E1309" s="13"/>
      <c r="F1309" s="13"/>
      <c r="G1309" s="102">
        <v>2.0</v>
      </c>
      <c r="H1309" s="101" t="s">
        <v>2942</v>
      </c>
      <c r="I1309" s="102">
        <v>56.5</v>
      </c>
      <c r="J1309" s="102">
        <v>69.5</v>
      </c>
      <c r="K1309" s="101" t="s">
        <v>2941</v>
      </c>
      <c r="L1309" s="102">
        <v>23.0</v>
      </c>
      <c r="M1309" s="13"/>
    </row>
    <row r="1310">
      <c r="A1310" s="101" t="s">
        <v>3963</v>
      </c>
      <c r="B1310" s="101" t="s">
        <v>3964</v>
      </c>
      <c r="D1310" s="13"/>
      <c r="E1310" s="13"/>
      <c r="F1310" s="13"/>
      <c r="G1310" s="102">
        <v>1.0</v>
      </c>
      <c r="H1310" s="101" t="s">
        <v>2940</v>
      </c>
      <c r="I1310" s="102">
        <v>80.98</v>
      </c>
      <c r="J1310" s="102">
        <v>99.61</v>
      </c>
      <c r="K1310" s="101" t="s">
        <v>2941</v>
      </c>
      <c r="L1310" s="102">
        <v>23.0</v>
      </c>
      <c r="M1310" s="13"/>
    </row>
    <row r="1311">
      <c r="A1311" s="101" t="s">
        <v>3963</v>
      </c>
      <c r="B1311" s="101" t="s">
        <v>3964</v>
      </c>
      <c r="D1311" s="13"/>
      <c r="E1311" s="13"/>
      <c r="F1311" s="13"/>
      <c r="G1311" s="102">
        <v>2.0</v>
      </c>
      <c r="H1311" s="101" t="s">
        <v>2942</v>
      </c>
      <c r="I1311" s="102">
        <v>64.8</v>
      </c>
      <c r="J1311" s="102">
        <v>79.7</v>
      </c>
      <c r="K1311" s="101" t="s">
        <v>2941</v>
      </c>
      <c r="L1311" s="102">
        <v>23.0</v>
      </c>
      <c r="M1311" s="13"/>
    </row>
    <row r="1312">
      <c r="A1312" s="101" t="s">
        <v>3965</v>
      </c>
      <c r="B1312" s="101">
        <v>788.0</v>
      </c>
      <c r="C1312" s="13"/>
      <c r="D1312" s="13"/>
      <c r="E1312" s="13"/>
      <c r="F1312" s="13"/>
      <c r="G1312" s="102">
        <v>1.0</v>
      </c>
      <c r="H1312" s="101" t="s">
        <v>2940</v>
      </c>
      <c r="I1312" s="102">
        <v>105.12</v>
      </c>
      <c r="J1312" s="102">
        <v>129.3</v>
      </c>
      <c r="K1312" s="101" t="s">
        <v>2941</v>
      </c>
      <c r="L1312" s="102">
        <v>23.0</v>
      </c>
      <c r="M1312" s="13"/>
    </row>
    <row r="1313">
      <c r="A1313" s="101" t="s">
        <v>3965</v>
      </c>
      <c r="B1313" s="101">
        <v>788.0</v>
      </c>
      <c r="C1313" s="13"/>
      <c r="D1313" s="13"/>
      <c r="E1313" s="13"/>
      <c r="F1313" s="13"/>
      <c r="G1313" s="102">
        <v>2.0</v>
      </c>
      <c r="H1313" s="101" t="s">
        <v>2942</v>
      </c>
      <c r="I1313" s="102">
        <v>105.1</v>
      </c>
      <c r="J1313" s="102">
        <v>129.27</v>
      </c>
      <c r="K1313" s="101" t="s">
        <v>2941</v>
      </c>
      <c r="L1313" s="102">
        <v>23.0</v>
      </c>
      <c r="M1313" s="13"/>
    </row>
    <row r="1314">
      <c r="A1314" s="101" t="s">
        <v>3966</v>
      </c>
      <c r="B1314" s="101" t="s">
        <v>3967</v>
      </c>
      <c r="D1314" s="13"/>
      <c r="E1314" s="13"/>
      <c r="F1314" s="13"/>
      <c r="G1314" s="102">
        <v>1.0</v>
      </c>
      <c r="H1314" s="101" t="s">
        <v>2940</v>
      </c>
      <c r="I1314" s="102">
        <v>113.0</v>
      </c>
      <c r="J1314" s="102">
        <v>138.99</v>
      </c>
      <c r="K1314" s="101" t="s">
        <v>2941</v>
      </c>
      <c r="L1314" s="102">
        <v>23.0</v>
      </c>
      <c r="M1314" s="13"/>
    </row>
    <row r="1315">
      <c r="A1315" s="101" t="s">
        <v>3966</v>
      </c>
      <c r="B1315" s="101" t="s">
        <v>3967</v>
      </c>
      <c r="D1315" s="13"/>
      <c r="E1315" s="13"/>
      <c r="F1315" s="13"/>
      <c r="G1315" s="102">
        <v>2.0</v>
      </c>
      <c r="H1315" s="101" t="s">
        <v>2942</v>
      </c>
      <c r="I1315" s="102">
        <v>113.0</v>
      </c>
      <c r="J1315" s="102">
        <v>138.99</v>
      </c>
      <c r="K1315" s="101" t="s">
        <v>2941</v>
      </c>
      <c r="L1315" s="102">
        <v>23.0</v>
      </c>
      <c r="M1315" s="13"/>
    </row>
    <row r="1316">
      <c r="A1316" s="101" t="s">
        <v>3968</v>
      </c>
      <c r="B1316" s="101" t="s">
        <v>3969</v>
      </c>
      <c r="E1316" s="13"/>
      <c r="F1316" s="13"/>
      <c r="G1316" s="102">
        <v>1.0</v>
      </c>
      <c r="H1316" s="101" t="s">
        <v>2940</v>
      </c>
      <c r="I1316" s="102">
        <v>123.3</v>
      </c>
      <c r="J1316" s="102">
        <v>151.66</v>
      </c>
      <c r="K1316" s="101" t="s">
        <v>2941</v>
      </c>
      <c r="L1316" s="102">
        <v>23.0</v>
      </c>
      <c r="M1316" s="13"/>
    </row>
    <row r="1317">
      <c r="A1317" s="101" t="s">
        <v>3968</v>
      </c>
      <c r="B1317" s="101" t="s">
        <v>3969</v>
      </c>
      <c r="E1317" s="13"/>
      <c r="F1317" s="13"/>
      <c r="G1317" s="102">
        <v>2.0</v>
      </c>
      <c r="H1317" s="101" t="s">
        <v>2942</v>
      </c>
      <c r="I1317" s="102">
        <v>123.3</v>
      </c>
      <c r="J1317" s="102">
        <v>151.66</v>
      </c>
      <c r="K1317" s="101" t="s">
        <v>2941</v>
      </c>
      <c r="L1317" s="102">
        <v>23.0</v>
      </c>
      <c r="M1317" s="13"/>
    </row>
    <row r="1318">
      <c r="A1318" s="101" t="s">
        <v>3970</v>
      </c>
      <c r="B1318" s="101" t="s">
        <v>3971</v>
      </c>
      <c r="D1318" s="13"/>
      <c r="E1318" s="13"/>
      <c r="F1318" s="13"/>
      <c r="G1318" s="102">
        <v>1.0</v>
      </c>
      <c r="H1318" s="101" t="s">
        <v>2940</v>
      </c>
      <c r="I1318" s="102">
        <v>113.0</v>
      </c>
      <c r="J1318" s="102">
        <v>138.99</v>
      </c>
      <c r="K1318" s="101" t="s">
        <v>2941</v>
      </c>
      <c r="L1318" s="102">
        <v>23.0</v>
      </c>
      <c r="M1318" s="13"/>
    </row>
    <row r="1319">
      <c r="A1319" s="101" t="s">
        <v>3970</v>
      </c>
      <c r="B1319" s="101" t="s">
        <v>3971</v>
      </c>
      <c r="D1319" s="13"/>
      <c r="E1319" s="13"/>
      <c r="F1319" s="13"/>
      <c r="G1319" s="102">
        <v>2.0</v>
      </c>
      <c r="H1319" s="101" t="s">
        <v>2942</v>
      </c>
      <c r="I1319" s="102">
        <v>113.0</v>
      </c>
      <c r="J1319" s="102">
        <v>138.99</v>
      </c>
      <c r="K1319" s="101" t="s">
        <v>2941</v>
      </c>
      <c r="L1319" s="102">
        <v>23.0</v>
      </c>
      <c r="M1319" s="13"/>
    </row>
    <row r="1320">
      <c r="A1320" s="101" t="s">
        <v>3972</v>
      </c>
      <c r="B1320" s="101">
        <v>1667.0</v>
      </c>
      <c r="C1320" s="13"/>
      <c r="D1320" s="13"/>
      <c r="E1320" s="13"/>
      <c r="F1320" s="13"/>
      <c r="G1320" s="102">
        <v>1.0</v>
      </c>
      <c r="H1320" s="101" t="s">
        <v>2940</v>
      </c>
      <c r="I1320" s="102">
        <v>88.94</v>
      </c>
      <c r="J1320" s="102">
        <v>109.4</v>
      </c>
      <c r="K1320" s="101" t="s">
        <v>2941</v>
      </c>
      <c r="L1320" s="102">
        <v>23.0</v>
      </c>
      <c r="M1320" s="13"/>
    </row>
    <row r="1321">
      <c r="A1321" s="101" t="s">
        <v>3972</v>
      </c>
      <c r="B1321" s="101">
        <v>1667.0</v>
      </c>
      <c r="C1321" s="13"/>
      <c r="D1321" s="13"/>
      <c r="E1321" s="13"/>
      <c r="F1321" s="13"/>
      <c r="G1321" s="102">
        <v>2.0</v>
      </c>
      <c r="H1321" s="101" t="s">
        <v>2942</v>
      </c>
      <c r="I1321" s="102">
        <v>88.9</v>
      </c>
      <c r="J1321" s="102">
        <v>109.35</v>
      </c>
      <c r="K1321" s="101" t="s">
        <v>2941</v>
      </c>
      <c r="L1321" s="102">
        <v>23.0</v>
      </c>
      <c r="M1321" s="13"/>
    </row>
    <row r="1322">
      <c r="A1322" s="101" t="s">
        <v>3973</v>
      </c>
      <c r="B1322" s="101" t="s">
        <v>3974</v>
      </c>
      <c r="D1322" s="13"/>
      <c r="E1322" s="13"/>
      <c r="F1322" s="13"/>
      <c r="G1322" s="102">
        <v>1.0</v>
      </c>
      <c r="H1322" s="101" t="s">
        <v>2940</v>
      </c>
      <c r="I1322" s="102">
        <v>121.63</v>
      </c>
      <c r="J1322" s="102">
        <v>149.6</v>
      </c>
      <c r="K1322" s="101" t="s">
        <v>2941</v>
      </c>
      <c r="L1322" s="102">
        <v>23.0</v>
      </c>
      <c r="M1322" s="13"/>
    </row>
    <row r="1323">
      <c r="A1323" s="101" t="s">
        <v>3973</v>
      </c>
      <c r="B1323" s="101" t="s">
        <v>3974</v>
      </c>
      <c r="D1323" s="13"/>
      <c r="E1323" s="13"/>
      <c r="F1323" s="13"/>
      <c r="G1323" s="102">
        <v>2.0</v>
      </c>
      <c r="H1323" s="101" t="s">
        <v>2942</v>
      </c>
      <c r="I1323" s="102">
        <v>97.3</v>
      </c>
      <c r="J1323" s="102">
        <v>119.68</v>
      </c>
      <c r="K1323" s="101" t="s">
        <v>2941</v>
      </c>
      <c r="L1323" s="102">
        <v>23.0</v>
      </c>
      <c r="M1323" s="13"/>
    </row>
    <row r="1324">
      <c r="A1324" s="101" t="s">
        <v>3975</v>
      </c>
      <c r="B1324" s="101">
        <v>1098.0</v>
      </c>
      <c r="C1324" s="13"/>
      <c r="D1324" s="13"/>
      <c r="E1324" s="13"/>
      <c r="F1324" s="13"/>
      <c r="G1324" s="102">
        <v>1.0</v>
      </c>
      <c r="H1324" s="101" t="s">
        <v>2940</v>
      </c>
      <c r="I1324" s="102">
        <v>157.64</v>
      </c>
      <c r="J1324" s="102">
        <v>193.9</v>
      </c>
      <c r="K1324" s="101" t="s">
        <v>2941</v>
      </c>
      <c r="L1324" s="102">
        <v>23.0</v>
      </c>
      <c r="M1324" s="13"/>
    </row>
    <row r="1325">
      <c r="A1325" s="101" t="s">
        <v>3975</v>
      </c>
      <c r="B1325" s="101">
        <v>1098.0</v>
      </c>
      <c r="C1325" s="13"/>
      <c r="D1325" s="13"/>
      <c r="E1325" s="13"/>
      <c r="F1325" s="13"/>
      <c r="G1325" s="102">
        <v>2.0</v>
      </c>
      <c r="H1325" s="101" t="s">
        <v>2942</v>
      </c>
      <c r="I1325" s="102">
        <v>157.6</v>
      </c>
      <c r="J1325" s="102">
        <v>193.85</v>
      </c>
      <c r="K1325" s="101" t="s">
        <v>2941</v>
      </c>
      <c r="L1325" s="102">
        <v>23.0</v>
      </c>
      <c r="M1325" s="13"/>
    </row>
    <row r="1326">
      <c r="A1326" s="101" t="s">
        <v>3976</v>
      </c>
      <c r="B1326" s="101" t="s">
        <v>3977</v>
      </c>
      <c r="D1326" s="13"/>
      <c r="E1326" s="13"/>
      <c r="F1326" s="13"/>
      <c r="G1326" s="102">
        <v>1.0</v>
      </c>
      <c r="H1326" s="101" t="s">
        <v>2940</v>
      </c>
      <c r="I1326" s="102">
        <v>169.5</v>
      </c>
      <c r="J1326" s="102">
        <v>208.49</v>
      </c>
      <c r="K1326" s="101" t="s">
        <v>2941</v>
      </c>
      <c r="L1326" s="102">
        <v>23.0</v>
      </c>
      <c r="M1326" s="13"/>
    </row>
    <row r="1327">
      <c r="A1327" s="101" t="s">
        <v>3976</v>
      </c>
      <c r="B1327" s="101" t="s">
        <v>3977</v>
      </c>
      <c r="D1327" s="13"/>
      <c r="E1327" s="13"/>
      <c r="F1327" s="13"/>
      <c r="G1327" s="102">
        <v>2.0</v>
      </c>
      <c r="H1327" s="101" t="s">
        <v>2942</v>
      </c>
      <c r="I1327" s="102">
        <v>169.5</v>
      </c>
      <c r="J1327" s="102">
        <v>208.49</v>
      </c>
      <c r="K1327" s="101" t="s">
        <v>2941</v>
      </c>
      <c r="L1327" s="102">
        <v>23.0</v>
      </c>
      <c r="M1327" s="13"/>
    </row>
    <row r="1328">
      <c r="A1328" s="101" t="s">
        <v>3978</v>
      </c>
      <c r="B1328" s="101">
        <v>1668.0</v>
      </c>
      <c r="C1328" s="13"/>
      <c r="D1328" s="13"/>
      <c r="E1328" s="13"/>
      <c r="F1328" s="13"/>
      <c r="G1328" s="102">
        <v>1.0</v>
      </c>
      <c r="H1328" s="101" t="s">
        <v>2940</v>
      </c>
      <c r="I1328" s="102">
        <v>131.1</v>
      </c>
      <c r="J1328" s="102">
        <v>161.25</v>
      </c>
      <c r="K1328" s="101" t="s">
        <v>2941</v>
      </c>
      <c r="L1328" s="102">
        <v>23.0</v>
      </c>
      <c r="M1328" s="13"/>
    </row>
    <row r="1329">
      <c r="A1329" s="101" t="s">
        <v>3978</v>
      </c>
      <c r="B1329" s="101">
        <v>1668.0</v>
      </c>
      <c r="C1329" s="13"/>
      <c r="D1329" s="13"/>
      <c r="E1329" s="13"/>
      <c r="F1329" s="13"/>
      <c r="G1329" s="102">
        <v>2.0</v>
      </c>
      <c r="H1329" s="101" t="s">
        <v>2942</v>
      </c>
      <c r="I1329" s="102">
        <v>131.1</v>
      </c>
      <c r="J1329" s="102">
        <v>161.25</v>
      </c>
      <c r="K1329" s="101" t="s">
        <v>2941</v>
      </c>
      <c r="L1329" s="102">
        <v>23.0</v>
      </c>
      <c r="M1329" s="13"/>
    </row>
    <row r="1330">
      <c r="A1330" s="101" t="s">
        <v>3979</v>
      </c>
      <c r="B1330" s="101" t="s">
        <v>3980</v>
      </c>
      <c r="D1330" s="13"/>
      <c r="E1330" s="13"/>
      <c r="F1330" s="13"/>
      <c r="G1330" s="102">
        <v>1.0</v>
      </c>
      <c r="H1330" s="101" t="s">
        <v>2940</v>
      </c>
      <c r="I1330" s="102">
        <v>20.33</v>
      </c>
      <c r="J1330" s="102">
        <v>25.0</v>
      </c>
      <c r="K1330" s="101" t="s">
        <v>2941</v>
      </c>
      <c r="L1330" s="102">
        <v>23.0</v>
      </c>
      <c r="M1330" s="13"/>
    </row>
    <row r="1331">
      <c r="A1331" s="101" t="s">
        <v>3979</v>
      </c>
      <c r="B1331" s="101" t="s">
        <v>3980</v>
      </c>
      <c r="D1331" s="13"/>
      <c r="E1331" s="13"/>
      <c r="F1331" s="13"/>
      <c r="G1331" s="102">
        <v>2.0</v>
      </c>
      <c r="H1331" s="101" t="s">
        <v>2942</v>
      </c>
      <c r="I1331" s="102">
        <v>15.0</v>
      </c>
      <c r="J1331" s="102">
        <v>18.45</v>
      </c>
      <c r="K1331" s="101" t="s">
        <v>2941</v>
      </c>
      <c r="L1331" s="102">
        <v>23.0</v>
      </c>
      <c r="M1331" s="13"/>
    </row>
    <row r="1332">
      <c r="A1332" s="101" t="s">
        <v>3981</v>
      </c>
      <c r="B1332" s="101" t="s">
        <v>3982</v>
      </c>
      <c r="D1332" s="13"/>
      <c r="E1332" s="13"/>
      <c r="F1332" s="13"/>
      <c r="G1332" s="102">
        <v>1.0</v>
      </c>
      <c r="H1332" s="101" t="s">
        <v>2940</v>
      </c>
      <c r="I1332" s="102">
        <v>28.46</v>
      </c>
      <c r="J1332" s="102">
        <v>35.0</v>
      </c>
      <c r="K1332" s="101" t="s">
        <v>2941</v>
      </c>
      <c r="L1332" s="102">
        <v>23.0</v>
      </c>
      <c r="M1332" s="13"/>
    </row>
    <row r="1333">
      <c r="A1333" s="101" t="s">
        <v>3981</v>
      </c>
      <c r="B1333" s="101" t="s">
        <v>3982</v>
      </c>
      <c r="D1333" s="13"/>
      <c r="E1333" s="13"/>
      <c r="F1333" s="13"/>
      <c r="G1333" s="102">
        <v>2.0</v>
      </c>
      <c r="H1333" s="101" t="s">
        <v>2942</v>
      </c>
      <c r="I1333" s="102">
        <v>20.0</v>
      </c>
      <c r="J1333" s="102">
        <v>24.6</v>
      </c>
      <c r="K1333" s="101" t="s">
        <v>2941</v>
      </c>
      <c r="L1333" s="102">
        <v>23.0</v>
      </c>
      <c r="M1333" s="13"/>
    </row>
    <row r="1334">
      <c r="A1334" s="101" t="s">
        <v>3983</v>
      </c>
      <c r="B1334" s="101" t="s">
        <v>3984</v>
      </c>
      <c r="D1334" s="13"/>
      <c r="E1334" s="13"/>
      <c r="F1334" s="13"/>
      <c r="G1334" s="102">
        <v>1.0</v>
      </c>
      <c r="H1334" s="101" t="s">
        <v>2940</v>
      </c>
      <c r="I1334" s="102">
        <v>12.44</v>
      </c>
      <c r="J1334" s="102">
        <v>15.3</v>
      </c>
      <c r="K1334" s="101" t="s">
        <v>2941</v>
      </c>
      <c r="L1334" s="102">
        <v>23.0</v>
      </c>
      <c r="M1334" s="13"/>
    </row>
    <row r="1335">
      <c r="A1335" s="101" t="s">
        <v>3983</v>
      </c>
      <c r="B1335" s="101" t="s">
        <v>3984</v>
      </c>
      <c r="D1335" s="13"/>
      <c r="E1335" s="13"/>
      <c r="F1335" s="13"/>
      <c r="G1335" s="102">
        <v>2.0</v>
      </c>
      <c r="H1335" s="101" t="s">
        <v>2942</v>
      </c>
      <c r="I1335" s="102">
        <v>10.0</v>
      </c>
      <c r="J1335" s="102">
        <v>12.3</v>
      </c>
      <c r="K1335" s="101" t="s">
        <v>2941</v>
      </c>
      <c r="L1335" s="102">
        <v>23.0</v>
      </c>
      <c r="M1335" s="13"/>
    </row>
    <row r="1336">
      <c r="A1336" s="101" t="s">
        <v>3985</v>
      </c>
      <c r="B1336" s="101" t="s">
        <v>3986</v>
      </c>
      <c r="D1336" s="13"/>
      <c r="E1336" s="13"/>
      <c r="F1336" s="13"/>
      <c r="G1336" s="102">
        <v>1.0</v>
      </c>
      <c r="H1336" s="101" t="s">
        <v>2940</v>
      </c>
      <c r="I1336" s="102">
        <v>15.2</v>
      </c>
      <c r="J1336" s="102">
        <v>18.7</v>
      </c>
      <c r="K1336" s="101" t="s">
        <v>2941</v>
      </c>
      <c r="L1336" s="102">
        <v>23.0</v>
      </c>
      <c r="M1336" s="13"/>
    </row>
    <row r="1337">
      <c r="A1337" s="101" t="s">
        <v>3985</v>
      </c>
      <c r="B1337" s="101" t="s">
        <v>3986</v>
      </c>
      <c r="D1337" s="13"/>
      <c r="E1337" s="13"/>
      <c r="F1337" s="13"/>
      <c r="G1337" s="102">
        <v>2.0</v>
      </c>
      <c r="H1337" s="101" t="s">
        <v>2942</v>
      </c>
      <c r="I1337" s="102">
        <v>12.2</v>
      </c>
      <c r="J1337" s="102">
        <v>15.01</v>
      </c>
      <c r="K1337" s="101" t="s">
        <v>2941</v>
      </c>
      <c r="L1337" s="102">
        <v>23.0</v>
      </c>
      <c r="M1337" s="13"/>
    </row>
    <row r="1338">
      <c r="A1338" s="101" t="s">
        <v>3987</v>
      </c>
      <c r="B1338" s="101" t="s">
        <v>3988</v>
      </c>
      <c r="D1338" s="13"/>
      <c r="E1338" s="13"/>
      <c r="F1338" s="13"/>
      <c r="G1338" s="102">
        <v>1.0</v>
      </c>
      <c r="H1338" s="101" t="s">
        <v>2940</v>
      </c>
      <c r="I1338" s="102">
        <v>26.1</v>
      </c>
      <c r="J1338" s="102">
        <v>32.1</v>
      </c>
      <c r="K1338" s="101" t="s">
        <v>2941</v>
      </c>
      <c r="L1338" s="102">
        <v>23.0</v>
      </c>
      <c r="M1338" s="13"/>
    </row>
    <row r="1339">
      <c r="A1339" s="101" t="s">
        <v>3987</v>
      </c>
      <c r="B1339" s="101" t="s">
        <v>3988</v>
      </c>
      <c r="D1339" s="13"/>
      <c r="E1339" s="13"/>
      <c r="F1339" s="13"/>
      <c r="G1339" s="102">
        <v>2.0</v>
      </c>
      <c r="H1339" s="101" t="s">
        <v>2942</v>
      </c>
      <c r="I1339" s="102">
        <v>20.8</v>
      </c>
      <c r="J1339" s="102">
        <v>25.58</v>
      </c>
      <c r="K1339" s="101" t="s">
        <v>2941</v>
      </c>
      <c r="L1339" s="102">
        <v>23.0</v>
      </c>
      <c r="M1339" s="13"/>
    </row>
    <row r="1340">
      <c r="A1340" s="101" t="s">
        <v>3989</v>
      </c>
      <c r="B1340" s="101" t="s">
        <v>3990</v>
      </c>
      <c r="D1340" s="13"/>
      <c r="E1340" s="13"/>
      <c r="F1340" s="13"/>
      <c r="G1340" s="102">
        <v>1.0</v>
      </c>
      <c r="H1340" s="101" t="s">
        <v>2940</v>
      </c>
      <c r="I1340" s="102">
        <v>17.07</v>
      </c>
      <c r="J1340" s="102">
        <v>21.0</v>
      </c>
      <c r="K1340" s="101" t="s">
        <v>2941</v>
      </c>
      <c r="L1340" s="102">
        <v>23.0</v>
      </c>
      <c r="M1340" s="13"/>
    </row>
    <row r="1341">
      <c r="A1341" s="101" t="s">
        <v>3989</v>
      </c>
      <c r="B1341" s="101" t="s">
        <v>3990</v>
      </c>
      <c r="D1341" s="13"/>
      <c r="E1341" s="13"/>
      <c r="F1341" s="13"/>
      <c r="G1341" s="102">
        <v>2.0</v>
      </c>
      <c r="H1341" s="101" t="s">
        <v>2942</v>
      </c>
      <c r="I1341" s="102">
        <v>13.5</v>
      </c>
      <c r="J1341" s="102">
        <v>16.61</v>
      </c>
      <c r="K1341" s="101" t="s">
        <v>2941</v>
      </c>
      <c r="L1341" s="102">
        <v>23.0</v>
      </c>
      <c r="M1341" s="13"/>
    </row>
    <row r="1342">
      <c r="A1342" s="101" t="s">
        <v>3991</v>
      </c>
      <c r="B1342" s="101" t="s">
        <v>3992</v>
      </c>
      <c r="D1342" s="13"/>
      <c r="E1342" s="13"/>
      <c r="F1342" s="13"/>
      <c r="G1342" s="102">
        <v>1.0</v>
      </c>
      <c r="H1342" s="101" t="s">
        <v>2940</v>
      </c>
      <c r="I1342" s="102">
        <v>14.23</v>
      </c>
      <c r="J1342" s="102">
        <v>17.5</v>
      </c>
      <c r="K1342" s="101" t="s">
        <v>2941</v>
      </c>
      <c r="L1342" s="102">
        <v>23.0</v>
      </c>
      <c r="M1342" s="13"/>
    </row>
    <row r="1343">
      <c r="A1343" s="101" t="s">
        <v>3991</v>
      </c>
      <c r="B1343" s="101" t="s">
        <v>3992</v>
      </c>
      <c r="D1343" s="13"/>
      <c r="E1343" s="13"/>
      <c r="F1343" s="13"/>
      <c r="G1343" s="102">
        <v>2.0</v>
      </c>
      <c r="H1343" s="101" t="s">
        <v>2942</v>
      </c>
      <c r="I1343" s="102">
        <v>11.0</v>
      </c>
      <c r="J1343" s="102">
        <v>13.53</v>
      </c>
      <c r="K1343" s="101" t="s">
        <v>2941</v>
      </c>
      <c r="L1343" s="102">
        <v>23.0</v>
      </c>
      <c r="M1343" s="13"/>
    </row>
    <row r="1344">
      <c r="A1344" s="101" t="s">
        <v>3993</v>
      </c>
      <c r="B1344" s="101" t="s">
        <v>3994</v>
      </c>
      <c r="D1344" s="13"/>
      <c r="E1344" s="13"/>
      <c r="F1344" s="13"/>
      <c r="G1344" s="102">
        <v>1.0</v>
      </c>
      <c r="H1344" s="101" t="s">
        <v>2940</v>
      </c>
      <c r="I1344" s="102">
        <v>26.1</v>
      </c>
      <c r="J1344" s="102">
        <v>32.1</v>
      </c>
      <c r="K1344" s="101" t="s">
        <v>2941</v>
      </c>
      <c r="L1344" s="102">
        <v>23.0</v>
      </c>
      <c r="M1344" s="13"/>
    </row>
    <row r="1345">
      <c r="A1345" s="101" t="s">
        <v>3993</v>
      </c>
      <c r="B1345" s="101" t="s">
        <v>3994</v>
      </c>
      <c r="D1345" s="13"/>
      <c r="E1345" s="13"/>
      <c r="F1345" s="13"/>
      <c r="G1345" s="102">
        <v>2.0</v>
      </c>
      <c r="H1345" s="101" t="s">
        <v>2942</v>
      </c>
      <c r="I1345" s="102">
        <v>20.8</v>
      </c>
      <c r="J1345" s="102">
        <v>25.58</v>
      </c>
      <c r="K1345" s="101" t="s">
        <v>2941</v>
      </c>
      <c r="L1345" s="102">
        <v>23.0</v>
      </c>
      <c r="M1345" s="13"/>
    </row>
    <row r="1346">
      <c r="A1346" s="101" t="s">
        <v>3995</v>
      </c>
      <c r="B1346" s="101" t="s">
        <v>3996</v>
      </c>
      <c r="D1346" s="13"/>
      <c r="E1346" s="13"/>
      <c r="F1346" s="13"/>
      <c r="G1346" s="102">
        <v>1.0</v>
      </c>
      <c r="H1346" s="101" t="s">
        <v>2940</v>
      </c>
      <c r="I1346" s="102">
        <v>17.07</v>
      </c>
      <c r="J1346" s="102">
        <v>21.0</v>
      </c>
      <c r="K1346" s="101" t="s">
        <v>2941</v>
      </c>
      <c r="L1346" s="102">
        <v>23.0</v>
      </c>
      <c r="M1346" s="13"/>
    </row>
    <row r="1347">
      <c r="A1347" s="101" t="s">
        <v>3995</v>
      </c>
      <c r="B1347" s="101" t="s">
        <v>3996</v>
      </c>
      <c r="D1347" s="13"/>
      <c r="E1347" s="13"/>
      <c r="F1347" s="13"/>
      <c r="G1347" s="102">
        <v>2.0</v>
      </c>
      <c r="H1347" s="101" t="s">
        <v>2942</v>
      </c>
      <c r="I1347" s="102">
        <v>13.5</v>
      </c>
      <c r="J1347" s="102">
        <v>16.61</v>
      </c>
      <c r="K1347" s="101" t="s">
        <v>2941</v>
      </c>
      <c r="L1347" s="102">
        <v>23.0</v>
      </c>
      <c r="M1347" s="13"/>
    </row>
    <row r="1348">
      <c r="A1348" s="101" t="s">
        <v>3997</v>
      </c>
      <c r="B1348" s="101" t="s">
        <v>3998</v>
      </c>
      <c r="D1348" s="13"/>
      <c r="E1348" s="13"/>
      <c r="F1348" s="13"/>
      <c r="G1348" s="102">
        <v>1.0</v>
      </c>
      <c r="H1348" s="101" t="s">
        <v>2940</v>
      </c>
      <c r="I1348" s="102">
        <v>14.23</v>
      </c>
      <c r="J1348" s="102">
        <v>17.5</v>
      </c>
      <c r="K1348" s="101" t="s">
        <v>2941</v>
      </c>
      <c r="L1348" s="102">
        <v>23.0</v>
      </c>
      <c r="M1348" s="13"/>
    </row>
    <row r="1349">
      <c r="A1349" s="101" t="s">
        <v>3997</v>
      </c>
      <c r="B1349" s="101" t="s">
        <v>3998</v>
      </c>
      <c r="D1349" s="13"/>
      <c r="E1349" s="13"/>
      <c r="F1349" s="13"/>
      <c r="G1349" s="102">
        <v>2.0</v>
      </c>
      <c r="H1349" s="101" t="s">
        <v>2942</v>
      </c>
      <c r="I1349" s="102">
        <v>11.0</v>
      </c>
      <c r="J1349" s="102">
        <v>13.53</v>
      </c>
      <c r="K1349" s="101" t="s">
        <v>2941</v>
      </c>
      <c r="L1349" s="102">
        <v>23.0</v>
      </c>
      <c r="M1349" s="13"/>
    </row>
    <row r="1350">
      <c r="A1350" s="101" t="s">
        <v>3999</v>
      </c>
      <c r="B1350" s="101" t="s">
        <v>4000</v>
      </c>
      <c r="D1350" s="13"/>
      <c r="E1350" s="13"/>
      <c r="F1350" s="13"/>
      <c r="G1350" s="102">
        <v>1.0</v>
      </c>
      <c r="H1350" s="101" t="s">
        <v>2940</v>
      </c>
      <c r="I1350" s="102">
        <v>40.9</v>
      </c>
      <c r="J1350" s="102">
        <v>50.31</v>
      </c>
      <c r="K1350" s="101" t="s">
        <v>2941</v>
      </c>
      <c r="L1350" s="102">
        <v>23.0</v>
      </c>
      <c r="M1350" s="13"/>
    </row>
    <row r="1351">
      <c r="A1351" s="101" t="s">
        <v>3999</v>
      </c>
      <c r="B1351" s="101" t="s">
        <v>4000</v>
      </c>
      <c r="D1351" s="13"/>
      <c r="E1351" s="13"/>
      <c r="F1351" s="13"/>
      <c r="G1351" s="102">
        <v>2.0</v>
      </c>
      <c r="H1351" s="101" t="s">
        <v>2942</v>
      </c>
      <c r="I1351" s="102">
        <v>40.9</v>
      </c>
      <c r="J1351" s="102">
        <v>50.31</v>
      </c>
      <c r="K1351" s="101" t="s">
        <v>2941</v>
      </c>
      <c r="L1351" s="102">
        <v>23.0</v>
      </c>
      <c r="M1351" s="13"/>
    </row>
    <row r="1352">
      <c r="A1352" s="101" t="s">
        <v>4001</v>
      </c>
      <c r="B1352" s="101" t="s">
        <v>4002</v>
      </c>
      <c r="D1352" s="13"/>
      <c r="E1352" s="13"/>
      <c r="F1352" s="13"/>
      <c r="G1352" s="102">
        <v>1.0</v>
      </c>
      <c r="H1352" s="101" t="s">
        <v>2940</v>
      </c>
      <c r="I1352" s="102">
        <v>28.46</v>
      </c>
      <c r="J1352" s="102">
        <v>35.0</v>
      </c>
      <c r="K1352" s="101" t="s">
        <v>2941</v>
      </c>
      <c r="L1352" s="102">
        <v>23.0</v>
      </c>
      <c r="M1352" s="13"/>
    </row>
    <row r="1353">
      <c r="A1353" s="101" t="s">
        <v>4001</v>
      </c>
      <c r="B1353" s="101" t="s">
        <v>4002</v>
      </c>
      <c r="D1353" s="13"/>
      <c r="E1353" s="13"/>
      <c r="F1353" s="13"/>
      <c r="G1353" s="102">
        <v>2.0</v>
      </c>
      <c r="H1353" s="101" t="s">
        <v>2942</v>
      </c>
      <c r="I1353" s="102">
        <v>22.5</v>
      </c>
      <c r="J1353" s="102">
        <v>27.68</v>
      </c>
      <c r="K1353" s="101" t="s">
        <v>2941</v>
      </c>
      <c r="L1353" s="102">
        <v>23.0</v>
      </c>
      <c r="M1353" s="13"/>
    </row>
    <row r="1354">
      <c r="A1354" s="101" t="s">
        <v>4003</v>
      </c>
      <c r="B1354" s="101" t="s">
        <v>4004</v>
      </c>
      <c r="E1354" s="13"/>
      <c r="F1354" s="13"/>
      <c r="G1354" s="102">
        <v>1.0</v>
      </c>
      <c r="H1354" s="101" t="s">
        <v>2940</v>
      </c>
      <c r="I1354" s="102">
        <v>23.17</v>
      </c>
      <c r="J1354" s="102">
        <v>28.5</v>
      </c>
      <c r="K1354" s="101" t="s">
        <v>2941</v>
      </c>
      <c r="L1354" s="102">
        <v>23.0</v>
      </c>
      <c r="M1354" s="13"/>
    </row>
    <row r="1355">
      <c r="A1355" s="101" t="s">
        <v>4003</v>
      </c>
      <c r="B1355" s="101" t="s">
        <v>4004</v>
      </c>
      <c r="E1355" s="13"/>
      <c r="F1355" s="13"/>
      <c r="G1355" s="102">
        <v>2.0</v>
      </c>
      <c r="H1355" s="101" t="s">
        <v>2942</v>
      </c>
      <c r="I1355" s="102">
        <v>18.5</v>
      </c>
      <c r="J1355" s="102">
        <v>22.76</v>
      </c>
      <c r="K1355" s="101" t="s">
        <v>2941</v>
      </c>
      <c r="L1355" s="102">
        <v>23.0</v>
      </c>
      <c r="M1355" s="13"/>
    </row>
    <row r="1356">
      <c r="A1356" s="101" t="s">
        <v>4005</v>
      </c>
      <c r="B1356" s="101" t="s">
        <v>4006</v>
      </c>
      <c r="D1356" s="13"/>
      <c r="E1356" s="13"/>
      <c r="F1356" s="13"/>
      <c r="G1356" s="102">
        <v>1.0</v>
      </c>
      <c r="H1356" s="101" t="s">
        <v>2940</v>
      </c>
      <c r="I1356" s="102">
        <v>28.46</v>
      </c>
      <c r="J1356" s="102">
        <v>35.0</v>
      </c>
      <c r="K1356" s="101" t="s">
        <v>2941</v>
      </c>
      <c r="L1356" s="102">
        <v>23.0</v>
      </c>
      <c r="M1356" s="13"/>
    </row>
    <row r="1357">
      <c r="A1357" s="101" t="s">
        <v>4005</v>
      </c>
      <c r="B1357" s="101" t="s">
        <v>4006</v>
      </c>
      <c r="D1357" s="13"/>
      <c r="E1357" s="13"/>
      <c r="F1357" s="13"/>
      <c r="G1357" s="102">
        <v>2.0</v>
      </c>
      <c r="H1357" s="101" t="s">
        <v>2942</v>
      </c>
      <c r="I1357" s="102">
        <v>22.5</v>
      </c>
      <c r="J1357" s="102">
        <v>27.68</v>
      </c>
      <c r="K1357" s="101" t="s">
        <v>2941</v>
      </c>
      <c r="L1357" s="102">
        <v>23.0</v>
      </c>
      <c r="M1357" s="13"/>
    </row>
    <row r="1358">
      <c r="A1358" s="101" t="s">
        <v>4007</v>
      </c>
      <c r="B1358" s="101" t="s">
        <v>4008</v>
      </c>
      <c r="D1358" s="13"/>
      <c r="E1358" s="13"/>
      <c r="F1358" s="13"/>
      <c r="G1358" s="102">
        <v>1.0</v>
      </c>
      <c r="H1358" s="101" t="s">
        <v>2940</v>
      </c>
      <c r="I1358" s="102">
        <v>17.48</v>
      </c>
      <c r="J1358" s="102">
        <v>21.5</v>
      </c>
      <c r="K1358" s="101" t="s">
        <v>2941</v>
      </c>
      <c r="L1358" s="102">
        <v>23.0</v>
      </c>
      <c r="M1358" s="13"/>
    </row>
    <row r="1359">
      <c r="A1359" s="101" t="s">
        <v>4007</v>
      </c>
      <c r="B1359" s="101" t="s">
        <v>4008</v>
      </c>
      <c r="D1359" s="13"/>
      <c r="E1359" s="13"/>
      <c r="F1359" s="13"/>
      <c r="G1359" s="102">
        <v>2.0</v>
      </c>
      <c r="H1359" s="101" t="s">
        <v>2942</v>
      </c>
      <c r="I1359" s="102">
        <v>14.0</v>
      </c>
      <c r="J1359" s="102">
        <v>17.22</v>
      </c>
      <c r="K1359" s="101" t="s">
        <v>2941</v>
      </c>
      <c r="L1359" s="102">
        <v>23.0</v>
      </c>
      <c r="M1359" s="13"/>
    </row>
    <row r="1360">
      <c r="A1360" s="101" t="s">
        <v>4009</v>
      </c>
      <c r="B1360" s="101" t="s">
        <v>4010</v>
      </c>
      <c r="D1360" s="13"/>
      <c r="E1360" s="13"/>
      <c r="F1360" s="13"/>
      <c r="G1360" s="102">
        <v>1.0</v>
      </c>
      <c r="H1360" s="101" t="s">
        <v>2940</v>
      </c>
      <c r="I1360" s="102">
        <v>27.15</v>
      </c>
      <c r="J1360" s="102">
        <v>33.4</v>
      </c>
      <c r="K1360" s="101" t="s">
        <v>2941</v>
      </c>
      <c r="L1360" s="102">
        <v>23.0</v>
      </c>
      <c r="M1360" s="13"/>
    </row>
    <row r="1361">
      <c r="A1361" s="101" t="s">
        <v>4009</v>
      </c>
      <c r="B1361" s="101" t="s">
        <v>4010</v>
      </c>
      <c r="D1361" s="13"/>
      <c r="E1361" s="13"/>
      <c r="F1361" s="13"/>
      <c r="G1361" s="102">
        <v>2.0</v>
      </c>
      <c r="H1361" s="101" t="s">
        <v>2942</v>
      </c>
      <c r="I1361" s="102">
        <v>21.8</v>
      </c>
      <c r="J1361" s="102">
        <v>26.81</v>
      </c>
      <c r="K1361" s="101" t="s">
        <v>2941</v>
      </c>
      <c r="L1361" s="102">
        <v>23.0</v>
      </c>
      <c r="M1361" s="13"/>
    </row>
    <row r="1362">
      <c r="A1362" s="101" t="s">
        <v>4011</v>
      </c>
      <c r="B1362" s="101" t="s">
        <v>4012</v>
      </c>
      <c r="E1362" s="13"/>
      <c r="F1362" s="13"/>
      <c r="G1362" s="102">
        <v>1.0</v>
      </c>
      <c r="H1362" s="101" t="s">
        <v>2940</v>
      </c>
      <c r="I1362" s="102">
        <v>21.87</v>
      </c>
      <c r="J1362" s="102">
        <v>26.9</v>
      </c>
      <c r="K1362" s="101" t="s">
        <v>2941</v>
      </c>
      <c r="L1362" s="102">
        <v>23.0</v>
      </c>
      <c r="M1362" s="13"/>
    </row>
    <row r="1363">
      <c r="A1363" s="101" t="s">
        <v>4011</v>
      </c>
      <c r="B1363" s="101" t="s">
        <v>4012</v>
      </c>
      <c r="E1363" s="13"/>
      <c r="F1363" s="13"/>
      <c r="G1363" s="102">
        <v>2.0</v>
      </c>
      <c r="H1363" s="101" t="s">
        <v>2942</v>
      </c>
      <c r="I1363" s="102">
        <v>17.5</v>
      </c>
      <c r="J1363" s="102">
        <v>21.53</v>
      </c>
      <c r="K1363" s="101" t="s">
        <v>2941</v>
      </c>
      <c r="L1363" s="102">
        <v>23.0</v>
      </c>
      <c r="M1363" s="13"/>
    </row>
    <row r="1364">
      <c r="A1364" s="101" t="s">
        <v>4013</v>
      </c>
      <c r="B1364" s="101" t="s">
        <v>4014</v>
      </c>
      <c r="D1364" s="13"/>
      <c r="E1364" s="13"/>
      <c r="F1364" s="13"/>
      <c r="G1364" s="102">
        <v>1.0</v>
      </c>
      <c r="H1364" s="101" t="s">
        <v>2940</v>
      </c>
      <c r="I1364" s="102">
        <v>23.17</v>
      </c>
      <c r="J1364" s="102">
        <v>28.5</v>
      </c>
      <c r="K1364" s="101" t="s">
        <v>2941</v>
      </c>
      <c r="L1364" s="102">
        <v>23.0</v>
      </c>
      <c r="M1364" s="13"/>
    </row>
    <row r="1365">
      <c r="A1365" s="101" t="s">
        <v>4013</v>
      </c>
      <c r="B1365" s="101" t="s">
        <v>4014</v>
      </c>
      <c r="D1365" s="13"/>
      <c r="E1365" s="13"/>
      <c r="F1365" s="13"/>
      <c r="G1365" s="102">
        <v>2.0</v>
      </c>
      <c r="H1365" s="101" t="s">
        <v>2942</v>
      </c>
      <c r="I1365" s="102">
        <v>18.5</v>
      </c>
      <c r="J1365" s="102">
        <v>22.76</v>
      </c>
      <c r="K1365" s="101" t="s">
        <v>2941</v>
      </c>
      <c r="L1365" s="102">
        <v>23.0</v>
      </c>
      <c r="M1365" s="13"/>
    </row>
    <row r="1366">
      <c r="A1366" s="101" t="s">
        <v>4015</v>
      </c>
      <c r="B1366" s="101" t="s">
        <v>4016</v>
      </c>
      <c r="D1366" s="13"/>
      <c r="E1366" s="13"/>
      <c r="F1366" s="13"/>
      <c r="G1366" s="102">
        <v>1.0</v>
      </c>
      <c r="H1366" s="101" t="s">
        <v>2940</v>
      </c>
      <c r="I1366" s="102">
        <v>23.17</v>
      </c>
      <c r="J1366" s="102">
        <v>28.5</v>
      </c>
      <c r="K1366" s="101" t="s">
        <v>2941</v>
      </c>
      <c r="L1366" s="102">
        <v>23.0</v>
      </c>
      <c r="M1366" s="13"/>
    </row>
    <row r="1367">
      <c r="A1367" s="101" t="s">
        <v>4015</v>
      </c>
      <c r="B1367" s="101" t="s">
        <v>4016</v>
      </c>
      <c r="D1367" s="13"/>
      <c r="E1367" s="13"/>
      <c r="F1367" s="13"/>
      <c r="G1367" s="102">
        <v>2.0</v>
      </c>
      <c r="H1367" s="101" t="s">
        <v>2942</v>
      </c>
      <c r="I1367" s="102">
        <v>18.6</v>
      </c>
      <c r="J1367" s="102">
        <v>22.88</v>
      </c>
      <c r="K1367" s="101" t="s">
        <v>2941</v>
      </c>
      <c r="L1367" s="102">
        <v>23.0</v>
      </c>
      <c r="M1367" s="13"/>
    </row>
    <row r="1368">
      <c r="A1368" s="101" t="s">
        <v>4017</v>
      </c>
      <c r="B1368" s="101" t="s">
        <v>4018</v>
      </c>
      <c r="D1368" s="13"/>
      <c r="E1368" s="13"/>
      <c r="F1368" s="13"/>
      <c r="G1368" s="102">
        <v>1.0</v>
      </c>
      <c r="H1368" s="101" t="s">
        <v>2940</v>
      </c>
      <c r="I1368" s="102">
        <v>16.67</v>
      </c>
      <c r="J1368" s="102">
        <v>20.5</v>
      </c>
      <c r="K1368" s="101" t="s">
        <v>2941</v>
      </c>
      <c r="L1368" s="102">
        <v>23.0</v>
      </c>
      <c r="M1368" s="13"/>
    </row>
    <row r="1369">
      <c r="A1369" s="101" t="s">
        <v>4017</v>
      </c>
      <c r="B1369" s="101" t="s">
        <v>4018</v>
      </c>
      <c r="D1369" s="13"/>
      <c r="E1369" s="13"/>
      <c r="F1369" s="13"/>
      <c r="G1369" s="102">
        <v>2.0</v>
      </c>
      <c r="H1369" s="101" t="s">
        <v>2942</v>
      </c>
      <c r="I1369" s="102">
        <v>13.0</v>
      </c>
      <c r="J1369" s="102">
        <v>15.99</v>
      </c>
      <c r="K1369" s="101" t="s">
        <v>2941</v>
      </c>
      <c r="L1369" s="102">
        <v>23.0</v>
      </c>
      <c r="M1369" s="13"/>
    </row>
    <row r="1370">
      <c r="A1370" s="101" t="s">
        <v>4019</v>
      </c>
      <c r="B1370" s="101" t="s">
        <v>4020</v>
      </c>
      <c r="D1370" s="13"/>
      <c r="E1370" s="13"/>
      <c r="F1370" s="13"/>
      <c r="G1370" s="102">
        <v>1.0</v>
      </c>
      <c r="H1370" s="101" t="s">
        <v>2940</v>
      </c>
      <c r="I1370" s="102">
        <v>13.82</v>
      </c>
      <c r="J1370" s="102">
        <v>17.0</v>
      </c>
      <c r="K1370" s="101" t="s">
        <v>2941</v>
      </c>
      <c r="L1370" s="102">
        <v>23.0</v>
      </c>
      <c r="M1370" s="13"/>
    </row>
    <row r="1371">
      <c r="A1371" s="101" t="s">
        <v>4019</v>
      </c>
      <c r="B1371" s="101" t="s">
        <v>4020</v>
      </c>
      <c r="D1371" s="13"/>
      <c r="E1371" s="13"/>
      <c r="F1371" s="13"/>
      <c r="G1371" s="102">
        <v>2.0</v>
      </c>
      <c r="H1371" s="101" t="s">
        <v>2942</v>
      </c>
      <c r="I1371" s="102">
        <v>10.5</v>
      </c>
      <c r="J1371" s="102">
        <v>12.92</v>
      </c>
      <c r="K1371" s="101" t="s">
        <v>2941</v>
      </c>
      <c r="L1371" s="102">
        <v>23.0</v>
      </c>
      <c r="M1371" s="13"/>
    </row>
    <row r="1372">
      <c r="A1372" s="101" t="s">
        <v>4021</v>
      </c>
      <c r="B1372" s="101" t="s">
        <v>4022</v>
      </c>
      <c r="D1372" s="13"/>
      <c r="E1372" s="13"/>
      <c r="F1372" s="13"/>
      <c r="G1372" s="102">
        <v>1.0</v>
      </c>
      <c r="H1372" s="101" t="s">
        <v>2940</v>
      </c>
      <c r="I1372" s="102">
        <v>23.17</v>
      </c>
      <c r="J1372" s="102">
        <v>28.5</v>
      </c>
      <c r="K1372" s="101" t="s">
        <v>2941</v>
      </c>
      <c r="L1372" s="102">
        <v>23.0</v>
      </c>
      <c r="M1372" s="13"/>
    </row>
    <row r="1373">
      <c r="A1373" s="101" t="s">
        <v>4021</v>
      </c>
      <c r="B1373" s="101" t="s">
        <v>4022</v>
      </c>
      <c r="D1373" s="13"/>
      <c r="E1373" s="13"/>
      <c r="F1373" s="13"/>
      <c r="G1373" s="102">
        <v>2.0</v>
      </c>
      <c r="H1373" s="101" t="s">
        <v>2942</v>
      </c>
      <c r="I1373" s="102">
        <v>18.6</v>
      </c>
      <c r="J1373" s="102">
        <v>22.88</v>
      </c>
      <c r="K1373" s="101" t="s">
        <v>2941</v>
      </c>
      <c r="L1373" s="102">
        <v>23.0</v>
      </c>
      <c r="M1373" s="13"/>
    </row>
    <row r="1374">
      <c r="A1374" s="101" t="s">
        <v>4023</v>
      </c>
      <c r="B1374" s="101" t="s">
        <v>4024</v>
      </c>
      <c r="D1374" s="13"/>
      <c r="E1374" s="13"/>
      <c r="F1374" s="13"/>
      <c r="G1374" s="102">
        <v>1.0</v>
      </c>
      <c r="H1374" s="101" t="s">
        <v>2940</v>
      </c>
      <c r="I1374" s="102">
        <v>16.67</v>
      </c>
      <c r="J1374" s="102">
        <v>20.5</v>
      </c>
      <c r="K1374" s="101" t="s">
        <v>2941</v>
      </c>
      <c r="L1374" s="102">
        <v>23.0</v>
      </c>
      <c r="M1374" s="13"/>
    </row>
    <row r="1375">
      <c r="A1375" s="101" t="s">
        <v>4023</v>
      </c>
      <c r="B1375" s="101" t="s">
        <v>4024</v>
      </c>
      <c r="D1375" s="13"/>
      <c r="E1375" s="13"/>
      <c r="F1375" s="13"/>
      <c r="G1375" s="102">
        <v>2.0</v>
      </c>
      <c r="H1375" s="101" t="s">
        <v>2942</v>
      </c>
      <c r="I1375" s="102">
        <v>13.0</v>
      </c>
      <c r="J1375" s="102">
        <v>15.99</v>
      </c>
      <c r="K1375" s="101" t="s">
        <v>2941</v>
      </c>
      <c r="L1375" s="102">
        <v>23.0</v>
      </c>
      <c r="M1375" s="13"/>
    </row>
    <row r="1376">
      <c r="A1376" s="101" t="s">
        <v>4025</v>
      </c>
      <c r="B1376" s="101" t="s">
        <v>4026</v>
      </c>
      <c r="D1376" s="13"/>
      <c r="E1376" s="13"/>
      <c r="F1376" s="13"/>
      <c r="G1376" s="102">
        <v>1.0</v>
      </c>
      <c r="H1376" s="101" t="s">
        <v>2940</v>
      </c>
      <c r="I1376" s="102">
        <v>13.82</v>
      </c>
      <c r="J1376" s="102">
        <v>17.0</v>
      </c>
      <c r="K1376" s="101" t="s">
        <v>2941</v>
      </c>
      <c r="L1376" s="102">
        <v>23.0</v>
      </c>
      <c r="M1376" s="13"/>
    </row>
    <row r="1377">
      <c r="A1377" s="101" t="s">
        <v>4025</v>
      </c>
      <c r="B1377" s="101" t="s">
        <v>4026</v>
      </c>
      <c r="D1377" s="13"/>
      <c r="E1377" s="13"/>
      <c r="F1377" s="13"/>
      <c r="G1377" s="102">
        <v>2.0</v>
      </c>
      <c r="H1377" s="101" t="s">
        <v>2942</v>
      </c>
      <c r="I1377" s="102">
        <v>10.5</v>
      </c>
      <c r="J1377" s="102">
        <v>12.92</v>
      </c>
      <c r="K1377" s="101" t="s">
        <v>2941</v>
      </c>
      <c r="L1377" s="102">
        <v>23.0</v>
      </c>
      <c r="M1377" s="13"/>
    </row>
    <row r="1378">
      <c r="A1378" s="101" t="s">
        <v>4027</v>
      </c>
      <c r="B1378" s="101" t="s">
        <v>4028</v>
      </c>
      <c r="D1378" s="13"/>
      <c r="E1378" s="13"/>
      <c r="F1378" s="13"/>
      <c r="G1378" s="102">
        <v>1.0</v>
      </c>
      <c r="H1378" s="101" t="s">
        <v>2940</v>
      </c>
      <c r="I1378" s="102">
        <v>24.72</v>
      </c>
      <c r="J1378" s="102">
        <v>30.41</v>
      </c>
      <c r="K1378" s="101" t="s">
        <v>2941</v>
      </c>
      <c r="L1378" s="102">
        <v>23.0</v>
      </c>
      <c r="M1378" s="13"/>
    </row>
    <row r="1379">
      <c r="A1379" s="101" t="s">
        <v>4027</v>
      </c>
      <c r="B1379" s="101" t="s">
        <v>4028</v>
      </c>
      <c r="D1379" s="13"/>
      <c r="E1379" s="13"/>
      <c r="F1379" s="13"/>
      <c r="G1379" s="102">
        <v>2.0</v>
      </c>
      <c r="H1379" s="101" t="s">
        <v>2942</v>
      </c>
      <c r="I1379" s="102">
        <v>19.8</v>
      </c>
      <c r="J1379" s="102">
        <v>24.35</v>
      </c>
      <c r="K1379" s="101" t="s">
        <v>2941</v>
      </c>
      <c r="L1379" s="102">
        <v>23.0</v>
      </c>
      <c r="M1379" s="13"/>
    </row>
    <row r="1380">
      <c r="A1380" s="101" t="s">
        <v>4029</v>
      </c>
      <c r="B1380" s="101" t="s">
        <v>4030</v>
      </c>
      <c r="D1380" s="13"/>
      <c r="E1380" s="13"/>
      <c r="F1380" s="13"/>
      <c r="G1380" s="102">
        <v>1.0</v>
      </c>
      <c r="H1380" s="101" t="s">
        <v>2940</v>
      </c>
      <c r="I1380" s="102">
        <v>30.41</v>
      </c>
      <c r="J1380" s="102">
        <v>37.4</v>
      </c>
      <c r="K1380" s="101" t="s">
        <v>2941</v>
      </c>
      <c r="L1380" s="102">
        <v>23.0</v>
      </c>
      <c r="M1380" s="13"/>
    </row>
    <row r="1381">
      <c r="A1381" s="101" t="s">
        <v>4029</v>
      </c>
      <c r="B1381" s="101" t="s">
        <v>4030</v>
      </c>
      <c r="D1381" s="13"/>
      <c r="E1381" s="13"/>
      <c r="F1381" s="13"/>
      <c r="G1381" s="102">
        <v>2.0</v>
      </c>
      <c r="H1381" s="101" t="s">
        <v>2942</v>
      </c>
      <c r="I1381" s="102">
        <v>24.3</v>
      </c>
      <c r="J1381" s="102">
        <v>29.89</v>
      </c>
      <c r="K1381" s="101" t="s">
        <v>2941</v>
      </c>
      <c r="L1381" s="102">
        <v>23.0</v>
      </c>
      <c r="M1381" s="13"/>
    </row>
    <row r="1382">
      <c r="A1382" s="101" t="s">
        <v>4031</v>
      </c>
      <c r="B1382" s="101" t="s">
        <v>4032</v>
      </c>
      <c r="D1382" s="13"/>
      <c r="E1382" s="13"/>
      <c r="F1382" s="13"/>
      <c r="G1382" s="102">
        <v>1.0</v>
      </c>
      <c r="H1382" s="101" t="s">
        <v>2940</v>
      </c>
      <c r="I1382" s="102">
        <v>52.11</v>
      </c>
      <c r="J1382" s="102">
        <v>64.1</v>
      </c>
      <c r="K1382" s="101" t="s">
        <v>2941</v>
      </c>
      <c r="L1382" s="102">
        <v>23.0</v>
      </c>
      <c r="M1382" s="13"/>
    </row>
    <row r="1383">
      <c r="A1383" s="101" t="s">
        <v>4031</v>
      </c>
      <c r="B1383" s="101" t="s">
        <v>4032</v>
      </c>
      <c r="D1383" s="13"/>
      <c r="E1383" s="13"/>
      <c r="F1383" s="13"/>
      <c r="G1383" s="102">
        <v>2.0</v>
      </c>
      <c r="H1383" s="101" t="s">
        <v>2942</v>
      </c>
      <c r="I1383" s="102">
        <v>41.5</v>
      </c>
      <c r="J1383" s="102">
        <v>51.05</v>
      </c>
      <c r="K1383" s="101" t="s">
        <v>2941</v>
      </c>
      <c r="L1383" s="102">
        <v>23.0</v>
      </c>
      <c r="M1383" s="13"/>
    </row>
    <row r="1384">
      <c r="A1384" s="101" t="s">
        <v>4033</v>
      </c>
      <c r="B1384" s="101" t="s">
        <v>4034</v>
      </c>
      <c r="D1384" s="13"/>
      <c r="E1384" s="13"/>
      <c r="F1384" s="13"/>
      <c r="G1384" s="102">
        <v>1.0</v>
      </c>
      <c r="H1384" s="101" t="s">
        <v>2940</v>
      </c>
      <c r="I1384" s="102">
        <v>34.15</v>
      </c>
      <c r="J1384" s="102">
        <v>42.0</v>
      </c>
      <c r="K1384" s="101" t="s">
        <v>2941</v>
      </c>
      <c r="L1384" s="102">
        <v>23.0</v>
      </c>
      <c r="M1384" s="13"/>
    </row>
    <row r="1385">
      <c r="A1385" s="101" t="s">
        <v>4033</v>
      </c>
      <c r="B1385" s="101" t="s">
        <v>4034</v>
      </c>
      <c r="D1385" s="13"/>
      <c r="E1385" s="13"/>
      <c r="F1385" s="13"/>
      <c r="G1385" s="102">
        <v>2.0</v>
      </c>
      <c r="H1385" s="101" t="s">
        <v>2942</v>
      </c>
      <c r="I1385" s="102">
        <v>27.0</v>
      </c>
      <c r="J1385" s="102">
        <v>33.21</v>
      </c>
      <c r="K1385" s="101" t="s">
        <v>2941</v>
      </c>
      <c r="L1385" s="102">
        <v>23.0</v>
      </c>
      <c r="M1385" s="13"/>
    </row>
    <row r="1386">
      <c r="A1386" s="101" t="s">
        <v>4035</v>
      </c>
      <c r="B1386" s="101" t="s">
        <v>4036</v>
      </c>
      <c r="D1386" s="13"/>
      <c r="E1386" s="13"/>
      <c r="F1386" s="13"/>
      <c r="G1386" s="102">
        <v>1.0</v>
      </c>
      <c r="H1386" s="101" t="s">
        <v>2940</v>
      </c>
      <c r="I1386" s="102">
        <v>28.05</v>
      </c>
      <c r="J1386" s="102">
        <v>34.5</v>
      </c>
      <c r="K1386" s="101" t="s">
        <v>2941</v>
      </c>
      <c r="L1386" s="102">
        <v>23.0</v>
      </c>
      <c r="M1386" s="13"/>
    </row>
    <row r="1387">
      <c r="A1387" s="101" t="s">
        <v>4035</v>
      </c>
      <c r="B1387" s="101" t="s">
        <v>4036</v>
      </c>
      <c r="D1387" s="13"/>
      <c r="E1387" s="13"/>
      <c r="F1387" s="13"/>
      <c r="G1387" s="102">
        <v>2.0</v>
      </c>
      <c r="H1387" s="101" t="s">
        <v>2942</v>
      </c>
      <c r="I1387" s="102">
        <v>22.0</v>
      </c>
      <c r="J1387" s="102">
        <v>27.06</v>
      </c>
      <c r="K1387" s="101" t="s">
        <v>2941</v>
      </c>
      <c r="L1387" s="102">
        <v>23.0</v>
      </c>
      <c r="M1387" s="13"/>
    </row>
    <row r="1388">
      <c r="A1388" s="101" t="s">
        <v>4037</v>
      </c>
      <c r="B1388" s="101" t="s">
        <v>4038</v>
      </c>
      <c r="D1388" s="13"/>
      <c r="E1388" s="13"/>
      <c r="F1388" s="13"/>
      <c r="G1388" s="102">
        <v>1.0</v>
      </c>
      <c r="H1388" s="101" t="s">
        <v>2940</v>
      </c>
      <c r="I1388" s="102">
        <v>52.11</v>
      </c>
      <c r="J1388" s="102">
        <v>64.1</v>
      </c>
      <c r="K1388" s="101" t="s">
        <v>2941</v>
      </c>
      <c r="L1388" s="102">
        <v>23.0</v>
      </c>
      <c r="M1388" s="13"/>
    </row>
    <row r="1389">
      <c r="A1389" s="101" t="s">
        <v>4037</v>
      </c>
      <c r="B1389" s="101" t="s">
        <v>4038</v>
      </c>
      <c r="D1389" s="13"/>
      <c r="E1389" s="13"/>
      <c r="F1389" s="13"/>
      <c r="G1389" s="102">
        <v>2.0</v>
      </c>
      <c r="H1389" s="101" t="s">
        <v>2942</v>
      </c>
      <c r="I1389" s="102">
        <v>41.5</v>
      </c>
      <c r="J1389" s="102">
        <v>51.05</v>
      </c>
      <c r="K1389" s="101" t="s">
        <v>2941</v>
      </c>
      <c r="L1389" s="102">
        <v>23.0</v>
      </c>
      <c r="M1389" s="13"/>
    </row>
    <row r="1390">
      <c r="A1390" s="101" t="s">
        <v>4039</v>
      </c>
      <c r="B1390" s="101" t="s">
        <v>4040</v>
      </c>
      <c r="D1390" s="13"/>
      <c r="E1390" s="13"/>
      <c r="F1390" s="13"/>
      <c r="G1390" s="102">
        <v>1.0</v>
      </c>
      <c r="H1390" s="101" t="s">
        <v>2940</v>
      </c>
      <c r="I1390" s="102">
        <v>49.59</v>
      </c>
      <c r="J1390" s="102">
        <v>61.0</v>
      </c>
      <c r="K1390" s="101" t="s">
        <v>2941</v>
      </c>
      <c r="L1390" s="102">
        <v>23.0</v>
      </c>
      <c r="M1390" s="13"/>
    </row>
    <row r="1391">
      <c r="A1391" s="101" t="s">
        <v>4039</v>
      </c>
      <c r="B1391" s="101" t="s">
        <v>4040</v>
      </c>
      <c r="D1391" s="13"/>
      <c r="E1391" s="13"/>
      <c r="F1391" s="13"/>
      <c r="G1391" s="102">
        <v>2.0</v>
      </c>
      <c r="H1391" s="101" t="s">
        <v>2942</v>
      </c>
      <c r="I1391" s="102">
        <v>40.0</v>
      </c>
      <c r="J1391" s="102">
        <v>49.2</v>
      </c>
      <c r="K1391" s="101" t="s">
        <v>2941</v>
      </c>
      <c r="L1391" s="102">
        <v>23.0</v>
      </c>
      <c r="M1391" s="13"/>
    </row>
    <row r="1392">
      <c r="A1392" s="101" t="s">
        <v>4041</v>
      </c>
      <c r="B1392" s="101" t="s">
        <v>4042</v>
      </c>
      <c r="D1392" s="13"/>
      <c r="E1392" s="13"/>
      <c r="F1392" s="13"/>
      <c r="G1392" s="102">
        <v>1.0</v>
      </c>
      <c r="H1392" s="101" t="s">
        <v>2940</v>
      </c>
      <c r="I1392" s="102">
        <v>39.43</v>
      </c>
      <c r="J1392" s="102">
        <v>48.5</v>
      </c>
      <c r="K1392" s="101" t="s">
        <v>2941</v>
      </c>
      <c r="L1392" s="102">
        <v>23.0</v>
      </c>
      <c r="M1392" s="13"/>
    </row>
    <row r="1393">
      <c r="A1393" s="101" t="s">
        <v>4041</v>
      </c>
      <c r="B1393" s="101" t="s">
        <v>4042</v>
      </c>
      <c r="D1393" s="13"/>
      <c r="E1393" s="13"/>
      <c r="F1393" s="13"/>
      <c r="G1393" s="102">
        <v>2.0</v>
      </c>
      <c r="H1393" s="101" t="s">
        <v>2942</v>
      </c>
      <c r="I1393" s="102">
        <v>31.5</v>
      </c>
      <c r="J1393" s="102">
        <v>38.75</v>
      </c>
      <c r="K1393" s="101" t="s">
        <v>2941</v>
      </c>
      <c r="L1393" s="102">
        <v>23.0</v>
      </c>
      <c r="M1393" s="13"/>
    </row>
    <row r="1394">
      <c r="A1394" s="101" t="s">
        <v>4043</v>
      </c>
      <c r="B1394" s="101" t="s">
        <v>4044</v>
      </c>
      <c r="D1394" s="13"/>
      <c r="E1394" s="13"/>
      <c r="F1394" s="13"/>
      <c r="G1394" s="102">
        <v>1.0</v>
      </c>
      <c r="H1394" s="101" t="s">
        <v>2940</v>
      </c>
      <c r="I1394" s="102">
        <v>37.4</v>
      </c>
      <c r="J1394" s="102">
        <v>46.0</v>
      </c>
      <c r="K1394" s="101" t="s">
        <v>2941</v>
      </c>
      <c r="L1394" s="102">
        <v>23.0</v>
      </c>
      <c r="M1394" s="13"/>
    </row>
    <row r="1395">
      <c r="A1395" s="101" t="s">
        <v>4043</v>
      </c>
      <c r="B1395" s="101" t="s">
        <v>4044</v>
      </c>
      <c r="D1395" s="13"/>
      <c r="E1395" s="13"/>
      <c r="F1395" s="13"/>
      <c r="G1395" s="102">
        <v>2.0</v>
      </c>
      <c r="H1395" s="101" t="s">
        <v>2942</v>
      </c>
      <c r="I1395" s="102">
        <v>30.0</v>
      </c>
      <c r="J1395" s="102">
        <v>36.9</v>
      </c>
      <c r="K1395" s="101" t="s">
        <v>2941</v>
      </c>
      <c r="L1395" s="102">
        <v>23.0</v>
      </c>
      <c r="M1395" s="13"/>
    </row>
    <row r="1396">
      <c r="A1396" s="101" t="s">
        <v>4045</v>
      </c>
      <c r="B1396" s="101" t="s">
        <v>4046</v>
      </c>
      <c r="D1396" s="13"/>
      <c r="E1396" s="13"/>
      <c r="F1396" s="13"/>
      <c r="G1396" s="102">
        <v>1.0</v>
      </c>
      <c r="H1396" s="101" t="s">
        <v>2940</v>
      </c>
      <c r="I1396" s="102">
        <v>56.91</v>
      </c>
      <c r="J1396" s="102">
        <v>70.0</v>
      </c>
      <c r="K1396" s="101" t="s">
        <v>2941</v>
      </c>
      <c r="L1396" s="102">
        <v>23.0</v>
      </c>
      <c r="M1396" s="13"/>
    </row>
    <row r="1397">
      <c r="A1397" s="101" t="s">
        <v>4045</v>
      </c>
      <c r="B1397" s="101" t="s">
        <v>4046</v>
      </c>
      <c r="D1397" s="13"/>
      <c r="E1397" s="13"/>
      <c r="F1397" s="13"/>
      <c r="G1397" s="102">
        <v>2.0</v>
      </c>
      <c r="H1397" s="101" t="s">
        <v>2942</v>
      </c>
      <c r="I1397" s="102">
        <v>45.0</v>
      </c>
      <c r="J1397" s="102">
        <v>55.35</v>
      </c>
      <c r="K1397" s="101" t="s">
        <v>2941</v>
      </c>
      <c r="L1397" s="102">
        <v>23.0</v>
      </c>
      <c r="M1397" s="13"/>
    </row>
    <row r="1398">
      <c r="A1398" s="101" t="s">
        <v>4047</v>
      </c>
      <c r="B1398" s="101" t="s">
        <v>4048</v>
      </c>
      <c r="E1398" s="13"/>
      <c r="F1398" s="13"/>
      <c r="G1398" s="102">
        <v>1.0</v>
      </c>
      <c r="H1398" s="101" t="s">
        <v>2940</v>
      </c>
      <c r="I1398" s="102">
        <v>46.34</v>
      </c>
      <c r="J1398" s="102">
        <v>57.0</v>
      </c>
      <c r="K1398" s="101" t="s">
        <v>2941</v>
      </c>
      <c r="L1398" s="102">
        <v>23.0</v>
      </c>
      <c r="M1398" s="13"/>
    </row>
    <row r="1399">
      <c r="A1399" s="101" t="s">
        <v>4047</v>
      </c>
      <c r="B1399" s="101" t="s">
        <v>4048</v>
      </c>
      <c r="E1399" s="13"/>
      <c r="F1399" s="13"/>
      <c r="G1399" s="102">
        <v>2.0</v>
      </c>
      <c r="H1399" s="101" t="s">
        <v>2942</v>
      </c>
      <c r="I1399" s="102">
        <v>37.0</v>
      </c>
      <c r="J1399" s="102">
        <v>45.51</v>
      </c>
      <c r="K1399" s="101" t="s">
        <v>2941</v>
      </c>
      <c r="L1399" s="102">
        <v>23.0</v>
      </c>
      <c r="M1399" s="13"/>
    </row>
    <row r="1400">
      <c r="A1400" s="101" t="s">
        <v>4049</v>
      </c>
      <c r="B1400" s="101" t="s">
        <v>4050</v>
      </c>
      <c r="D1400" s="13"/>
      <c r="E1400" s="13"/>
      <c r="F1400" s="13"/>
      <c r="G1400" s="102">
        <v>1.0</v>
      </c>
      <c r="H1400" s="101" t="s">
        <v>2940</v>
      </c>
      <c r="I1400" s="102">
        <v>56.91</v>
      </c>
      <c r="J1400" s="102">
        <v>70.0</v>
      </c>
      <c r="K1400" s="101" t="s">
        <v>2941</v>
      </c>
      <c r="L1400" s="102">
        <v>23.0</v>
      </c>
      <c r="M1400" s="13"/>
    </row>
    <row r="1401">
      <c r="A1401" s="101" t="s">
        <v>4049</v>
      </c>
      <c r="B1401" s="101" t="s">
        <v>4050</v>
      </c>
      <c r="D1401" s="13"/>
      <c r="E1401" s="13"/>
      <c r="F1401" s="13"/>
      <c r="G1401" s="102">
        <v>2.0</v>
      </c>
      <c r="H1401" s="101" t="s">
        <v>2942</v>
      </c>
      <c r="I1401" s="102">
        <v>45.0</v>
      </c>
      <c r="J1401" s="102">
        <v>55.35</v>
      </c>
      <c r="K1401" s="101" t="s">
        <v>2941</v>
      </c>
      <c r="L1401" s="102">
        <v>23.0</v>
      </c>
      <c r="M1401" s="13"/>
    </row>
    <row r="1402">
      <c r="A1402" s="101" t="s">
        <v>4051</v>
      </c>
      <c r="B1402" s="101" t="s">
        <v>4052</v>
      </c>
      <c r="D1402" s="13"/>
      <c r="E1402" s="13"/>
      <c r="F1402" s="13"/>
      <c r="G1402" s="102">
        <v>1.0</v>
      </c>
      <c r="H1402" s="101" t="s">
        <v>2940</v>
      </c>
      <c r="I1402" s="102">
        <v>46.34</v>
      </c>
      <c r="J1402" s="102">
        <v>57.0</v>
      </c>
      <c r="K1402" s="101" t="s">
        <v>2941</v>
      </c>
      <c r="L1402" s="102">
        <v>23.0</v>
      </c>
      <c r="M1402" s="13"/>
    </row>
    <row r="1403">
      <c r="A1403" s="101" t="s">
        <v>4051</v>
      </c>
      <c r="B1403" s="101" t="s">
        <v>4052</v>
      </c>
      <c r="D1403" s="13"/>
      <c r="E1403" s="13"/>
      <c r="F1403" s="13"/>
      <c r="G1403" s="102">
        <v>2.0</v>
      </c>
      <c r="H1403" s="101" t="s">
        <v>2942</v>
      </c>
      <c r="I1403" s="102">
        <v>37.0</v>
      </c>
      <c r="J1403" s="102">
        <v>45.51</v>
      </c>
      <c r="K1403" s="101" t="s">
        <v>2941</v>
      </c>
      <c r="L1403" s="102">
        <v>23.0</v>
      </c>
      <c r="M1403" s="13"/>
    </row>
    <row r="1404">
      <c r="A1404" s="101" t="s">
        <v>4053</v>
      </c>
      <c r="B1404" s="101" t="s">
        <v>4054</v>
      </c>
      <c r="D1404" s="13"/>
      <c r="E1404" s="13"/>
      <c r="F1404" s="13"/>
      <c r="G1404" s="102">
        <v>1.0</v>
      </c>
      <c r="H1404" s="101" t="s">
        <v>2940</v>
      </c>
      <c r="I1404" s="102">
        <v>35.04</v>
      </c>
      <c r="J1404" s="102">
        <v>43.1</v>
      </c>
      <c r="K1404" s="101" t="s">
        <v>2941</v>
      </c>
      <c r="L1404" s="102">
        <v>23.0</v>
      </c>
      <c r="M1404" s="13"/>
    </row>
    <row r="1405">
      <c r="A1405" s="101" t="s">
        <v>4053</v>
      </c>
      <c r="B1405" s="101" t="s">
        <v>4054</v>
      </c>
      <c r="D1405" s="13"/>
      <c r="E1405" s="13"/>
      <c r="F1405" s="13"/>
      <c r="G1405" s="102">
        <v>2.0</v>
      </c>
      <c r="H1405" s="101" t="s">
        <v>2942</v>
      </c>
      <c r="I1405" s="102">
        <v>28.0</v>
      </c>
      <c r="J1405" s="102">
        <v>34.44</v>
      </c>
      <c r="K1405" s="101" t="s">
        <v>2941</v>
      </c>
      <c r="L1405" s="102">
        <v>23.0</v>
      </c>
      <c r="M1405" s="13"/>
    </row>
    <row r="1406">
      <c r="A1406" s="101" t="s">
        <v>4055</v>
      </c>
      <c r="B1406" s="101" t="s">
        <v>4056</v>
      </c>
      <c r="D1406" s="13"/>
      <c r="E1406" s="13"/>
      <c r="F1406" s="13"/>
      <c r="G1406" s="102">
        <v>1.0</v>
      </c>
      <c r="H1406" s="101" t="s">
        <v>2940</v>
      </c>
      <c r="I1406" s="102">
        <v>54.31</v>
      </c>
      <c r="J1406" s="102">
        <v>66.8</v>
      </c>
      <c r="K1406" s="101" t="s">
        <v>2941</v>
      </c>
      <c r="L1406" s="102">
        <v>23.0</v>
      </c>
      <c r="M1406" s="13"/>
    </row>
    <row r="1407">
      <c r="A1407" s="101" t="s">
        <v>4055</v>
      </c>
      <c r="B1407" s="101" t="s">
        <v>4056</v>
      </c>
      <c r="D1407" s="13"/>
      <c r="E1407" s="13"/>
      <c r="F1407" s="13"/>
      <c r="G1407" s="102">
        <v>2.0</v>
      </c>
      <c r="H1407" s="101" t="s">
        <v>2942</v>
      </c>
      <c r="I1407" s="102">
        <v>43.5</v>
      </c>
      <c r="J1407" s="102">
        <v>53.51</v>
      </c>
      <c r="K1407" s="101" t="s">
        <v>2941</v>
      </c>
      <c r="L1407" s="102">
        <v>23.0</v>
      </c>
      <c r="M1407" s="13"/>
    </row>
    <row r="1408">
      <c r="A1408" s="101" t="s">
        <v>4057</v>
      </c>
      <c r="B1408" s="101" t="s">
        <v>4058</v>
      </c>
      <c r="E1408" s="13"/>
      <c r="F1408" s="13"/>
      <c r="G1408" s="102">
        <v>1.0</v>
      </c>
      <c r="H1408" s="101" t="s">
        <v>2940</v>
      </c>
      <c r="I1408" s="102">
        <v>43.74</v>
      </c>
      <c r="J1408" s="102">
        <v>53.8</v>
      </c>
      <c r="K1408" s="101" t="s">
        <v>2941</v>
      </c>
      <c r="L1408" s="102">
        <v>23.0</v>
      </c>
      <c r="M1408" s="13"/>
    </row>
    <row r="1409">
      <c r="A1409" s="101" t="s">
        <v>4057</v>
      </c>
      <c r="B1409" s="101" t="s">
        <v>4058</v>
      </c>
      <c r="E1409" s="13"/>
      <c r="F1409" s="13"/>
      <c r="G1409" s="102">
        <v>2.0</v>
      </c>
      <c r="H1409" s="101" t="s">
        <v>2942</v>
      </c>
      <c r="I1409" s="102">
        <v>35.0</v>
      </c>
      <c r="J1409" s="102">
        <v>43.05</v>
      </c>
      <c r="K1409" s="101" t="s">
        <v>2941</v>
      </c>
      <c r="L1409" s="102">
        <v>23.0</v>
      </c>
      <c r="M1409" s="13"/>
    </row>
    <row r="1410">
      <c r="A1410" s="101" t="s">
        <v>4059</v>
      </c>
      <c r="B1410" s="101" t="s">
        <v>4060</v>
      </c>
      <c r="D1410" s="13"/>
      <c r="E1410" s="13"/>
      <c r="F1410" s="13"/>
      <c r="G1410" s="102">
        <v>1.0</v>
      </c>
      <c r="H1410" s="101" t="s">
        <v>2940</v>
      </c>
      <c r="I1410" s="102">
        <v>43.74</v>
      </c>
      <c r="J1410" s="102">
        <v>53.8</v>
      </c>
      <c r="K1410" s="101" t="s">
        <v>2941</v>
      </c>
      <c r="L1410" s="102">
        <v>23.0</v>
      </c>
      <c r="M1410" s="13"/>
    </row>
    <row r="1411">
      <c r="A1411" s="101" t="s">
        <v>4059</v>
      </c>
      <c r="B1411" s="101" t="s">
        <v>4060</v>
      </c>
      <c r="D1411" s="13"/>
      <c r="E1411" s="13"/>
      <c r="F1411" s="13"/>
      <c r="G1411" s="102">
        <v>2.0</v>
      </c>
      <c r="H1411" s="101" t="s">
        <v>2942</v>
      </c>
      <c r="I1411" s="102">
        <v>35.0</v>
      </c>
      <c r="J1411" s="102">
        <v>43.05</v>
      </c>
      <c r="K1411" s="101" t="s">
        <v>2941</v>
      </c>
      <c r="L1411" s="102">
        <v>23.0</v>
      </c>
      <c r="M1411" s="13"/>
    </row>
    <row r="1412">
      <c r="A1412" s="101" t="s">
        <v>4061</v>
      </c>
      <c r="B1412" s="101" t="s">
        <v>4062</v>
      </c>
      <c r="D1412" s="13"/>
      <c r="E1412" s="13"/>
      <c r="F1412" s="13"/>
      <c r="G1412" s="102">
        <v>1.0</v>
      </c>
      <c r="H1412" s="101" t="s">
        <v>2940</v>
      </c>
      <c r="I1412" s="102">
        <v>37.4</v>
      </c>
      <c r="J1412" s="102">
        <v>46.0</v>
      </c>
      <c r="K1412" s="101" t="s">
        <v>2941</v>
      </c>
      <c r="L1412" s="102">
        <v>23.0</v>
      </c>
      <c r="M1412" s="13"/>
    </row>
    <row r="1413">
      <c r="A1413" s="101" t="s">
        <v>4061</v>
      </c>
      <c r="B1413" s="101" t="s">
        <v>4062</v>
      </c>
      <c r="D1413" s="13"/>
      <c r="E1413" s="13"/>
      <c r="F1413" s="13"/>
      <c r="G1413" s="102">
        <v>2.0</v>
      </c>
      <c r="H1413" s="101" t="s">
        <v>2942</v>
      </c>
      <c r="I1413" s="102">
        <v>30.0</v>
      </c>
      <c r="J1413" s="102">
        <v>36.9</v>
      </c>
      <c r="K1413" s="101" t="s">
        <v>2941</v>
      </c>
      <c r="L1413" s="102">
        <v>23.0</v>
      </c>
      <c r="M1413" s="13"/>
    </row>
    <row r="1414">
      <c r="A1414" s="101" t="s">
        <v>4063</v>
      </c>
      <c r="B1414" s="101" t="s">
        <v>4064</v>
      </c>
      <c r="D1414" s="13"/>
      <c r="E1414" s="13"/>
      <c r="F1414" s="13"/>
      <c r="G1414" s="102">
        <v>1.0</v>
      </c>
      <c r="H1414" s="101" t="s">
        <v>2940</v>
      </c>
      <c r="I1414" s="102">
        <v>56.91</v>
      </c>
      <c r="J1414" s="102">
        <v>70.0</v>
      </c>
      <c r="K1414" s="101" t="s">
        <v>2941</v>
      </c>
      <c r="L1414" s="102">
        <v>23.0</v>
      </c>
      <c r="M1414" s="13"/>
    </row>
    <row r="1415">
      <c r="A1415" s="101" t="s">
        <v>4063</v>
      </c>
      <c r="B1415" s="101" t="s">
        <v>4064</v>
      </c>
      <c r="D1415" s="13"/>
      <c r="E1415" s="13"/>
      <c r="F1415" s="13"/>
      <c r="G1415" s="102">
        <v>2.0</v>
      </c>
      <c r="H1415" s="101" t="s">
        <v>2942</v>
      </c>
      <c r="I1415" s="102">
        <v>45.5</v>
      </c>
      <c r="J1415" s="102">
        <v>55.97</v>
      </c>
      <c r="K1415" s="101" t="s">
        <v>2941</v>
      </c>
      <c r="L1415" s="102">
        <v>23.0</v>
      </c>
      <c r="M1415" s="13"/>
    </row>
    <row r="1416">
      <c r="A1416" s="101" t="s">
        <v>4065</v>
      </c>
      <c r="B1416" s="101" t="s">
        <v>4066</v>
      </c>
      <c r="D1416" s="13"/>
      <c r="E1416" s="13"/>
      <c r="F1416" s="13"/>
      <c r="G1416" s="102">
        <v>1.0</v>
      </c>
      <c r="H1416" s="101" t="s">
        <v>2940</v>
      </c>
      <c r="I1416" s="102">
        <v>46.34</v>
      </c>
      <c r="J1416" s="102">
        <v>57.0</v>
      </c>
      <c r="K1416" s="101" t="s">
        <v>2941</v>
      </c>
      <c r="L1416" s="102">
        <v>23.0</v>
      </c>
      <c r="M1416" s="13"/>
    </row>
    <row r="1417">
      <c r="A1417" s="101" t="s">
        <v>4065</v>
      </c>
      <c r="B1417" s="101" t="s">
        <v>4066</v>
      </c>
      <c r="D1417" s="13"/>
      <c r="E1417" s="13"/>
      <c r="F1417" s="13"/>
      <c r="G1417" s="102">
        <v>2.0</v>
      </c>
      <c r="H1417" s="101" t="s">
        <v>2942</v>
      </c>
      <c r="I1417" s="102">
        <v>37.0</v>
      </c>
      <c r="J1417" s="102">
        <v>45.51</v>
      </c>
      <c r="K1417" s="101" t="s">
        <v>2941</v>
      </c>
      <c r="L1417" s="102">
        <v>23.0</v>
      </c>
      <c r="M1417" s="13"/>
    </row>
    <row r="1418">
      <c r="A1418" s="101" t="s">
        <v>4067</v>
      </c>
      <c r="B1418" s="101" t="s">
        <v>4068</v>
      </c>
      <c r="D1418" s="13"/>
      <c r="E1418" s="13"/>
      <c r="F1418" s="13"/>
      <c r="G1418" s="102">
        <v>1.0</v>
      </c>
      <c r="H1418" s="101" t="s">
        <v>2940</v>
      </c>
      <c r="I1418" s="102">
        <v>46.34</v>
      </c>
      <c r="J1418" s="102">
        <v>57.0</v>
      </c>
      <c r="K1418" s="101" t="s">
        <v>2941</v>
      </c>
      <c r="L1418" s="102">
        <v>23.0</v>
      </c>
      <c r="M1418" s="13"/>
    </row>
    <row r="1419">
      <c r="A1419" s="101" t="s">
        <v>4067</v>
      </c>
      <c r="B1419" s="101" t="s">
        <v>4068</v>
      </c>
      <c r="D1419" s="13"/>
      <c r="E1419" s="13"/>
      <c r="F1419" s="13"/>
      <c r="G1419" s="102">
        <v>2.0</v>
      </c>
      <c r="H1419" s="101" t="s">
        <v>2942</v>
      </c>
      <c r="I1419" s="102">
        <v>37.0</v>
      </c>
      <c r="J1419" s="102">
        <v>45.51</v>
      </c>
      <c r="K1419" s="101" t="s">
        <v>2941</v>
      </c>
      <c r="L1419" s="102">
        <v>23.0</v>
      </c>
      <c r="M1419" s="13"/>
    </row>
    <row r="1420">
      <c r="A1420" s="101" t="s">
        <v>4069</v>
      </c>
      <c r="B1420" s="101" t="s">
        <v>4070</v>
      </c>
      <c r="D1420" s="13"/>
      <c r="E1420" s="13"/>
      <c r="F1420" s="13"/>
      <c r="G1420" s="102">
        <v>1.0</v>
      </c>
      <c r="H1420" s="101" t="s">
        <v>2940</v>
      </c>
      <c r="I1420" s="102">
        <v>46.34</v>
      </c>
      <c r="J1420" s="102">
        <v>57.0</v>
      </c>
      <c r="K1420" s="101" t="s">
        <v>2941</v>
      </c>
      <c r="L1420" s="102">
        <v>23.0</v>
      </c>
      <c r="M1420" s="13"/>
    </row>
    <row r="1421">
      <c r="A1421" s="101" t="s">
        <v>4069</v>
      </c>
      <c r="B1421" s="101" t="s">
        <v>4070</v>
      </c>
      <c r="D1421" s="13"/>
      <c r="E1421" s="13"/>
      <c r="F1421" s="13"/>
      <c r="G1421" s="102">
        <v>2.0</v>
      </c>
      <c r="H1421" s="101" t="s">
        <v>2942</v>
      </c>
      <c r="I1421" s="102">
        <v>37.2</v>
      </c>
      <c r="J1421" s="102">
        <v>45.76</v>
      </c>
      <c r="K1421" s="101" t="s">
        <v>2941</v>
      </c>
      <c r="L1421" s="102">
        <v>23.0</v>
      </c>
      <c r="M1421" s="13"/>
    </row>
    <row r="1422">
      <c r="A1422" s="101" t="s">
        <v>4071</v>
      </c>
      <c r="B1422" s="101" t="s">
        <v>4072</v>
      </c>
      <c r="D1422" s="13"/>
      <c r="E1422" s="13"/>
      <c r="F1422" s="13"/>
      <c r="G1422" s="102">
        <v>1.0</v>
      </c>
      <c r="H1422" s="101" t="s">
        <v>2940</v>
      </c>
      <c r="I1422" s="102">
        <v>33.33</v>
      </c>
      <c r="J1422" s="102">
        <v>41.0</v>
      </c>
      <c r="K1422" s="101" t="s">
        <v>2941</v>
      </c>
      <c r="L1422" s="102">
        <v>23.0</v>
      </c>
      <c r="M1422" s="13"/>
    </row>
    <row r="1423">
      <c r="A1423" s="101" t="s">
        <v>4071</v>
      </c>
      <c r="B1423" s="101" t="s">
        <v>4072</v>
      </c>
      <c r="D1423" s="13"/>
      <c r="E1423" s="13"/>
      <c r="F1423" s="13"/>
      <c r="G1423" s="102">
        <v>2.0</v>
      </c>
      <c r="H1423" s="101" t="s">
        <v>2942</v>
      </c>
      <c r="I1423" s="102">
        <v>26.0</v>
      </c>
      <c r="J1423" s="102">
        <v>31.98</v>
      </c>
      <c r="K1423" s="101" t="s">
        <v>2941</v>
      </c>
      <c r="L1423" s="102">
        <v>23.0</v>
      </c>
      <c r="M1423" s="13"/>
    </row>
    <row r="1424">
      <c r="A1424" s="101" t="s">
        <v>4073</v>
      </c>
      <c r="B1424" s="101" t="s">
        <v>4074</v>
      </c>
      <c r="D1424" s="13"/>
      <c r="E1424" s="13"/>
      <c r="F1424" s="13"/>
      <c r="G1424" s="102">
        <v>1.0</v>
      </c>
      <c r="H1424" s="101" t="s">
        <v>2940</v>
      </c>
      <c r="I1424" s="102">
        <v>27.64</v>
      </c>
      <c r="J1424" s="102">
        <v>34.0</v>
      </c>
      <c r="K1424" s="101" t="s">
        <v>2941</v>
      </c>
      <c r="L1424" s="102">
        <v>23.0</v>
      </c>
      <c r="M1424" s="13"/>
    </row>
    <row r="1425">
      <c r="A1425" s="101" t="s">
        <v>4073</v>
      </c>
      <c r="B1425" s="101" t="s">
        <v>4074</v>
      </c>
      <c r="D1425" s="13"/>
      <c r="E1425" s="13"/>
      <c r="F1425" s="13"/>
      <c r="G1425" s="102">
        <v>2.0</v>
      </c>
      <c r="H1425" s="101" t="s">
        <v>2942</v>
      </c>
      <c r="I1425" s="102">
        <v>21.0</v>
      </c>
      <c r="J1425" s="102">
        <v>25.83</v>
      </c>
      <c r="K1425" s="101" t="s">
        <v>2941</v>
      </c>
      <c r="L1425" s="102">
        <v>23.0</v>
      </c>
      <c r="M1425" s="13"/>
    </row>
    <row r="1426">
      <c r="A1426" s="101" t="s">
        <v>4075</v>
      </c>
      <c r="B1426" s="101" t="s">
        <v>4076</v>
      </c>
      <c r="D1426" s="13"/>
      <c r="E1426" s="13"/>
      <c r="F1426" s="13"/>
      <c r="G1426" s="102">
        <v>1.0</v>
      </c>
      <c r="H1426" s="101" t="s">
        <v>2940</v>
      </c>
      <c r="I1426" s="102">
        <v>46.34</v>
      </c>
      <c r="J1426" s="102">
        <v>57.0</v>
      </c>
      <c r="K1426" s="101" t="s">
        <v>2941</v>
      </c>
      <c r="L1426" s="102">
        <v>23.0</v>
      </c>
      <c r="M1426" s="13"/>
    </row>
    <row r="1427">
      <c r="A1427" s="101" t="s">
        <v>4075</v>
      </c>
      <c r="B1427" s="101" t="s">
        <v>4076</v>
      </c>
      <c r="D1427" s="13"/>
      <c r="E1427" s="13"/>
      <c r="F1427" s="13"/>
      <c r="G1427" s="102">
        <v>2.0</v>
      </c>
      <c r="H1427" s="101" t="s">
        <v>2942</v>
      </c>
      <c r="I1427" s="102">
        <v>37.0</v>
      </c>
      <c r="J1427" s="102">
        <v>45.51</v>
      </c>
      <c r="K1427" s="101" t="s">
        <v>2941</v>
      </c>
      <c r="L1427" s="102">
        <v>23.0</v>
      </c>
      <c r="M1427" s="13"/>
    </row>
    <row r="1428">
      <c r="A1428" s="101" t="s">
        <v>4077</v>
      </c>
      <c r="B1428" s="101" t="s">
        <v>4078</v>
      </c>
      <c r="D1428" s="13"/>
      <c r="E1428" s="13"/>
      <c r="F1428" s="13"/>
      <c r="G1428" s="102">
        <v>1.0</v>
      </c>
      <c r="H1428" s="101" t="s">
        <v>2940</v>
      </c>
      <c r="I1428" s="102">
        <v>43.9</v>
      </c>
      <c r="J1428" s="102">
        <v>54.0</v>
      </c>
      <c r="K1428" s="101" t="s">
        <v>2941</v>
      </c>
      <c r="L1428" s="102">
        <v>23.0</v>
      </c>
      <c r="M1428" s="13"/>
    </row>
    <row r="1429">
      <c r="A1429" s="101" t="s">
        <v>4077</v>
      </c>
      <c r="B1429" s="101" t="s">
        <v>4078</v>
      </c>
      <c r="D1429" s="13"/>
      <c r="E1429" s="13"/>
      <c r="F1429" s="13"/>
      <c r="G1429" s="102">
        <v>2.0</v>
      </c>
      <c r="H1429" s="101" t="s">
        <v>2942</v>
      </c>
      <c r="I1429" s="102">
        <v>35.3</v>
      </c>
      <c r="J1429" s="102">
        <v>43.42</v>
      </c>
      <c r="K1429" s="101" t="s">
        <v>2941</v>
      </c>
      <c r="L1429" s="102">
        <v>23.0</v>
      </c>
      <c r="M1429" s="13"/>
    </row>
    <row r="1430">
      <c r="A1430" s="101" t="s">
        <v>4079</v>
      </c>
      <c r="B1430" s="101" t="s">
        <v>4080</v>
      </c>
      <c r="D1430" s="13"/>
      <c r="E1430" s="13"/>
      <c r="F1430" s="13"/>
      <c r="G1430" s="102">
        <v>1.0</v>
      </c>
      <c r="H1430" s="101" t="s">
        <v>2940</v>
      </c>
      <c r="I1430" s="102">
        <v>33.74</v>
      </c>
      <c r="J1430" s="102">
        <v>41.5</v>
      </c>
      <c r="K1430" s="101" t="s">
        <v>2941</v>
      </c>
      <c r="L1430" s="102">
        <v>23.0</v>
      </c>
      <c r="M1430" s="13"/>
    </row>
    <row r="1431">
      <c r="A1431" s="101" t="s">
        <v>4079</v>
      </c>
      <c r="B1431" s="101" t="s">
        <v>4080</v>
      </c>
      <c r="D1431" s="13"/>
      <c r="E1431" s="13"/>
      <c r="F1431" s="13"/>
      <c r="G1431" s="102">
        <v>2.0</v>
      </c>
      <c r="H1431" s="101" t="s">
        <v>2942</v>
      </c>
      <c r="I1431" s="102">
        <v>27.0</v>
      </c>
      <c r="J1431" s="102">
        <v>33.21</v>
      </c>
      <c r="K1431" s="101" t="s">
        <v>2941</v>
      </c>
      <c r="L1431" s="102">
        <v>23.0</v>
      </c>
      <c r="M1431" s="13"/>
    </row>
    <row r="1432">
      <c r="A1432" s="101" t="s">
        <v>4081</v>
      </c>
      <c r="B1432" s="101" t="s">
        <v>4082</v>
      </c>
      <c r="D1432" s="13"/>
      <c r="E1432" s="13"/>
      <c r="F1432" s="13"/>
      <c r="G1432" s="102">
        <v>1.0</v>
      </c>
      <c r="H1432" s="101" t="s">
        <v>2940</v>
      </c>
      <c r="I1432" s="102">
        <v>37.15</v>
      </c>
      <c r="J1432" s="102">
        <v>45.7</v>
      </c>
      <c r="K1432" s="101" t="s">
        <v>2941</v>
      </c>
      <c r="L1432" s="102">
        <v>23.0</v>
      </c>
      <c r="M1432" s="13"/>
    </row>
    <row r="1433">
      <c r="A1433" s="101" t="s">
        <v>4081</v>
      </c>
      <c r="B1433" s="101" t="s">
        <v>4082</v>
      </c>
      <c r="D1433" s="13"/>
      <c r="E1433" s="13"/>
      <c r="F1433" s="13"/>
      <c r="G1433" s="102">
        <v>2.0</v>
      </c>
      <c r="H1433" s="101" t="s">
        <v>2942</v>
      </c>
      <c r="I1433" s="102">
        <v>29.7</v>
      </c>
      <c r="J1433" s="102">
        <v>36.53</v>
      </c>
      <c r="K1433" s="101" t="s">
        <v>2941</v>
      </c>
      <c r="L1433" s="102">
        <v>23.0</v>
      </c>
      <c r="M1433" s="13"/>
    </row>
    <row r="1434">
      <c r="A1434" s="101" t="s">
        <v>4083</v>
      </c>
      <c r="B1434" s="101" t="s">
        <v>4084</v>
      </c>
      <c r="D1434" s="13"/>
      <c r="E1434" s="13"/>
      <c r="F1434" s="13"/>
      <c r="G1434" s="102">
        <v>1.0</v>
      </c>
      <c r="H1434" s="101" t="s">
        <v>2940</v>
      </c>
      <c r="I1434" s="102">
        <v>45.61</v>
      </c>
      <c r="J1434" s="102">
        <v>56.1</v>
      </c>
      <c r="K1434" s="101" t="s">
        <v>2941</v>
      </c>
      <c r="L1434" s="102">
        <v>23.0</v>
      </c>
      <c r="M1434" s="13"/>
    </row>
    <row r="1435">
      <c r="A1435" s="101" t="s">
        <v>4083</v>
      </c>
      <c r="B1435" s="101" t="s">
        <v>4084</v>
      </c>
      <c r="D1435" s="13"/>
      <c r="E1435" s="13"/>
      <c r="F1435" s="13"/>
      <c r="G1435" s="102">
        <v>2.0</v>
      </c>
      <c r="H1435" s="101" t="s">
        <v>2942</v>
      </c>
      <c r="I1435" s="102">
        <v>36.5</v>
      </c>
      <c r="J1435" s="102">
        <v>44.9</v>
      </c>
      <c r="K1435" s="101" t="s">
        <v>2941</v>
      </c>
      <c r="L1435" s="102">
        <v>23.0</v>
      </c>
      <c r="M1435" s="13"/>
    </row>
    <row r="1436">
      <c r="A1436" s="101" t="s">
        <v>4085</v>
      </c>
      <c r="B1436" s="101" t="s">
        <v>4086</v>
      </c>
      <c r="D1436" s="13"/>
      <c r="E1436" s="13"/>
      <c r="F1436" s="13"/>
      <c r="G1436" s="102">
        <v>1.0</v>
      </c>
      <c r="H1436" s="101" t="s">
        <v>2940</v>
      </c>
      <c r="I1436" s="102">
        <v>74.72</v>
      </c>
      <c r="J1436" s="102">
        <v>91.9</v>
      </c>
      <c r="K1436" s="101" t="s">
        <v>2941</v>
      </c>
      <c r="L1436" s="102">
        <v>23.0</v>
      </c>
      <c r="M1436" s="13"/>
    </row>
    <row r="1437">
      <c r="A1437" s="101" t="s">
        <v>4085</v>
      </c>
      <c r="B1437" s="101" t="s">
        <v>4086</v>
      </c>
      <c r="D1437" s="13"/>
      <c r="E1437" s="13"/>
      <c r="F1437" s="13"/>
      <c r="G1437" s="102">
        <v>2.0</v>
      </c>
      <c r="H1437" s="101" t="s">
        <v>2942</v>
      </c>
      <c r="I1437" s="102">
        <v>59.8</v>
      </c>
      <c r="J1437" s="102">
        <v>73.55</v>
      </c>
      <c r="K1437" s="101" t="s">
        <v>2941</v>
      </c>
      <c r="L1437" s="102">
        <v>23.0</v>
      </c>
      <c r="M1437" s="13"/>
    </row>
    <row r="1438">
      <c r="A1438" s="101" t="s">
        <v>4087</v>
      </c>
      <c r="B1438" s="101" t="s">
        <v>4088</v>
      </c>
      <c r="D1438" s="13"/>
      <c r="E1438" s="13"/>
      <c r="F1438" s="13"/>
      <c r="G1438" s="102">
        <v>1.0</v>
      </c>
      <c r="H1438" s="101" t="s">
        <v>2940</v>
      </c>
      <c r="I1438" s="102">
        <v>59.11</v>
      </c>
      <c r="J1438" s="102">
        <v>72.7</v>
      </c>
      <c r="K1438" s="101" t="s">
        <v>2941</v>
      </c>
      <c r="L1438" s="102">
        <v>23.0</v>
      </c>
      <c r="M1438" s="13"/>
    </row>
    <row r="1439">
      <c r="A1439" s="101" t="s">
        <v>4087</v>
      </c>
      <c r="B1439" s="101" t="s">
        <v>4088</v>
      </c>
      <c r="D1439" s="13"/>
      <c r="E1439" s="13"/>
      <c r="F1439" s="13"/>
      <c r="G1439" s="102">
        <v>2.0</v>
      </c>
      <c r="H1439" s="101" t="s">
        <v>2942</v>
      </c>
      <c r="I1439" s="102">
        <v>47.3</v>
      </c>
      <c r="J1439" s="102">
        <v>58.18</v>
      </c>
      <c r="K1439" s="101" t="s">
        <v>2941</v>
      </c>
      <c r="L1439" s="102">
        <v>23.0</v>
      </c>
      <c r="M1439" s="13"/>
    </row>
    <row r="1440">
      <c r="A1440" s="101" t="s">
        <v>4089</v>
      </c>
      <c r="B1440" s="101" t="s">
        <v>4090</v>
      </c>
      <c r="D1440" s="13"/>
      <c r="E1440" s="13"/>
      <c r="F1440" s="13"/>
      <c r="G1440" s="102">
        <v>1.0</v>
      </c>
      <c r="H1440" s="101" t="s">
        <v>2940</v>
      </c>
      <c r="I1440" s="102">
        <v>74.72</v>
      </c>
      <c r="J1440" s="102">
        <v>91.9</v>
      </c>
      <c r="K1440" s="101" t="s">
        <v>2941</v>
      </c>
      <c r="L1440" s="102">
        <v>23.0</v>
      </c>
      <c r="M1440" s="13"/>
    </row>
    <row r="1441">
      <c r="A1441" s="101" t="s">
        <v>4089</v>
      </c>
      <c r="B1441" s="101" t="s">
        <v>4090</v>
      </c>
      <c r="D1441" s="13"/>
      <c r="E1441" s="13"/>
      <c r="F1441" s="13"/>
      <c r="G1441" s="102">
        <v>2.0</v>
      </c>
      <c r="H1441" s="101" t="s">
        <v>2942</v>
      </c>
      <c r="I1441" s="102">
        <v>59.8</v>
      </c>
      <c r="J1441" s="102">
        <v>73.55</v>
      </c>
      <c r="K1441" s="101" t="s">
        <v>2941</v>
      </c>
      <c r="L1441" s="102">
        <v>23.0</v>
      </c>
      <c r="M1441" s="13"/>
    </row>
    <row r="1442">
      <c r="A1442" s="101" t="s">
        <v>4091</v>
      </c>
      <c r="B1442" s="101" t="s">
        <v>4092</v>
      </c>
      <c r="D1442" s="13"/>
      <c r="E1442" s="13"/>
      <c r="F1442" s="13"/>
      <c r="G1442" s="102">
        <v>1.0</v>
      </c>
      <c r="H1442" s="101" t="s">
        <v>2940</v>
      </c>
      <c r="I1442" s="102">
        <v>59.11</v>
      </c>
      <c r="J1442" s="102">
        <v>72.7</v>
      </c>
      <c r="K1442" s="101" t="s">
        <v>2941</v>
      </c>
      <c r="L1442" s="102">
        <v>23.0</v>
      </c>
      <c r="M1442" s="13"/>
    </row>
    <row r="1443">
      <c r="A1443" s="101" t="s">
        <v>4091</v>
      </c>
      <c r="B1443" s="101" t="s">
        <v>4092</v>
      </c>
      <c r="D1443" s="13"/>
      <c r="E1443" s="13"/>
      <c r="F1443" s="13"/>
      <c r="G1443" s="102">
        <v>2.0</v>
      </c>
      <c r="H1443" s="101" t="s">
        <v>2942</v>
      </c>
      <c r="I1443" s="102">
        <v>47.3</v>
      </c>
      <c r="J1443" s="102">
        <v>58.18</v>
      </c>
      <c r="K1443" s="101" t="s">
        <v>2941</v>
      </c>
      <c r="L1443" s="102">
        <v>23.0</v>
      </c>
      <c r="M1443" s="13"/>
    </row>
    <row r="1444">
      <c r="A1444" s="101" t="s">
        <v>4093</v>
      </c>
      <c r="B1444" s="101" t="s">
        <v>4094</v>
      </c>
      <c r="D1444" s="13"/>
      <c r="E1444" s="13"/>
      <c r="F1444" s="13"/>
      <c r="G1444" s="102">
        <v>1.0</v>
      </c>
      <c r="H1444" s="101" t="s">
        <v>2940</v>
      </c>
      <c r="I1444" s="102">
        <v>36.0</v>
      </c>
      <c r="J1444" s="102">
        <v>44.28</v>
      </c>
      <c r="K1444" s="101" t="s">
        <v>2941</v>
      </c>
      <c r="L1444" s="102">
        <v>23.0</v>
      </c>
      <c r="M1444" s="13"/>
    </row>
    <row r="1445">
      <c r="A1445" s="101" t="s">
        <v>4093</v>
      </c>
      <c r="B1445" s="101" t="s">
        <v>4094</v>
      </c>
      <c r="D1445" s="13"/>
      <c r="E1445" s="13"/>
      <c r="F1445" s="13"/>
      <c r="G1445" s="102">
        <v>2.0</v>
      </c>
      <c r="H1445" s="101" t="s">
        <v>2942</v>
      </c>
      <c r="I1445" s="102">
        <v>28.8</v>
      </c>
      <c r="J1445" s="102">
        <v>35.42</v>
      </c>
      <c r="K1445" s="101" t="s">
        <v>2941</v>
      </c>
      <c r="L1445" s="102">
        <v>23.0</v>
      </c>
      <c r="M1445" s="13"/>
    </row>
    <row r="1446">
      <c r="A1446" s="101" t="s">
        <v>4095</v>
      </c>
      <c r="B1446" s="101">
        <v>210.0</v>
      </c>
      <c r="C1446" s="13"/>
      <c r="D1446" s="13"/>
      <c r="E1446" s="13"/>
      <c r="F1446" s="13"/>
      <c r="G1446" s="102">
        <v>1.0</v>
      </c>
      <c r="H1446" s="101" t="s">
        <v>2940</v>
      </c>
      <c r="I1446" s="102">
        <v>52.6</v>
      </c>
      <c r="J1446" s="102">
        <v>64.7</v>
      </c>
      <c r="K1446" s="101" t="s">
        <v>2941</v>
      </c>
      <c r="L1446" s="102">
        <v>23.0</v>
      </c>
      <c r="M1446" s="13"/>
    </row>
    <row r="1447">
      <c r="A1447" s="101" t="s">
        <v>4095</v>
      </c>
      <c r="B1447" s="101">
        <v>210.0</v>
      </c>
      <c r="C1447" s="13"/>
      <c r="D1447" s="13"/>
      <c r="E1447" s="13"/>
      <c r="F1447" s="13"/>
      <c r="G1447" s="102">
        <v>2.0</v>
      </c>
      <c r="H1447" s="101" t="s">
        <v>2942</v>
      </c>
      <c r="I1447" s="102">
        <v>42.11</v>
      </c>
      <c r="J1447" s="102">
        <v>51.8</v>
      </c>
      <c r="K1447" s="101" t="s">
        <v>2941</v>
      </c>
      <c r="L1447" s="102">
        <v>23.0</v>
      </c>
      <c r="M1447" s="13"/>
    </row>
    <row r="1448">
      <c r="A1448" s="101" t="s">
        <v>4096</v>
      </c>
      <c r="B1448" s="101" t="s">
        <v>4097</v>
      </c>
      <c r="D1448" s="13"/>
      <c r="E1448" s="13"/>
      <c r="F1448" s="13"/>
      <c r="G1448" s="102">
        <v>1.0</v>
      </c>
      <c r="H1448" s="101" t="s">
        <v>2940</v>
      </c>
      <c r="I1448" s="102">
        <v>36.02</v>
      </c>
      <c r="J1448" s="102">
        <v>44.3</v>
      </c>
      <c r="K1448" s="101" t="s">
        <v>2941</v>
      </c>
      <c r="L1448" s="102">
        <v>23.0</v>
      </c>
      <c r="M1448" s="13"/>
    </row>
    <row r="1449">
      <c r="A1449" s="101" t="s">
        <v>4096</v>
      </c>
      <c r="B1449" s="101" t="s">
        <v>4097</v>
      </c>
      <c r="D1449" s="13"/>
      <c r="E1449" s="13"/>
      <c r="F1449" s="13"/>
      <c r="G1449" s="102">
        <v>2.0</v>
      </c>
      <c r="H1449" s="101" t="s">
        <v>2942</v>
      </c>
      <c r="I1449" s="102">
        <v>28.8</v>
      </c>
      <c r="J1449" s="102">
        <v>35.42</v>
      </c>
      <c r="K1449" s="101" t="s">
        <v>2941</v>
      </c>
      <c r="L1449" s="102">
        <v>23.0</v>
      </c>
      <c r="M1449" s="13"/>
    </row>
    <row r="1450">
      <c r="A1450" s="101" t="s">
        <v>4098</v>
      </c>
      <c r="B1450" s="101" t="s">
        <v>4099</v>
      </c>
      <c r="D1450" s="13"/>
      <c r="E1450" s="13"/>
      <c r="F1450" s="13"/>
      <c r="G1450" s="102">
        <v>1.0</v>
      </c>
      <c r="H1450" s="101" t="s">
        <v>2940</v>
      </c>
      <c r="I1450" s="102">
        <v>66.26</v>
      </c>
      <c r="J1450" s="102">
        <v>81.5</v>
      </c>
      <c r="K1450" s="101" t="s">
        <v>2941</v>
      </c>
      <c r="L1450" s="102">
        <v>23.0</v>
      </c>
      <c r="M1450" s="13"/>
    </row>
    <row r="1451">
      <c r="A1451" s="101" t="s">
        <v>4098</v>
      </c>
      <c r="B1451" s="101" t="s">
        <v>4099</v>
      </c>
      <c r="D1451" s="13"/>
      <c r="E1451" s="13"/>
      <c r="F1451" s="13"/>
      <c r="G1451" s="102">
        <v>2.0</v>
      </c>
      <c r="H1451" s="101" t="s">
        <v>2942</v>
      </c>
      <c r="I1451" s="102">
        <v>53.0</v>
      </c>
      <c r="J1451" s="102">
        <v>65.19</v>
      </c>
      <c r="K1451" s="101" t="s">
        <v>2941</v>
      </c>
      <c r="L1451" s="102">
        <v>23.0</v>
      </c>
      <c r="M1451" s="13"/>
    </row>
    <row r="1452">
      <c r="A1452" s="101" t="s">
        <v>4100</v>
      </c>
      <c r="B1452" s="101" t="s">
        <v>4101</v>
      </c>
      <c r="D1452" s="13"/>
      <c r="E1452" s="13"/>
      <c r="F1452" s="13"/>
      <c r="G1452" s="102">
        <v>1.0</v>
      </c>
      <c r="H1452" s="101" t="s">
        <v>2940</v>
      </c>
      <c r="I1452" s="102">
        <v>50.65</v>
      </c>
      <c r="J1452" s="102">
        <v>62.3</v>
      </c>
      <c r="K1452" s="101" t="s">
        <v>2941</v>
      </c>
      <c r="L1452" s="102">
        <v>23.0</v>
      </c>
      <c r="M1452" s="13"/>
    </row>
    <row r="1453">
      <c r="A1453" s="101" t="s">
        <v>4100</v>
      </c>
      <c r="B1453" s="101" t="s">
        <v>4101</v>
      </c>
      <c r="D1453" s="13"/>
      <c r="E1453" s="13"/>
      <c r="F1453" s="13"/>
      <c r="G1453" s="102">
        <v>2.0</v>
      </c>
      <c r="H1453" s="101" t="s">
        <v>2942</v>
      </c>
      <c r="I1453" s="102">
        <v>40.5</v>
      </c>
      <c r="J1453" s="102">
        <v>49.82</v>
      </c>
      <c r="K1453" s="101" t="s">
        <v>2941</v>
      </c>
      <c r="L1453" s="102">
        <v>23.0</v>
      </c>
      <c r="M1453" s="13"/>
    </row>
    <row r="1454">
      <c r="A1454" s="101" t="s">
        <v>4102</v>
      </c>
      <c r="B1454" s="101" t="s">
        <v>4103</v>
      </c>
      <c r="D1454" s="13"/>
      <c r="E1454" s="13"/>
      <c r="F1454" s="13"/>
      <c r="G1454" s="102">
        <v>1.0</v>
      </c>
      <c r="H1454" s="101" t="s">
        <v>2940</v>
      </c>
      <c r="I1454" s="102">
        <v>66.26</v>
      </c>
      <c r="J1454" s="102">
        <v>81.5</v>
      </c>
      <c r="K1454" s="101" t="s">
        <v>2941</v>
      </c>
      <c r="L1454" s="102">
        <v>23.0</v>
      </c>
      <c r="M1454" s="13"/>
    </row>
    <row r="1455">
      <c r="A1455" s="101" t="s">
        <v>4102</v>
      </c>
      <c r="B1455" s="101" t="s">
        <v>4103</v>
      </c>
      <c r="D1455" s="13"/>
      <c r="E1455" s="13"/>
      <c r="F1455" s="13"/>
      <c r="G1455" s="102">
        <v>2.0</v>
      </c>
      <c r="H1455" s="101" t="s">
        <v>2942</v>
      </c>
      <c r="I1455" s="102">
        <v>53.0</v>
      </c>
      <c r="J1455" s="102">
        <v>65.19</v>
      </c>
      <c r="K1455" s="101" t="s">
        <v>2941</v>
      </c>
      <c r="L1455" s="102">
        <v>23.0</v>
      </c>
      <c r="M1455" s="13"/>
    </row>
    <row r="1456">
      <c r="A1456" s="101" t="s">
        <v>4104</v>
      </c>
      <c r="B1456" s="101" t="s">
        <v>4105</v>
      </c>
      <c r="D1456" s="13"/>
      <c r="E1456" s="13"/>
      <c r="F1456" s="13"/>
      <c r="G1456" s="102">
        <v>1.0</v>
      </c>
      <c r="H1456" s="101" t="s">
        <v>2940</v>
      </c>
      <c r="I1456" s="102">
        <v>50.65</v>
      </c>
      <c r="J1456" s="102">
        <v>62.3</v>
      </c>
      <c r="K1456" s="101" t="s">
        <v>2941</v>
      </c>
      <c r="L1456" s="102">
        <v>23.0</v>
      </c>
      <c r="M1456" s="13"/>
    </row>
    <row r="1457">
      <c r="A1457" s="101" t="s">
        <v>4104</v>
      </c>
      <c r="B1457" s="101" t="s">
        <v>4105</v>
      </c>
      <c r="D1457" s="13"/>
      <c r="E1457" s="13"/>
      <c r="F1457" s="13"/>
      <c r="G1457" s="102">
        <v>2.0</v>
      </c>
      <c r="H1457" s="101" t="s">
        <v>2942</v>
      </c>
      <c r="I1457" s="102">
        <v>40.5</v>
      </c>
      <c r="J1457" s="102">
        <v>49.82</v>
      </c>
      <c r="K1457" s="101" t="s">
        <v>2941</v>
      </c>
      <c r="L1457" s="102">
        <v>23.0</v>
      </c>
      <c r="M1457" s="13"/>
    </row>
    <row r="1458">
      <c r="A1458" s="101" t="s">
        <v>4106</v>
      </c>
      <c r="B1458" s="101" t="s">
        <v>4107</v>
      </c>
      <c r="D1458" s="13"/>
      <c r="E1458" s="13"/>
      <c r="F1458" s="13"/>
      <c r="G1458" s="102">
        <v>1.0</v>
      </c>
      <c r="H1458" s="101" t="s">
        <v>2940</v>
      </c>
      <c r="I1458" s="102">
        <v>4.07</v>
      </c>
      <c r="J1458" s="102">
        <v>5.0</v>
      </c>
      <c r="K1458" s="101" t="s">
        <v>2941</v>
      </c>
      <c r="L1458" s="102">
        <v>23.0</v>
      </c>
      <c r="M1458" s="13"/>
    </row>
    <row r="1459">
      <c r="A1459" s="101" t="s">
        <v>4106</v>
      </c>
      <c r="B1459" s="101" t="s">
        <v>4107</v>
      </c>
      <c r="D1459" s="13"/>
      <c r="E1459" s="13"/>
      <c r="F1459" s="13"/>
      <c r="G1459" s="102">
        <v>2.0</v>
      </c>
      <c r="H1459" s="101" t="s">
        <v>2942</v>
      </c>
      <c r="I1459" s="102">
        <v>4.0</v>
      </c>
      <c r="J1459" s="102">
        <v>4.92</v>
      </c>
      <c r="K1459" s="101" t="s">
        <v>2941</v>
      </c>
      <c r="L1459" s="102">
        <v>23.0</v>
      </c>
      <c r="M1459" s="13"/>
    </row>
    <row r="1460">
      <c r="A1460" s="101" t="s">
        <v>4108</v>
      </c>
      <c r="B1460" s="101" t="s">
        <v>4109</v>
      </c>
      <c r="D1460" s="13"/>
      <c r="E1460" s="13"/>
      <c r="F1460" s="13"/>
      <c r="G1460" s="102">
        <v>1.0</v>
      </c>
      <c r="H1460" s="101" t="s">
        <v>2940</v>
      </c>
      <c r="I1460" s="102">
        <v>4.07</v>
      </c>
      <c r="J1460" s="102">
        <v>5.0</v>
      </c>
      <c r="K1460" s="101" t="s">
        <v>2941</v>
      </c>
      <c r="L1460" s="102">
        <v>23.0</v>
      </c>
      <c r="M1460" s="13"/>
    </row>
    <row r="1461">
      <c r="A1461" s="101" t="s">
        <v>4108</v>
      </c>
      <c r="B1461" s="101" t="s">
        <v>4109</v>
      </c>
      <c r="D1461" s="13"/>
      <c r="E1461" s="13"/>
      <c r="F1461" s="13"/>
      <c r="G1461" s="102">
        <v>2.0</v>
      </c>
      <c r="H1461" s="101" t="s">
        <v>2942</v>
      </c>
      <c r="I1461" s="102">
        <v>4.0</v>
      </c>
      <c r="J1461" s="102">
        <v>4.92</v>
      </c>
      <c r="K1461" s="101" t="s">
        <v>2941</v>
      </c>
      <c r="L1461" s="102">
        <v>23.0</v>
      </c>
      <c r="M1461" s="13"/>
    </row>
    <row r="1462">
      <c r="A1462" s="101" t="s">
        <v>4110</v>
      </c>
      <c r="B1462" s="101" t="s">
        <v>4111</v>
      </c>
      <c r="D1462" s="13"/>
      <c r="E1462" s="13"/>
      <c r="F1462" s="13"/>
      <c r="G1462" s="102">
        <v>1.0</v>
      </c>
      <c r="H1462" s="101" t="s">
        <v>2940</v>
      </c>
      <c r="I1462" s="102">
        <v>1.22</v>
      </c>
      <c r="J1462" s="102">
        <v>1.5</v>
      </c>
      <c r="K1462" s="101" t="s">
        <v>2941</v>
      </c>
      <c r="L1462" s="102">
        <v>23.0</v>
      </c>
      <c r="M1462" s="13"/>
    </row>
    <row r="1463">
      <c r="A1463" s="101" t="s">
        <v>4110</v>
      </c>
      <c r="B1463" s="101" t="s">
        <v>4111</v>
      </c>
      <c r="D1463" s="13"/>
      <c r="E1463" s="13"/>
      <c r="F1463" s="13"/>
      <c r="G1463" s="102">
        <v>2.0</v>
      </c>
      <c r="H1463" s="101" t="s">
        <v>2942</v>
      </c>
      <c r="I1463" s="102">
        <v>1.0</v>
      </c>
      <c r="J1463" s="102">
        <v>1.23</v>
      </c>
      <c r="K1463" s="101" t="s">
        <v>2941</v>
      </c>
      <c r="L1463" s="102">
        <v>23.0</v>
      </c>
      <c r="M1463" s="13"/>
    </row>
    <row r="1464">
      <c r="A1464" s="101" t="s">
        <v>4112</v>
      </c>
      <c r="B1464" s="101" t="s">
        <v>4113</v>
      </c>
      <c r="D1464" s="13"/>
      <c r="E1464" s="13"/>
      <c r="F1464" s="13"/>
      <c r="G1464" s="102">
        <v>1.0</v>
      </c>
      <c r="H1464" s="101" t="s">
        <v>2940</v>
      </c>
      <c r="I1464" s="102">
        <v>2.5</v>
      </c>
      <c r="J1464" s="102">
        <v>3.08</v>
      </c>
      <c r="K1464" s="101" t="s">
        <v>2941</v>
      </c>
      <c r="L1464" s="102">
        <v>23.0</v>
      </c>
      <c r="M1464" s="13"/>
    </row>
    <row r="1465">
      <c r="A1465" s="101" t="s">
        <v>4112</v>
      </c>
      <c r="B1465" s="101" t="s">
        <v>4113</v>
      </c>
      <c r="D1465" s="13"/>
      <c r="E1465" s="13"/>
      <c r="F1465" s="13"/>
      <c r="G1465" s="102">
        <v>2.0</v>
      </c>
      <c r="H1465" s="101" t="s">
        <v>2942</v>
      </c>
      <c r="I1465" s="102">
        <v>2.5</v>
      </c>
      <c r="J1465" s="102">
        <v>3.08</v>
      </c>
      <c r="K1465" s="101" t="s">
        <v>2941</v>
      </c>
      <c r="L1465" s="102">
        <v>23.0</v>
      </c>
      <c r="M1465" s="13"/>
    </row>
    <row r="1466">
      <c r="A1466" s="101" t="s">
        <v>4114</v>
      </c>
      <c r="B1466" s="101" t="s">
        <v>4115</v>
      </c>
      <c r="D1466" s="13"/>
      <c r="E1466" s="13"/>
      <c r="F1466" s="13"/>
      <c r="G1466" s="102">
        <v>1.0</v>
      </c>
      <c r="H1466" s="101" t="s">
        <v>2940</v>
      </c>
      <c r="I1466" s="102">
        <v>2.03</v>
      </c>
      <c r="J1466" s="102">
        <v>2.5</v>
      </c>
      <c r="K1466" s="101" t="s">
        <v>2941</v>
      </c>
      <c r="L1466" s="102">
        <v>23.0</v>
      </c>
      <c r="M1466" s="13"/>
    </row>
    <row r="1467">
      <c r="A1467" s="101" t="s">
        <v>4114</v>
      </c>
      <c r="B1467" s="101" t="s">
        <v>4115</v>
      </c>
      <c r="D1467" s="13"/>
      <c r="E1467" s="13"/>
      <c r="F1467" s="13"/>
      <c r="G1467" s="102">
        <v>2.0</v>
      </c>
      <c r="H1467" s="101" t="s">
        <v>2942</v>
      </c>
      <c r="I1467" s="102">
        <v>2.0</v>
      </c>
      <c r="J1467" s="102">
        <v>2.46</v>
      </c>
      <c r="K1467" s="101" t="s">
        <v>2941</v>
      </c>
      <c r="L1467" s="102">
        <v>23.0</v>
      </c>
      <c r="M1467" s="13"/>
    </row>
    <row r="1468">
      <c r="A1468" s="101" t="s">
        <v>4116</v>
      </c>
      <c r="B1468" s="101" t="s">
        <v>4117</v>
      </c>
      <c r="D1468" s="13"/>
      <c r="E1468" s="13"/>
      <c r="F1468" s="13"/>
      <c r="G1468" s="102">
        <v>1.0</v>
      </c>
      <c r="H1468" s="101" t="s">
        <v>2940</v>
      </c>
      <c r="I1468" s="102">
        <v>30.75</v>
      </c>
      <c r="J1468" s="102">
        <v>37.82</v>
      </c>
      <c r="K1468" s="101" t="s">
        <v>2941</v>
      </c>
      <c r="L1468" s="102">
        <v>23.0</v>
      </c>
      <c r="M1468" s="13"/>
    </row>
    <row r="1469">
      <c r="A1469" s="101" t="s">
        <v>4116</v>
      </c>
      <c r="B1469" s="101" t="s">
        <v>4117</v>
      </c>
      <c r="D1469" s="13"/>
      <c r="E1469" s="13"/>
      <c r="F1469" s="13"/>
      <c r="G1469" s="102">
        <v>2.0</v>
      </c>
      <c r="H1469" s="101" t="s">
        <v>2942</v>
      </c>
      <c r="I1469" s="102">
        <v>30.75</v>
      </c>
      <c r="J1469" s="102">
        <v>37.82</v>
      </c>
      <c r="K1469" s="101" t="s">
        <v>2941</v>
      </c>
      <c r="L1469" s="102">
        <v>23.0</v>
      </c>
      <c r="M1469" s="13"/>
    </row>
    <row r="1470">
      <c r="A1470" s="101" t="s">
        <v>4118</v>
      </c>
      <c r="B1470" s="101" t="s">
        <v>4119</v>
      </c>
      <c r="D1470" s="13"/>
      <c r="E1470" s="13"/>
      <c r="F1470" s="13"/>
      <c r="G1470" s="102">
        <v>1.0</v>
      </c>
      <c r="H1470" s="101" t="s">
        <v>2940</v>
      </c>
      <c r="I1470" s="102">
        <v>4.07</v>
      </c>
      <c r="J1470" s="102">
        <v>5.0</v>
      </c>
      <c r="K1470" s="101" t="s">
        <v>2941</v>
      </c>
      <c r="L1470" s="102">
        <v>23.0</v>
      </c>
      <c r="M1470" s="13"/>
    </row>
    <row r="1471">
      <c r="A1471" s="101" t="s">
        <v>4118</v>
      </c>
      <c r="B1471" s="101" t="s">
        <v>4119</v>
      </c>
      <c r="D1471" s="13"/>
      <c r="E1471" s="13"/>
      <c r="F1471" s="13"/>
      <c r="G1471" s="102">
        <v>2.0</v>
      </c>
      <c r="H1471" s="101" t="s">
        <v>2942</v>
      </c>
      <c r="I1471" s="102">
        <v>4.0</v>
      </c>
      <c r="J1471" s="102">
        <v>4.92</v>
      </c>
      <c r="K1471" s="101" t="s">
        <v>2941</v>
      </c>
      <c r="L1471" s="102">
        <v>23.0</v>
      </c>
      <c r="M1471" s="13"/>
    </row>
    <row r="1472">
      <c r="A1472" s="101" t="s">
        <v>4120</v>
      </c>
      <c r="B1472" s="101" t="s">
        <v>4121</v>
      </c>
      <c r="D1472" s="13"/>
      <c r="E1472" s="13"/>
      <c r="F1472" s="13"/>
      <c r="G1472" s="102">
        <v>1.0</v>
      </c>
      <c r="H1472" s="101" t="s">
        <v>2940</v>
      </c>
      <c r="I1472" s="102">
        <v>2.44</v>
      </c>
      <c r="J1472" s="102">
        <v>3.0</v>
      </c>
      <c r="K1472" s="101" t="s">
        <v>2941</v>
      </c>
      <c r="L1472" s="102">
        <v>23.0</v>
      </c>
      <c r="M1472" s="13"/>
    </row>
    <row r="1473">
      <c r="A1473" s="101" t="s">
        <v>4120</v>
      </c>
      <c r="B1473" s="101" t="s">
        <v>4121</v>
      </c>
      <c r="D1473" s="13"/>
      <c r="E1473" s="13"/>
      <c r="F1473" s="13"/>
      <c r="G1473" s="102">
        <v>2.0</v>
      </c>
      <c r="H1473" s="101" t="s">
        <v>2942</v>
      </c>
      <c r="I1473" s="102">
        <v>2.5</v>
      </c>
      <c r="J1473" s="102">
        <v>3.08</v>
      </c>
      <c r="K1473" s="101" t="s">
        <v>2941</v>
      </c>
      <c r="L1473" s="102">
        <v>23.0</v>
      </c>
      <c r="M1473" s="13"/>
    </row>
    <row r="1474">
      <c r="A1474" s="101" t="s">
        <v>4122</v>
      </c>
      <c r="B1474" s="101" t="s">
        <v>4123</v>
      </c>
      <c r="D1474" s="13"/>
      <c r="E1474" s="13"/>
      <c r="F1474" s="13"/>
      <c r="G1474" s="102">
        <v>1.0</v>
      </c>
      <c r="H1474" s="101" t="s">
        <v>2940</v>
      </c>
      <c r="I1474" s="102">
        <v>3.25</v>
      </c>
      <c r="J1474" s="102">
        <v>4.0</v>
      </c>
      <c r="K1474" s="101" t="s">
        <v>2941</v>
      </c>
      <c r="L1474" s="102">
        <v>23.0</v>
      </c>
      <c r="M1474" s="13"/>
    </row>
    <row r="1475">
      <c r="A1475" s="101" t="s">
        <v>4122</v>
      </c>
      <c r="B1475" s="101" t="s">
        <v>4123</v>
      </c>
      <c r="D1475" s="13"/>
      <c r="E1475" s="13"/>
      <c r="F1475" s="13"/>
      <c r="G1475" s="102">
        <v>2.0</v>
      </c>
      <c r="H1475" s="101" t="s">
        <v>2942</v>
      </c>
      <c r="I1475" s="102">
        <v>3.0</v>
      </c>
      <c r="J1475" s="102">
        <v>3.69</v>
      </c>
      <c r="K1475" s="101" t="s">
        <v>2941</v>
      </c>
      <c r="L1475" s="102">
        <v>23.0</v>
      </c>
      <c r="M1475" s="13"/>
    </row>
    <row r="1476">
      <c r="A1476" s="101" t="s">
        <v>4124</v>
      </c>
      <c r="B1476" s="101" t="s">
        <v>4125</v>
      </c>
      <c r="D1476" s="13"/>
      <c r="E1476" s="13"/>
      <c r="F1476" s="13"/>
      <c r="G1476" s="102">
        <v>1.0</v>
      </c>
      <c r="H1476" s="101" t="s">
        <v>2940</v>
      </c>
      <c r="I1476" s="102">
        <v>4.0</v>
      </c>
      <c r="J1476" s="102">
        <v>4.92</v>
      </c>
      <c r="K1476" s="101" t="s">
        <v>2941</v>
      </c>
      <c r="L1476" s="102">
        <v>23.0</v>
      </c>
      <c r="M1476" s="13"/>
    </row>
    <row r="1477">
      <c r="A1477" s="101" t="s">
        <v>4124</v>
      </c>
      <c r="B1477" s="101" t="s">
        <v>4125</v>
      </c>
      <c r="D1477" s="13"/>
      <c r="E1477" s="13"/>
      <c r="F1477" s="13"/>
      <c r="G1477" s="102">
        <v>2.0</v>
      </c>
      <c r="H1477" s="101" t="s">
        <v>2942</v>
      </c>
      <c r="I1477" s="102">
        <v>4.0</v>
      </c>
      <c r="J1477" s="102">
        <v>4.92</v>
      </c>
      <c r="K1477" s="101" t="s">
        <v>2941</v>
      </c>
      <c r="L1477" s="102">
        <v>23.0</v>
      </c>
      <c r="M1477" s="13"/>
    </row>
    <row r="1478">
      <c r="A1478" s="101" t="s">
        <v>4126</v>
      </c>
      <c r="B1478" s="101" t="s">
        <v>4127</v>
      </c>
      <c r="D1478" s="13"/>
      <c r="E1478" s="13"/>
      <c r="F1478" s="13"/>
      <c r="G1478" s="102">
        <v>1.0</v>
      </c>
      <c r="H1478" s="101" t="s">
        <v>2940</v>
      </c>
      <c r="I1478" s="102">
        <v>37.89</v>
      </c>
      <c r="J1478" s="102">
        <v>46.6</v>
      </c>
      <c r="K1478" s="101" t="s">
        <v>2941</v>
      </c>
      <c r="L1478" s="102">
        <v>23.0</v>
      </c>
      <c r="M1478" s="13"/>
    </row>
    <row r="1479">
      <c r="A1479" s="101" t="s">
        <v>4126</v>
      </c>
      <c r="B1479" s="101" t="s">
        <v>4127</v>
      </c>
      <c r="D1479" s="13"/>
      <c r="E1479" s="13"/>
      <c r="F1479" s="13"/>
      <c r="G1479" s="102">
        <v>2.0</v>
      </c>
      <c r="H1479" s="101" t="s">
        <v>2942</v>
      </c>
      <c r="I1479" s="102">
        <v>30.3</v>
      </c>
      <c r="J1479" s="102">
        <v>37.27</v>
      </c>
      <c r="K1479" s="101" t="s">
        <v>2941</v>
      </c>
      <c r="L1479" s="102">
        <v>23.0</v>
      </c>
      <c r="M1479" s="13"/>
    </row>
    <row r="1480">
      <c r="A1480" s="101" t="s">
        <v>4128</v>
      </c>
      <c r="B1480" s="101" t="s">
        <v>4129</v>
      </c>
      <c r="D1480" s="13"/>
      <c r="E1480" s="13"/>
      <c r="F1480" s="13"/>
      <c r="G1480" s="102">
        <v>1.0</v>
      </c>
      <c r="H1480" s="101" t="s">
        <v>2940</v>
      </c>
      <c r="I1480" s="102">
        <v>56.91</v>
      </c>
      <c r="J1480" s="102">
        <v>70.0</v>
      </c>
      <c r="K1480" s="101" t="s">
        <v>2941</v>
      </c>
      <c r="L1480" s="102">
        <v>23.0</v>
      </c>
      <c r="M1480" s="13"/>
    </row>
    <row r="1481">
      <c r="A1481" s="101" t="s">
        <v>4128</v>
      </c>
      <c r="B1481" s="101" t="s">
        <v>4129</v>
      </c>
      <c r="D1481" s="13"/>
      <c r="E1481" s="13"/>
      <c r="F1481" s="13"/>
      <c r="G1481" s="102">
        <v>2.0</v>
      </c>
      <c r="H1481" s="101" t="s">
        <v>2942</v>
      </c>
      <c r="I1481" s="102">
        <v>45.5</v>
      </c>
      <c r="J1481" s="102">
        <v>55.97</v>
      </c>
      <c r="K1481" s="101" t="s">
        <v>2941</v>
      </c>
      <c r="L1481" s="102">
        <v>23.0</v>
      </c>
      <c r="M1481" s="13"/>
    </row>
    <row r="1482">
      <c r="A1482" s="101" t="s">
        <v>4130</v>
      </c>
      <c r="B1482" s="101" t="s">
        <v>4131</v>
      </c>
      <c r="D1482" s="13"/>
      <c r="E1482" s="13"/>
      <c r="F1482" s="13"/>
      <c r="G1482" s="102">
        <v>1.0</v>
      </c>
      <c r="H1482" s="101" t="s">
        <v>2940</v>
      </c>
      <c r="I1482" s="102">
        <v>23.58</v>
      </c>
      <c r="J1482" s="102">
        <v>29.0</v>
      </c>
      <c r="K1482" s="101" t="s">
        <v>2941</v>
      </c>
      <c r="L1482" s="102">
        <v>23.0</v>
      </c>
      <c r="M1482" s="13"/>
    </row>
    <row r="1483">
      <c r="A1483" s="101" t="s">
        <v>4130</v>
      </c>
      <c r="B1483" s="101" t="s">
        <v>4131</v>
      </c>
      <c r="D1483" s="13"/>
      <c r="E1483" s="13"/>
      <c r="F1483" s="13"/>
      <c r="G1483" s="102">
        <v>2.0</v>
      </c>
      <c r="H1483" s="101" t="s">
        <v>2942</v>
      </c>
      <c r="I1483" s="102">
        <v>18.9</v>
      </c>
      <c r="J1483" s="102">
        <v>23.25</v>
      </c>
      <c r="K1483" s="101" t="s">
        <v>2941</v>
      </c>
      <c r="L1483" s="102">
        <v>23.0</v>
      </c>
      <c r="M1483" s="13"/>
    </row>
    <row r="1484">
      <c r="A1484" s="101" t="s">
        <v>4132</v>
      </c>
      <c r="B1484" s="101" t="s">
        <v>4133</v>
      </c>
      <c r="D1484" s="13"/>
      <c r="E1484" s="13"/>
      <c r="F1484" s="13"/>
      <c r="G1484" s="102">
        <v>1.0</v>
      </c>
      <c r="H1484" s="101" t="s">
        <v>2940</v>
      </c>
      <c r="I1484" s="102">
        <v>25.53</v>
      </c>
      <c r="J1484" s="102">
        <v>31.4</v>
      </c>
      <c r="K1484" s="101" t="s">
        <v>2941</v>
      </c>
      <c r="L1484" s="102">
        <v>23.0</v>
      </c>
      <c r="M1484" s="13"/>
    </row>
    <row r="1485">
      <c r="A1485" s="101" t="s">
        <v>4132</v>
      </c>
      <c r="B1485" s="101" t="s">
        <v>4133</v>
      </c>
      <c r="D1485" s="13"/>
      <c r="E1485" s="13"/>
      <c r="F1485" s="13"/>
      <c r="G1485" s="102">
        <v>2.0</v>
      </c>
      <c r="H1485" s="101" t="s">
        <v>2942</v>
      </c>
      <c r="I1485" s="102">
        <v>20.4</v>
      </c>
      <c r="J1485" s="102">
        <v>25.09</v>
      </c>
      <c r="K1485" s="101" t="s">
        <v>2941</v>
      </c>
      <c r="L1485" s="102">
        <v>23.0</v>
      </c>
      <c r="M1485" s="13"/>
    </row>
    <row r="1486">
      <c r="A1486" s="101" t="s">
        <v>4134</v>
      </c>
      <c r="B1486" s="101" t="s">
        <v>4135</v>
      </c>
      <c r="D1486" s="13"/>
      <c r="E1486" s="13"/>
      <c r="F1486" s="13"/>
      <c r="G1486" s="102">
        <v>1.0</v>
      </c>
      <c r="H1486" s="101" t="s">
        <v>2940</v>
      </c>
      <c r="I1486" s="102">
        <v>47.24</v>
      </c>
      <c r="J1486" s="102">
        <v>58.11</v>
      </c>
      <c r="K1486" s="101" t="s">
        <v>2941</v>
      </c>
      <c r="L1486" s="102">
        <v>23.0</v>
      </c>
      <c r="M1486" s="13"/>
    </row>
    <row r="1487">
      <c r="A1487" s="101" t="s">
        <v>4134</v>
      </c>
      <c r="B1487" s="101" t="s">
        <v>4135</v>
      </c>
      <c r="D1487" s="13"/>
      <c r="E1487" s="13"/>
      <c r="F1487" s="13"/>
      <c r="G1487" s="102">
        <v>2.0</v>
      </c>
      <c r="H1487" s="101" t="s">
        <v>2942</v>
      </c>
      <c r="I1487" s="102">
        <v>37.8</v>
      </c>
      <c r="J1487" s="102">
        <v>46.49</v>
      </c>
      <c r="K1487" s="101" t="s">
        <v>2941</v>
      </c>
      <c r="L1487" s="102">
        <v>23.0</v>
      </c>
      <c r="M1487" s="13"/>
    </row>
    <row r="1488">
      <c r="A1488" s="101" t="s">
        <v>4136</v>
      </c>
      <c r="B1488" s="101" t="s">
        <v>4137</v>
      </c>
      <c r="D1488" s="13"/>
      <c r="E1488" s="13"/>
      <c r="F1488" s="13"/>
      <c r="G1488" s="102">
        <v>1.0</v>
      </c>
      <c r="H1488" s="101" t="s">
        <v>2940</v>
      </c>
      <c r="I1488" s="102">
        <v>51.22</v>
      </c>
      <c r="J1488" s="102">
        <v>63.0</v>
      </c>
      <c r="K1488" s="101" t="s">
        <v>2941</v>
      </c>
      <c r="L1488" s="102">
        <v>23.0</v>
      </c>
      <c r="M1488" s="13"/>
    </row>
    <row r="1489">
      <c r="A1489" s="101" t="s">
        <v>4136</v>
      </c>
      <c r="B1489" s="101" t="s">
        <v>4137</v>
      </c>
      <c r="D1489" s="13"/>
      <c r="E1489" s="13"/>
      <c r="F1489" s="13"/>
      <c r="G1489" s="102">
        <v>2.0</v>
      </c>
      <c r="H1489" s="101" t="s">
        <v>2942</v>
      </c>
      <c r="I1489" s="102">
        <v>41.0</v>
      </c>
      <c r="J1489" s="102">
        <v>50.43</v>
      </c>
      <c r="K1489" s="101" t="s">
        <v>2941</v>
      </c>
      <c r="L1489" s="102">
        <v>23.0</v>
      </c>
      <c r="M1489" s="13"/>
    </row>
    <row r="1490">
      <c r="A1490" s="101" t="s">
        <v>4138</v>
      </c>
      <c r="B1490" s="101" t="s">
        <v>4139</v>
      </c>
      <c r="D1490" s="13"/>
      <c r="E1490" s="13"/>
      <c r="F1490" s="13"/>
      <c r="G1490" s="102">
        <v>1.0</v>
      </c>
      <c r="H1490" s="101" t="s">
        <v>2940</v>
      </c>
      <c r="I1490" s="102">
        <v>70.81</v>
      </c>
      <c r="J1490" s="102">
        <v>87.1</v>
      </c>
      <c r="K1490" s="101" t="s">
        <v>2941</v>
      </c>
      <c r="L1490" s="102">
        <v>23.0</v>
      </c>
      <c r="M1490" s="13"/>
    </row>
    <row r="1491">
      <c r="A1491" s="101" t="s">
        <v>4138</v>
      </c>
      <c r="B1491" s="101" t="s">
        <v>4139</v>
      </c>
      <c r="D1491" s="13"/>
      <c r="E1491" s="13"/>
      <c r="F1491" s="13"/>
      <c r="G1491" s="102">
        <v>2.0</v>
      </c>
      <c r="H1491" s="101" t="s">
        <v>2942</v>
      </c>
      <c r="I1491" s="102">
        <v>56.7</v>
      </c>
      <c r="J1491" s="102">
        <v>69.74</v>
      </c>
      <c r="K1491" s="101" t="s">
        <v>2941</v>
      </c>
      <c r="L1491" s="102">
        <v>23.0</v>
      </c>
      <c r="M1491" s="13"/>
    </row>
    <row r="1492">
      <c r="A1492" s="101" t="s">
        <v>4140</v>
      </c>
      <c r="B1492" s="101" t="s">
        <v>4141</v>
      </c>
      <c r="D1492" s="13"/>
      <c r="E1492" s="13"/>
      <c r="F1492" s="13"/>
      <c r="G1492" s="102">
        <v>1.0</v>
      </c>
      <c r="H1492" s="101" t="s">
        <v>2940</v>
      </c>
      <c r="I1492" s="102">
        <v>76.75</v>
      </c>
      <c r="J1492" s="102">
        <v>94.4</v>
      </c>
      <c r="K1492" s="101" t="s">
        <v>2941</v>
      </c>
      <c r="L1492" s="102">
        <v>23.0</v>
      </c>
      <c r="M1492" s="13"/>
    </row>
    <row r="1493">
      <c r="A1493" s="101" t="s">
        <v>4140</v>
      </c>
      <c r="B1493" s="101" t="s">
        <v>4141</v>
      </c>
      <c r="D1493" s="13"/>
      <c r="E1493" s="13"/>
      <c r="F1493" s="13"/>
      <c r="G1493" s="102">
        <v>2.0</v>
      </c>
      <c r="H1493" s="101" t="s">
        <v>2942</v>
      </c>
      <c r="I1493" s="102">
        <v>61.4</v>
      </c>
      <c r="J1493" s="102">
        <v>75.52</v>
      </c>
      <c r="K1493" s="101" t="s">
        <v>2941</v>
      </c>
      <c r="L1493" s="102">
        <v>23.0</v>
      </c>
      <c r="M1493" s="13"/>
    </row>
    <row r="1494">
      <c r="A1494" s="101" t="s">
        <v>4142</v>
      </c>
      <c r="B1494" s="101" t="s">
        <v>4143</v>
      </c>
      <c r="D1494" s="13"/>
      <c r="E1494" s="13"/>
      <c r="F1494" s="13"/>
      <c r="G1494" s="102">
        <v>1.0</v>
      </c>
      <c r="H1494" s="101" t="s">
        <v>2940</v>
      </c>
      <c r="I1494" s="102">
        <v>17.2</v>
      </c>
      <c r="J1494" s="102">
        <v>21.16</v>
      </c>
      <c r="K1494" s="101" t="s">
        <v>2941</v>
      </c>
      <c r="L1494" s="102">
        <v>23.0</v>
      </c>
      <c r="M1494" s="13"/>
    </row>
    <row r="1495">
      <c r="A1495" s="101" t="s">
        <v>4142</v>
      </c>
      <c r="B1495" s="101" t="s">
        <v>4143</v>
      </c>
      <c r="D1495" s="13"/>
      <c r="E1495" s="13"/>
      <c r="F1495" s="13"/>
      <c r="G1495" s="102">
        <v>2.0</v>
      </c>
      <c r="H1495" s="101" t="s">
        <v>2942</v>
      </c>
      <c r="I1495" s="102">
        <v>17.2</v>
      </c>
      <c r="J1495" s="102">
        <v>21.16</v>
      </c>
      <c r="K1495" s="101" t="s">
        <v>2941</v>
      </c>
      <c r="L1495" s="102">
        <v>23.0</v>
      </c>
      <c r="M1495" s="13"/>
    </row>
    <row r="1496">
      <c r="A1496" s="101" t="s">
        <v>4144</v>
      </c>
      <c r="B1496" s="101" t="s">
        <v>4145</v>
      </c>
      <c r="D1496" s="13"/>
      <c r="E1496" s="13"/>
      <c r="F1496" s="13"/>
      <c r="G1496" s="102">
        <v>1.0</v>
      </c>
      <c r="H1496" s="101" t="s">
        <v>2940</v>
      </c>
      <c r="I1496" s="102">
        <v>17.89</v>
      </c>
      <c r="J1496" s="102">
        <v>22.0</v>
      </c>
      <c r="K1496" s="101" t="s">
        <v>2941</v>
      </c>
      <c r="L1496" s="102">
        <v>23.0</v>
      </c>
      <c r="M1496" s="13"/>
    </row>
    <row r="1497">
      <c r="A1497" s="101" t="s">
        <v>4144</v>
      </c>
      <c r="B1497" s="101" t="s">
        <v>4145</v>
      </c>
      <c r="D1497" s="13"/>
      <c r="E1497" s="13"/>
      <c r="F1497" s="13"/>
      <c r="G1497" s="102">
        <v>2.0</v>
      </c>
      <c r="H1497" s="101" t="s">
        <v>2942</v>
      </c>
      <c r="I1497" s="102">
        <v>21.0</v>
      </c>
      <c r="J1497" s="102">
        <v>25.83</v>
      </c>
      <c r="K1497" s="101" t="s">
        <v>2941</v>
      </c>
      <c r="L1497" s="102">
        <v>23.0</v>
      </c>
      <c r="M1497" s="13"/>
    </row>
    <row r="1498">
      <c r="A1498" s="101" t="s">
        <v>4146</v>
      </c>
      <c r="B1498" s="101" t="s">
        <v>4147</v>
      </c>
      <c r="D1498" s="13"/>
      <c r="E1498" s="13"/>
      <c r="F1498" s="13"/>
      <c r="G1498" s="102">
        <v>1.0</v>
      </c>
      <c r="H1498" s="101" t="s">
        <v>2940</v>
      </c>
      <c r="I1498" s="102">
        <v>22.76</v>
      </c>
      <c r="J1498" s="102">
        <v>27.99</v>
      </c>
      <c r="K1498" s="101" t="s">
        <v>2941</v>
      </c>
      <c r="L1498" s="102">
        <v>23.0</v>
      </c>
      <c r="M1498" s="13"/>
    </row>
    <row r="1499">
      <c r="A1499" s="101" t="s">
        <v>4146</v>
      </c>
      <c r="B1499" s="101" t="s">
        <v>4147</v>
      </c>
      <c r="D1499" s="13"/>
      <c r="E1499" s="13"/>
      <c r="F1499" s="13"/>
      <c r="G1499" s="102">
        <v>2.0</v>
      </c>
      <c r="H1499" s="101" t="s">
        <v>2942</v>
      </c>
      <c r="I1499" s="102">
        <v>22.25</v>
      </c>
      <c r="J1499" s="102">
        <v>27.37</v>
      </c>
      <c r="K1499" s="101" t="s">
        <v>2941</v>
      </c>
      <c r="L1499" s="102">
        <v>23.0</v>
      </c>
      <c r="M1499" s="13"/>
    </row>
    <row r="1500">
      <c r="A1500" s="101" t="s">
        <v>4148</v>
      </c>
      <c r="B1500" s="101" t="s">
        <v>4149</v>
      </c>
      <c r="D1500" s="13"/>
      <c r="E1500" s="13"/>
      <c r="F1500" s="13"/>
      <c r="G1500" s="102">
        <v>1.0</v>
      </c>
      <c r="H1500" s="101" t="s">
        <v>2940</v>
      </c>
      <c r="I1500" s="102">
        <v>17.89</v>
      </c>
      <c r="J1500" s="102">
        <v>22.0</v>
      </c>
      <c r="K1500" s="101" t="s">
        <v>2941</v>
      </c>
      <c r="L1500" s="102">
        <v>23.0</v>
      </c>
      <c r="M1500" s="13"/>
    </row>
    <row r="1501">
      <c r="A1501" s="101" t="s">
        <v>4148</v>
      </c>
      <c r="B1501" s="101" t="s">
        <v>4149</v>
      </c>
      <c r="D1501" s="13"/>
      <c r="E1501" s="13"/>
      <c r="F1501" s="13"/>
      <c r="G1501" s="102">
        <v>2.0</v>
      </c>
      <c r="H1501" s="101" t="s">
        <v>2942</v>
      </c>
      <c r="I1501" s="102">
        <v>21.0</v>
      </c>
      <c r="J1501" s="102">
        <v>25.83</v>
      </c>
      <c r="K1501" s="101" t="s">
        <v>2941</v>
      </c>
      <c r="L1501" s="102">
        <v>23.0</v>
      </c>
      <c r="M1501" s="13"/>
    </row>
    <row r="1502">
      <c r="A1502" s="101" t="s">
        <v>4150</v>
      </c>
      <c r="B1502" s="101" t="s">
        <v>4151</v>
      </c>
      <c r="D1502" s="13"/>
      <c r="E1502" s="13"/>
      <c r="F1502" s="13"/>
      <c r="G1502" s="102">
        <v>1.0</v>
      </c>
      <c r="H1502" s="101" t="s">
        <v>2940</v>
      </c>
      <c r="I1502" s="102">
        <v>9.51</v>
      </c>
      <c r="J1502" s="102">
        <v>11.7</v>
      </c>
      <c r="K1502" s="101" t="s">
        <v>2941</v>
      </c>
      <c r="L1502" s="102">
        <v>23.0</v>
      </c>
      <c r="M1502" s="13"/>
    </row>
    <row r="1503">
      <c r="A1503" s="101" t="s">
        <v>4150</v>
      </c>
      <c r="B1503" s="101" t="s">
        <v>4151</v>
      </c>
      <c r="D1503" s="13"/>
      <c r="E1503" s="13"/>
      <c r="F1503" s="13"/>
      <c r="G1503" s="102">
        <v>2.0</v>
      </c>
      <c r="H1503" s="101" t="s">
        <v>2942</v>
      </c>
      <c r="I1503" s="102">
        <v>9.5</v>
      </c>
      <c r="J1503" s="102">
        <v>11.69</v>
      </c>
      <c r="K1503" s="101" t="s">
        <v>2941</v>
      </c>
      <c r="L1503" s="102">
        <v>23.0</v>
      </c>
      <c r="M1503" s="13"/>
    </row>
    <row r="1504">
      <c r="A1504" s="101" t="s">
        <v>4152</v>
      </c>
      <c r="B1504" s="101">
        <v>420.0</v>
      </c>
      <c r="C1504" s="13"/>
      <c r="D1504" s="13"/>
      <c r="E1504" s="13"/>
      <c r="F1504" s="13"/>
      <c r="G1504" s="102">
        <v>1.0</v>
      </c>
      <c r="H1504" s="101" t="s">
        <v>2940</v>
      </c>
      <c r="I1504" s="102">
        <v>14.15</v>
      </c>
      <c r="J1504" s="102">
        <v>17.4</v>
      </c>
      <c r="K1504" s="101" t="s">
        <v>2941</v>
      </c>
      <c r="L1504" s="102">
        <v>23.0</v>
      </c>
      <c r="M1504" s="13"/>
    </row>
    <row r="1505">
      <c r="A1505" s="101" t="s">
        <v>4152</v>
      </c>
      <c r="B1505" s="101">
        <v>420.0</v>
      </c>
      <c r="C1505" s="13"/>
      <c r="D1505" s="13"/>
      <c r="E1505" s="13"/>
      <c r="F1505" s="13"/>
      <c r="G1505" s="102">
        <v>2.0</v>
      </c>
      <c r="H1505" s="101" t="s">
        <v>2942</v>
      </c>
      <c r="I1505" s="102">
        <v>14.15</v>
      </c>
      <c r="J1505" s="102">
        <v>17.4</v>
      </c>
      <c r="K1505" s="101" t="s">
        <v>2941</v>
      </c>
      <c r="L1505" s="102">
        <v>23.0</v>
      </c>
      <c r="M1505" s="13"/>
    </row>
    <row r="1506">
      <c r="A1506" s="101" t="s">
        <v>4153</v>
      </c>
      <c r="B1506" s="101">
        <v>419.0</v>
      </c>
      <c r="C1506" s="13"/>
      <c r="D1506" s="13"/>
      <c r="E1506" s="13"/>
      <c r="F1506" s="13"/>
      <c r="G1506" s="102">
        <v>1.0</v>
      </c>
      <c r="H1506" s="101" t="s">
        <v>2940</v>
      </c>
      <c r="I1506" s="102">
        <v>22.75</v>
      </c>
      <c r="J1506" s="102">
        <v>27.98</v>
      </c>
      <c r="K1506" s="101" t="s">
        <v>2941</v>
      </c>
      <c r="L1506" s="102">
        <v>23.0</v>
      </c>
      <c r="M1506" s="13"/>
    </row>
    <row r="1507">
      <c r="A1507" s="101" t="s">
        <v>4153</v>
      </c>
      <c r="B1507" s="101">
        <v>419.0</v>
      </c>
      <c r="C1507" s="13"/>
      <c r="D1507" s="13"/>
      <c r="E1507" s="13"/>
      <c r="F1507" s="13"/>
      <c r="G1507" s="102">
        <v>2.0</v>
      </c>
      <c r="H1507" s="101" t="s">
        <v>2942</v>
      </c>
      <c r="I1507" s="102">
        <v>22.75</v>
      </c>
      <c r="J1507" s="102">
        <v>27.98</v>
      </c>
      <c r="K1507" s="101" t="s">
        <v>2941</v>
      </c>
      <c r="L1507" s="102">
        <v>23.0</v>
      </c>
      <c r="M1507" s="13"/>
    </row>
    <row r="1508">
      <c r="A1508" s="101" t="s">
        <v>4154</v>
      </c>
      <c r="B1508" s="101" t="s">
        <v>4155</v>
      </c>
      <c r="D1508" s="13"/>
      <c r="E1508" s="13"/>
      <c r="F1508" s="13"/>
      <c r="G1508" s="102">
        <v>1.0</v>
      </c>
      <c r="H1508" s="101" t="s">
        <v>2940</v>
      </c>
      <c r="I1508" s="102">
        <v>34.39</v>
      </c>
      <c r="J1508" s="102">
        <v>42.3</v>
      </c>
      <c r="K1508" s="101" t="s">
        <v>2941</v>
      </c>
      <c r="L1508" s="102">
        <v>23.0</v>
      </c>
      <c r="M1508" s="13"/>
    </row>
    <row r="1509">
      <c r="A1509" s="101" t="s">
        <v>4154</v>
      </c>
      <c r="B1509" s="101" t="s">
        <v>4155</v>
      </c>
      <c r="D1509" s="13"/>
      <c r="E1509" s="13"/>
      <c r="F1509" s="13"/>
      <c r="G1509" s="102">
        <v>2.0</v>
      </c>
      <c r="H1509" s="101" t="s">
        <v>2942</v>
      </c>
      <c r="I1509" s="102">
        <v>34.4</v>
      </c>
      <c r="J1509" s="102">
        <v>42.31</v>
      </c>
      <c r="K1509" s="101" t="s">
        <v>2941</v>
      </c>
      <c r="L1509" s="102">
        <v>23.0</v>
      </c>
      <c r="M1509" s="13"/>
    </row>
    <row r="1510">
      <c r="A1510" s="101" t="s">
        <v>4156</v>
      </c>
      <c r="B1510" s="101" t="s">
        <v>4157</v>
      </c>
      <c r="D1510" s="13"/>
      <c r="E1510" s="13"/>
      <c r="F1510" s="13"/>
      <c r="G1510" s="102">
        <v>1.0</v>
      </c>
      <c r="H1510" s="101" t="s">
        <v>2940</v>
      </c>
      <c r="I1510" s="102">
        <v>56.1</v>
      </c>
      <c r="J1510" s="102">
        <v>69.0</v>
      </c>
      <c r="K1510" s="101" t="s">
        <v>2941</v>
      </c>
      <c r="L1510" s="102">
        <v>23.0</v>
      </c>
      <c r="M1510" s="13"/>
    </row>
    <row r="1511">
      <c r="A1511" s="101" t="s">
        <v>4156</v>
      </c>
      <c r="B1511" s="101" t="s">
        <v>4157</v>
      </c>
      <c r="D1511" s="13"/>
      <c r="E1511" s="13"/>
      <c r="F1511" s="13"/>
      <c r="G1511" s="102">
        <v>2.0</v>
      </c>
      <c r="H1511" s="101" t="s">
        <v>2942</v>
      </c>
      <c r="I1511" s="102">
        <v>55.9</v>
      </c>
      <c r="J1511" s="102">
        <v>68.76</v>
      </c>
      <c r="K1511" s="101" t="s">
        <v>2941</v>
      </c>
      <c r="L1511" s="102">
        <v>23.0</v>
      </c>
      <c r="M1511" s="13"/>
    </row>
    <row r="1512">
      <c r="A1512" s="101" t="s">
        <v>4158</v>
      </c>
      <c r="B1512" s="101" t="s">
        <v>4159</v>
      </c>
      <c r="D1512" s="13"/>
      <c r="E1512" s="13"/>
      <c r="F1512" s="13"/>
      <c r="G1512" s="102">
        <v>1.0</v>
      </c>
      <c r="H1512" s="101" t="s">
        <v>2940</v>
      </c>
      <c r="I1512" s="102">
        <v>30.0</v>
      </c>
      <c r="J1512" s="102">
        <v>36.9</v>
      </c>
      <c r="K1512" s="101" t="s">
        <v>2941</v>
      </c>
      <c r="L1512" s="102">
        <v>23.0</v>
      </c>
      <c r="M1512" s="13"/>
    </row>
    <row r="1513">
      <c r="A1513" s="101" t="s">
        <v>4158</v>
      </c>
      <c r="B1513" s="101" t="s">
        <v>4159</v>
      </c>
      <c r="D1513" s="13"/>
      <c r="E1513" s="13"/>
      <c r="F1513" s="13"/>
      <c r="G1513" s="102">
        <v>2.0</v>
      </c>
      <c r="H1513" s="101" t="s">
        <v>2942</v>
      </c>
      <c r="I1513" s="102">
        <v>24.0</v>
      </c>
      <c r="J1513" s="102">
        <v>29.52</v>
      </c>
      <c r="K1513" s="101" t="s">
        <v>2941</v>
      </c>
      <c r="L1513" s="102">
        <v>23.0</v>
      </c>
      <c r="M1513" s="13"/>
    </row>
    <row r="1514">
      <c r="A1514" s="101" t="s">
        <v>4160</v>
      </c>
      <c r="B1514" s="101" t="s">
        <v>4161</v>
      </c>
      <c r="D1514" s="13"/>
      <c r="E1514" s="13"/>
      <c r="F1514" s="13"/>
      <c r="G1514" s="102">
        <v>1.0</v>
      </c>
      <c r="H1514" s="101" t="s">
        <v>2940</v>
      </c>
      <c r="I1514" s="102">
        <v>56.1</v>
      </c>
      <c r="J1514" s="102">
        <v>69.0</v>
      </c>
      <c r="K1514" s="101" t="s">
        <v>2941</v>
      </c>
      <c r="L1514" s="102">
        <v>23.0</v>
      </c>
      <c r="M1514" s="13"/>
    </row>
    <row r="1515">
      <c r="A1515" s="101" t="s">
        <v>4160</v>
      </c>
      <c r="B1515" s="101" t="s">
        <v>4161</v>
      </c>
      <c r="D1515" s="13"/>
      <c r="E1515" s="13"/>
      <c r="F1515" s="13"/>
      <c r="G1515" s="102">
        <v>2.0</v>
      </c>
      <c r="H1515" s="101" t="s">
        <v>2942</v>
      </c>
      <c r="I1515" s="102">
        <v>55.9</v>
      </c>
      <c r="J1515" s="102">
        <v>68.76</v>
      </c>
      <c r="K1515" s="101" t="s">
        <v>2941</v>
      </c>
      <c r="L1515" s="102">
        <v>23.0</v>
      </c>
      <c r="M1515" s="13"/>
    </row>
    <row r="1516">
      <c r="A1516" s="101" t="s">
        <v>4162</v>
      </c>
      <c r="B1516" s="101" t="s">
        <v>4163</v>
      </c>
      <c r="D1516" s="13"/>
      <c r="E1516" s="13"/>
      <c r="F1516" s="13"/>
      <c r="G1516" s="102">
        <v>1.0</v>
      </c>
      <c r="H1516" s="101" t="s">
        <v>2940</v>
      </c>
      <c r="I1516" s="102">
        <v>44.72</v>
      </c>
      <c r="J1516" s="102">
        <v>55.01</v>
      </c>
      <c r="K1516" s="101" t="s">
        <v>2941</v>
      </c>
      <c r="L1516" s="102">
        <v>23.0</v>
      </c>
      <c r="M1516" s="13"/>
    </row>
    <row r="1517">
      <c r="A1517" s="101" t="s">
        <v>4162</v>
      </c>
      <c r="B1517" s="101" t="s">
        <v>4163</v>
      </c>
      <c r="D1517" s="13"/>
      <c r="E1517" s="13"/>
      <c r="F1517" s="13"/>
      <c r="G1517" s="102">
        <v>2.0</v>
      </c>
      <c r="H1517" s="101" t="s">
        <v>2942</v>
      </c>
      <c r="I1517" s="102">
        <v>44.5</v>
      </c>
      <c r="J1517" s="102">
        <v>54.74</v>
      </c>
      <c r="K1517" s="101" t="s">
        <v>2941</v>
      </c>
      <c r="L1517" s="102">
        <v>23.0</v>
      </c>
      <c r="M1517" s="13"/>
    </row>
    <row r="1518">
      <c r="A1518" s="101" t="s">
        <v>4164</v>
      </c>
      <c r="B1518" s="101" t="s">
        <v>4165</v>
      </c>
      <c r="D1518" s="13"/>
      <c r="E1518" s="13"/>
      <c r="F1518" s="13"/>
      <c r="G1518" s="102">
        <v>1.0</v>
      </c>
      <c r="H1518" s="101" t="s">
        <v>2940</v>
      </c>
      <c r="I1518" s="102">
        <v>40.65</v>
      </c>
      <c r="J1518" s="102">
        <v>50.0</v>
      </c>
      <c r="K1518" s="101" t="s">
        <v>2941</v>
      </c>
      <c r="L1518" s="102">
        <v>23.0</v>
      </c>
      <c r="M1518" s="13"/>
    </row>
    <row r="1519">
      <c r="A1519" s="101" t="s">
        <v>4164</v>
      </c>
      <c r="B1519" s="101" t="s">
        <v>4165</v>
      </c>
      <c r="D1519" s="13"/>
      <c r="E1519" s="13"/>
      <c r="F1519" s="13"/>
      <c r="G1519" s="102">
        <v>2.0</v>
      </c>
      <c r="H1519" s="101" t="s">
        <v>2942</v>
      </c>
      <c r="I1519" s="102">
        <v>37.17</v>
      </c>
      <c r="J1519" s="102">
        <v>45.72</v>
      </c>
      <c r="K1519" s="101" t="s">
        <v>2941</v>
      </c>
      <c r="L1519" s="102">
        <v>23.0</v>
      </c>
      <c r="M1519" s="13"/>
    </row>
    <row r="1520">
      <c r="A1520" s="101" t="s">
        <v>4166</v>
      </c>
      <c r="B1520" s="101" t="s">
        <v>4167</v>
      </c>
      <c r="D1520" s="13"/>
      <c r="E1520" s="13"/>
      <c r="F1520" s="13"/>
      <c r="G1520" s="102">
        <v>1.0</v>
      </c>
      <c r="H1520" s="101" t="s">
        <v>2940</v>
      </c>
      <c r="I1520" s="102">
        <v>28.46</v>
      </c>
      <c r="J1520" s="102">
        <v>35.01</v>
      </c>
      <c r="K1520" s="101" t="s">
        <v>2941</v>
      </c>
      <c r="L1520" s="102">
        <v>23.0</v>
      </c>
      <c r="M1520" s="13"/>
    </row>
    <row r="1521">
      <c r="A1521" s="101" t="s">
        <v>4166</v>
      </c>
      <c r="B1521" s="101" t="s">
        <v>4167</v>
      </c>
      <c r="D1521" s="13"/>
      <c r="E1521" s="13"/>
      <c r="F1521" s="13"/>
      <c r="G1521" s="102">
        <v>2.0</v>
      </c>
      <c r="H1521" s="101" t="s">
        <v>2942</v>
      </c>
      <c r="I1521" s="102">
        <v>28.3</v>
      </c>
      <c r="J1521" s="102">
        <v>34.81</v>
      </c>
      <c r="K1521" s="101" t="s">
        <v>2941</v>
      </c>
      <c r="L1521" s="102">
        <v>23.0</v>
      </c>
      <c r="M1521" s="13"/>
    </row>
    <row r="1522">
      <c r="A1522" s="101" t="s">
        <v>4168</v>
      </c>
      <c r="B1522" s="101" t="s">
        <v>4169</v>
      </c>
      <c r="D1522" s="13"/>
      <c r="E1522" s="13"/>
      <c r="F1522" s="13"/>
      <c r="G1522" s="102">
        <v>1.0</v>
      </c>
      <c r="H1522" s="101" t="s">
        <v>2940</v>
      </c>
      <c r="I1522" s="102">
        <v>45.53</v>
      </c>
      <c r="J1522" s="102">
        <v>56.0</v>
      </c>
      <c r="K1522" s="101" t="s">
        <v>2941</v>
      </c>
      <c r="L1522" s="102">
        <v>23.0</v>
      </c>
      <c r="M1522" s="13"/>
    </row>
    <row r="1523">
      <c r="A1523" s="101" t="s">
        <v>4168</v>
      </c>
      <c r="B1523" s="101" t="s">
        <v>4169</v>
      </c>
      <c r="D1523" s="13"/>
      <c r="E1523" s="13"/>
      <c r="F1523" s="13"/>
      <c r="G1523" s="102">
        <v>2.0</v>
      </c>
      <c r="H1523" s="101" t="s">
        <v>2942</v>
      </c>
      <c r="I1523" s="102">
        <v>45.5</v>
      </c>
      <c r="J1523" s="102">
        <v>55.97</v>
      </c>
      <c r="K1523" s="101" t="s">
        <v>2941</v>
      </c>
      <c r="L1523" s="102">
        <v>23.0</v>
      </c>
      <c r="M1523" s="13"/>
    </row>
    <row r="1524">
      <c r="A1524" s="101" t="s">
        <v>4170</v>
      </c>
      <c r="B1524" s="101" t="s">
        <v>4171</v>
      </c>
      <c r="D1524" s="13"/>
      <c r="E1524" s="13"/>
      <c r="F1524" s="13"/>
      <c r="G1524" s="102">
        <v>1.0</v>
      </c>
      <c r="H1524" s="101" t="s">
        <v>2940</v>
      </c>
      <c r="I1524" s="102">
        <v>44.72</v>
      </c>
      <c r="J1524" s="102">
        <v>55.01</v>
      </c>
      <c r="K1524" s="101" t="s">
        <v>2941</v>
      </c>
      <c r="L1524" s="102">
        <v>23.0</v>
      </c>
      <c r="M1524" s="13"/>
    </row>
    <row r="1525">
      <c r="A1525" s="101" t="s">
        <v>4170</v>
      </c>
      <c r="B1525" s="101" t="s">
        <v>4171</v>
      </c>
      <c r="D1525" s="13"/>
      <c r="E1525" s="13"/>
      <c r="F1525" s="13"/>
      <c r="G1525" s="102">
        <v>2.0</v>
      </c>
      <c r="H1525" s="101" t="s">
        <v>2942</v>
      </c>
      <c r="I1525" s="102">
        <v>44.5</v>
      </c>
      <c r="J1525" s="102">
        <v>54.74</v>
      </c>
      <c r="K1525" s="101" t="s">
        <v>2941</v>
      </c>
      <c r="L1525" s="102">
        <v>23.0</v>
      </c>
      <c r="M1525" s="13"/>
    </row>
    <row r="1526">
      <c r="A1526" s="101" t="s">
        <v>4172</v>
      </c>
      <c r="B1526" s="101" t="s">
        <v>4173</v>
      </c>
      <c r="D1526" s="13"/>
      <c r="E1526" s="13"/>
      <c r="F1526" s="13"/>
      <c r="G1526" s="102">
        <v>1.0</v>
      </c>
      <c r="H1526" s="101" t="s">
        <v>2940</v>
      </c>
      <c r="I1526" s="102">
        <v>34.39</v>
      </c>
      <c r="J1526" s="102">
        <v>42.3</v>
      </c>
      <c r="K1526" s="101" t="s">
        <v>2941</v>
      </c>
      <c r="L1526" s="102">
        <v>23.0</v>
      </c>
      <c r="M1526" s="13"/>
    </row>
    <row r="1527">
      <c r="A1527" s="101" t="s">
        <v>4172</v>
      </c>
      <c r="B1527" s="101" t="s">
        <v>4173</v>
      </c>
      <c r="D1527" s="13"/>
      <c r="E1527" s="13"/>
      <c r="F1527" s="13"/>
      <c r="G1527" s="102">
        <v>2.0</v>
      </c>
      <c r="H1527" s="101" t="s">
        <v>2942</v>
      </c>
      <c r="I1527" s="102">
        <v>27.5</v>
      </c>
      <c r="J1527" s="102">
        <v>33.83</v>
      </c>
      <c r="K1527" s="101" t="s">
        <v>2941</v>
      </c>
      <c r="L1527" s="102">
        <v>23.0</v>
      </c>
      <c r="M1527" s="13"/>
    </row>
    <row r="1528">
      <c r="A1528" s="101" t="s">
        <v>4174</v>
      </c>
      <c r="B1528" s="101" t="s">
        <v>4175</v>
      </c>
      <c r="D1528" s="13"/>
      <c r="E1528" s="13"/>
      <c r="F1528" s="13"/>
      <c r="G1528" s="102">
        <v>1.0</v>
      </c>
      <c r="H1528" s="101" t="s">
        <v>2940</v>
      </c>
      <c r="I1528" s="102">
        <v>42.52</v>
      </c>
      <c r="J1528" s="102">
        <v>52.3</v>
      </c>
      <c r="K1528" s="101" t="s">
        <v>2941</v>
      </c>
      <c r="L1528" s="102">
        <v>23.0</v>
      </c>
      <c r="M1528" s="13"/>
    </row>
    <row r="1529">
      <c r="A1529" s="101" t="s">
        <v>4174</v>
      </c>
      <c r="B1529" s="101" t="s">
        <v>4175</v>
      </c>
      <c r="D1529" s="13"/>
      <c r="E1529" s="13"/>
      <c r="F1529" s="13"/>
      <c r="G1529" s="102">
        <v>2.0</v>
      </c>
      <c r="H1529" s="101" t="s">
        <v>2942</v>
      </c>
      <c r="I1529" s="102">
        <v>34.0</v>
      </c>
      <c r="J1529" s="102">
        <v>41.82</v>
      </c>
      <c r="K1529" s="101" t="s">
        <v>2941</v>
      </c>
      <c r="L1529" s="102">
        <v>23.0</v>
      </c>
      <c r="M1529" s="13"/>
    </row>
    <row r="1530">
      <c r="A1530" s="101" t="s">
        <v>4176</v>
      </c>
      <c r="B1530" s="101" t="s">
        <v>4177</v>
      </c>
      <c r="D1530" s="13"/>
      <c r="E1530" s="13"/>
      <c r="F1530" s="13"/>
      <c r="G1530" s="102">
        <v>1.0</v>
      </c>
      <c r="H1530" s="101" t="s">
        <v>2940</v>
      </c>
      <c r="I1530" s="102">
        <v>83.74</v>
      </c>
      <c r="J1530" s="102">
        <v>103.0</v>
      </c>
      <c r="K1530" s="101" t="s">
        <v>2941</v>
      </c>
      <c r="L1530" s="102">
        <v>23.0</v>
      </c>
      <c r="M1530" s="13"/>
    </row>
    <row r="1531">
      <c r="A1531" s="101" t="s">
        <v>4176</v>
      </c>
      <c r="B1531" s="101" t="s">
        <v>4177</v>
      </c>
      <c r="D1531" s="13"/>
      <c r="E1531" s="13"/>
      <c r="F1531" s="13"/>
      <c r="G1531" s="102">
        <v>2.0</v>
      </c>
      <c r="H1531" s="101" t="s">
        <v>2942</v>
      </c>
      <c r="I1531" s="102">
        <v>83.85</v>
      </c>
      <c r="J1531" s="102">
        <v>103.14</v>
      </c>
      <c r="K1531" s="101" t="s">
        <v>2941</v>
      </c>
      <c r="L1531" s="102">
        <v>23.0</v>
      </c>
      <c r="M1531" s="13"/>
    </row>
    <row r="1532">
      <c r="A1532" s="101" t="s">
        <v>4178</v>
      </c>
      <c r="B1532" s="101" t="s">
        <v>4179</v>
      </c>
      <c r="D1532" s="13"/>
      <c r="E1532" s="13"/>
      <c r="F1532" s="13"/>
      <c r="G1532" s="102">
        <v>1.0</v>
      </c>
      <c r="H1532" s="101" t="s">
        <v>2940</v>
      </c>
      <c r="I1532" s="102">
        <v>56.02</v>
      </c>
      <c r="J1532" s="102">
        <v>68.9</v>
      </c>
      <c r="K1532" s="101" t="s">
        <v>2941</v>
      </c>
      <c r="L1532" s="102">
        <v>23.0</v>
      </c>
      <c r="M1532" s="13"/>
    </row>
    <row r="1533">
      <c r="A1533" s="101" t="s">
        <v>4178</v>
      </c>
      <c r="B1533" s="101" t="s">
        <v>4179</v>
      </c>
      <c r="D1533" s="13"/>
      <c r="E1533" s="13"/>
      <c r="F1533" s="13"/>
      <c r="G1533" s="102">
        <v>2.0</v>
      </c>
      <c r="H1533" s="101" t="s">
        <v>2942</v>
      </c>
      <c r="I1533" s="102">
        <v>44.8</v>
      </c>
      <c r="J1533" s="102">
        <v>55.1</v>
      </c>
      <c r="K1533" s="101" t="s">
        <v>2941</v>
      </c>
      <c r="L1533" s="102">
        <v>23.0</v>
      </c>
      <c r="M1533" s="13"/>
    </row>
    <row r="1534">
      <c r="A1534" s="101" t="s">
        <v>4180</v>
      </c>
      <c r="B1534" s="101" t="s">
        <v>4181</v>
      </c>
      <c r="D1534" s="13"/>
      <c r="E1534" s="13"/>
      <c r="F1534" s="13"/>
      <c r="G1534" s="102">
        <v>1.0</v>
      </c>
      <c r="H1534" s="101" t="s">
        <v>2940</v>
      </c>
      <c r="I1534" s="102">
        <v>83.74</v>
      </c>
      <c r="J1534" s="102">
        <v>103.0</v>
      </c>
      <c r="K1534" s="101" t="s">
        <v>2941</v>
      </c>
      <c r="L1534" s="102">
        <v>23.0</v>
      </c>
      <c r="M1534" s="13"/>
    </row>
    <row r="1535">
      <c r="A1535" s="101" t="s">
        <v>4180</v>
      </c>
      <c r="B1535" s="101" t="s">
        <v>4181</v>
      </c>
      <c r="D1535" s="13"/>
      <c r="E1535" s="13"/>
      <c r="F1535" s="13"/>
      <c r="G1535" s="102">
        <v>2.0</v>
      </c>
      <c r="H1535" s="101" t="s">
        <v>2942</v>
      </c>
      <c r="I1535" s="102">
        <v>83.85</v>
      </c>
      <c r="J1535" s="102">
        <v>103.14</v>
      </c>
      <c r="K1535" s="101" t="s">
        <v>2941</v>
      </c>
      <c r="L1535" s="102">
        <v>23.0</v>
      </c>
      <c r="M1535" s="13"/>
    </row>
    <row r="1536">
      <c r="A1536" s="101" t="s">
        <v>4182</v>
      </c>
      <c r="B1536" s="101">
        <v>1259.0</v>
      </c>
      <c r="C1536" s="13"/>
      <c r="D1536" s="13"/>
      <c r="E1536" s="13"/>
      <c r="F1536" s="13"/>
      <c r="G1536" s="102">
        <v>1.0</v>
      </c>
      <c r="H1536" s="101" t="s">
        <v>2940</v>
      </c>
      <c r="I1536" s="102">
        <v>56.91</v>
      </c>
      <c r="J1536" s="102">
        <v>70.0</v>
      </c>
      <c r="K1536" s="101" t="s">
        <v>2941</v>
      </c>
      <c r="L1536" s="102">
        <v>23.0</v>
      </c>
      <c r="M1536" s="13"/>
    </row>
    <row r="1537">
      <c r="A1537" s="101" t="s">
        <v>4182</v>
      </c>
      <c r="B1537" s="101">
        <v>1259.0</v>
      </c>
      <c r="C1537" s="13"/>
      <c r="D1537" s="13"/>
      <c r="E1537" s="13"/>
      <c r="F1537" s="13"/>
      <c r="G1537" s="102">
        <v>2.0</v>
      </c>
      <c r="H1537" s="101" t="s">
        <v>2942</v>
      </c>
      <c r="I1537" s="102">
        <v>55.8</v>
      </c>
      <c r="J1537" s="102">
        <v>68.63</v>
      </c>
      <c r="K1537" s="101" t="s">
        <v>2941</v>
      </c>
      <c r="L1537" s="102">
        <v>23.0</v>
      </c>
      <c r="M1537" s="13"/>
    </row>
    <row r="1538">
      <c r="A1538" s="101" t="s">
        <v>4183</v>
      </c>
      <c r="B1538" s="101" t="s">
        <v>4184</v>
      </c>
      <c r="D1538" s="13"/>
      <c r="E1538" s="13"/>
      <c r="F1538" s="13"/>
      <c r="G1538" s="102">
        <v>1.0</v>
      </c>
      <c r="H1538" s="101" t="s">
        <v>2940</v>
      </c>
      <c r="I1538" s="102">
        <v>17.4</v>
      </c>
      <c r="J1538" s="102">
        <v>21.4</v>
      </c>
      <c r="K1538" s="101" t="s">
        <v>2941</v>
      </c>
      <c r="L1538" s="102">
        <v>23.0</v>
      </c>
      <c r="M1538" s="13"/>
    </row>
    <row r="1539">
      <c r="A1539" s="101" t="s">
        <v>4183</v>
      </c>
      <c r="B1539" s="101" t="s">
        <v>4184</v>
      </c>
      <c r="D1539" s="13"/>
      <c r="E1539" s="13"/>
      <c r="F1539" s="13"/>
      <c r="G1539" s="102">
        <v>2.0</v>
      </c>
      <c r="H1539" s="101" t="s">
        <v>2942</v>
      </c>
      <c r="I1539" s="102">
        <v>13.9</v>
      </c>
      <c r="J1539" s="102">
        <v>17.1</v>
      </c>
      <c r="K1539" s="101" t="s">
        <v>2941</v>
      </c>
      <c r="L1539" s="102">
        <v>23.0</v>
      </c>
      <c r="M1539" s="13"/>
    </row>
    <row r="1540">
      <c r="A1540" s="101" t="s">
        <v>4185</v>
      </c>
      <c r="B1540" s="101" t="s">
        <v>4186</v>
      </c>
      <c r="D1540" s="13"/>
      <c r="E1540" s="13"/>
      <c r="F1540" s="13"/>
      <c r="G1540" s="102">
        <v>1.0</v>
      </c>
      <c r="H1540" s="101" t="s">
        <v>2940</v>
      </c>
      <c r="I1540" s="102">
        <v>19.27</v>
      </c>
      <c r="J1540" s="102">
        <v>23.7</v>
      </c>
      <c r="K1540" s="101" t="s">
        <v>2941</v>
      </c>
      <c r="L1540" s="102">
        <v>23.0</v>
      </c>
      <c r="M1540" s="13"/>
    </row>
    <row r="1541">
      <c r="A1541" s="101" t="s">
        <v>4185</v>
      </c>
      <c r="B1541" s="101" t="s">
        <v>4186</v>
      </c>
      <c r="D1541" s="13"/>
      <c r="E1541" s="13"/>
      <c r="F1541" s="13"/>
      <c r="G1541" s="102">
        <v>2.0</v>
      </c>
      <c r="H1541" s="101" t="s">
        <v>2942</v>
      </c>
      <c r="I1541" s="102">
        <v>15.4</v>
      </c>
      <c r="J1541" s="102">
        <v>18.94</v>
      </c>
      <c r="K1541" s="101" t="s">
        <v>2941</v>
      </c>
      <c r="L1541" s="102">
        <v>23.0</v>
      </c>
      <c r="M1541" s="13"/>
    </row>
    <row r="1542">
      <c r="A1542" s="101" t="s">
        <v>4187</v>
      </c>
      <c r="B1542" s="101" t="s">
        <v>4188</v>
      </c>
      <c r="D1542" s="13"/>
      <c r="E1542" s="13"/>
      <c r="F1542" s="13"/>
      <c r="G1542" s="102">
        <v>1.0</v>
      </c>
      <c r="H1542" s="101" t="s">
        <v>2940</v>
      </c>
      <c r="I1542" s="102">
        <v>33.82</v>
      </c>
      <c r="J1542" s="102">
        <v>41.6</v>
      </c>
      <c r="K1542" s="101" t="s">
        <v>2941</v>
      </c>
      <c r="L1542" s="102">
        <v>23.0</v>
      </c>
      <c r="M1542" s="13"/>
    </row>
    <row r="1543">
      <c r="A1543" s="101" t="s">
        <v>4187</v>
      </c>
      <c r="B1543" s="101" t="s">
        <v>4188</v>
      </c>
      <c r="D1543" s="13"/>
      <c r="E1543" s="13"/>
      <c r="F1543" s="13"/>
      <c r="G1543" s="102">
        <v>2.0</v>
      </c>
      <c r="H1543" s="101" t="s">
        <v>2942</v>
      </c>
      <c r="I1543" s="102">
        <v>27.1</v>
      </c>
      <c r="J1543" s="102">
        <v>33.33</v>
      </c>
      <c r="K1543" s="101" t="s">
        <v>2941</v>
      </c>
      <c r="L1543" s="102">
        <v>23.0</v>
      </c>
      <c r="M1543" s="13"/>
    </row>
    <row r="1544">
      <c r="A1544" s="101" t="s">
        <v>4189</v>
      </c>
      <c r="B1544" s="101" t="s">
        <v>4190</v>
      </c>
      <c r="D1544" s="13"/>
      <c r="E1544" s="13"/>
      <c r="F1544" s="13"/>
      <c r="G1544" s="102">
        <v>1.0</v>
      </c>
      <c r="H1544" s="101" t="s">
        <v>2940</v>
      </c>
      <c r="I1544" s="102">
        <v>47.97</v>
      </c>
      <c r="J1544" s="102">
        <v>59.0</v>
      </c>
      <c r="K1544" s="101" t="s">
        <v>2941</v>
      </c>
      <c r="L1544" s="102">
        <v>23.0</v>
      </c>
      <c r="M1544" s="13"/>
    </row>
    <row r="1545">
      <c r="A1545" s="101" t="s">
        <v>4189</v>
      </c>
      <c r="B1545" s="101" t="s">
        <v>4190</v>
      </c>
      <c r="D1545" s="13"/>
      <c r="E1545" s="13"/>
      <c r="F1545" s="13"/>
      <c r="G1545" s="102">
        <v>2.0</v>
      </c>
      <c r="H1545" s="101" t="s">
        <v>2942</v>
      </c>
      <c r="I1545" s="102">
        <v>47.6</v>
      </c>
      <c r="J1545" s="102">
        <v>58.55</v>
      </c>
      <c r="K1545" s="101" t="s">
        <v>2941</v>
      </c>
      <c r="L1545" s="102">
        <v>23.0</v>
      </c>
      <c r="M1545" s="13"/>
    </row>
    <row r="1546">
      <c r="A1546" s="101" t="s">
        <v>4191</v>
      </c>
      <c r="B1546" s="101" t="s">
        <v>4192</v>
      </c>
      <c r="D1546" s="13"/>
      <c r="E1546" s="13"/>
      <c r="F1546" s="13"/>
      <c r="G1546" s="102">
        <v>1.0</v>
      </c>
      <c r="H1546" s="101" t="s">
        <v>2940</v>
      </c>
      <c r="I1546" s="102">
        <v>40.65</v>
      </c>
      <c r="J1546" s="102">
        <v>50.0</v>
      </c>
      <c r="K1546" s="101" t="s">
        <v>2941</v>
      </c>
      <c r="L1546" s="102">
        <v>23.0</v>
      </c>
      <c r="M1546" s="13"/>
    </row>
    <row r="1547">
      <c r="A1547" s="101" t="s">
        <v>4191</v>
      </c>
      <c r="B1547" s="101" t="s">
        <v>4192</v>
      </c>
      <c r="D1547" s="13"/>
      <c r="E1547" s="13"/>
      <c r="F1547" s="13"/>
      <c r="G1547" s="102">
        <v>2.0</v>
      </c>
      <c r="H1547" s="101" t="s">
        <v>2942</v>
      </c>
      <c r="I1547" s="102">
        <v>32.5</v>
      </c>
      <c r="J1547" s="102">
        <v>39.98</v>
      </c>
      <c r="K1547" s="101" t="s">
        <v>2941</v>
      </c>
      <c r="L1547" s="102">
        <v>23.0</v>
      </c>
      <c r="M1547" s="13"/>
    </row>
    <row r="1548">
      <c r="A1548" s="101" t="s">
        <v>4193</v>
      </c>
      <c r="B1548" s="101" t="s">
        <v>4194</v>
      </c>
      <c r="D1548" s="13"/>
      <c r="E1548" s="13"/>
      <c r="F1548" s="13"/>
      <c r="G1548" s="102">
        <v>1.0</v>
      </c>
      <c r="H1548" s="101" t="s">
        <v>2940</v>
      </c>
      <c r="I1548" s="102">
        <v>38.46</v>
      </c>
      <c r="J1548" s="102">
        <v>47.31</v>
      </c>
      <c r="K1548" s="101" t="s">
        <v>2941</v>
      </c>
      <c r="L1548" s="102">
        <v>23.0</v>
      </c>
      <c r="M1548" s="13"/>
    </row>
    <row r="1549">
      <c r="A1549" s="101" t="s">
        <v>4193</v>
      </c>
      <c r="B1549" s="101" t="s">
        <v>4194</v>
      </c>
      <c r="D1549" s="13"/>
      <c r="E1549" s="13"/>
      <c r="F1549" s="13"/>
      <c r="G1549" s="102">
        <v>2.0</v>
      </c>
      <c r="H1549" s="101" t="s">
        <v>2942</v>
      </c>
      <c r="I1549" s="102">
        <v>30.8</v>
      </c>
      <c r="J1549" s="102">
        <v>37.88</v>
      </c>
      <c r="K1549" s="101" t="s">
        <v>2941</v>
      </c>
      <c r="L1549" s="102">
        <v>23.0</v>
      </c>
      <c r="M1549" s="13"/>
    </row>
    <row r="1550">
      <c r="A1550" s="101" t="s">
        <v>4195</v>
      </c>
      <c r="B1550" s="101" t="s">
        <v>4196</v>
      </c>
      <c r="D1550" s="13"/>
      <c r="E1550" s="13"/>
      <c r="F1550" s="13"/>
      <c r="G1550" s="102">
        <v>1.0</v>
      </c>
      <c r="H1550" s="101" t="s">
        <v>2940</v>
      </c>
      <c r="I1550" s="102">
        <v>52.03</v>
      </c>
      <c r="J1550" s="102">
        <v>64.0</v>
      </c>
      <c r="K1550" s="101" t="s">
        <v>2941</v>
      </c>
      <c r="L1550" s="102">
        <v>23.0</v>
      </c>
      <c r="M1550" s="13"/>
    </row>
    <row r="1551">
      <c r="A1551" s="101" t="s">
        <v>4195</v>
      </c>
      <c r="B1551" s="101" t="s">
        <v>4196</v>
      </c>
      <c r="D1551" s="13"/>
      <c r="E1551" s="13"/>
      <c r="F1551" s="13"/>
      <c r="G1551" s="102">
        <v>2.0</v>
      </c>
      <c r="H1551" s="101" t="s">
        <v>2942</v>
      </c>
      <c r="I1551" s="102">
        <v>41.6</v>
      </c>
      <c r="J1551" s="102">
        <v>51.17</v>
      </c>
      <c r="K1551" s="101" t="s">
        <v>2941</v>
      </c>
      <c r="L1551" s="102">
        <v>23.0</v>
      </c>
      <c r="M1551" s="13"/>
    </row>
    <row r="1552">
      <c r="A1552" s="101" t="s">
        <v>4197</v>
      </c>
      <c r="B1552" s="101" t="s">
        <v>4198</v>
      </c>
      <c r="D1552" s="13"/>
      <c r="E1552" s="13"/>
      <c r="F1552" s="13"/>
      <c r="G1552" s="102">
        <v>1.0</v>
      </c>
      <c r="H1552" s="101" t="s">
        <v>2940</v>
      </c>
      <c r="I1552" s="102">
        <v>57.72</v>
      </c>
      <c r="J1552" s="102">
        <v>71.0</v>
      </c>
      <c r="K1552" s="101" t="s">
        <v>2941</v>
      </c>
      <c r="L1552" s="102">
        <v>23.0</v>
      </c>
      <c r="M1552" s="13"/>
    </row>
    <row r="1553">
      <c r="A1553" s="101" t="s">
        <v>4197</v>
      </c>
      <c r="B1553" s="101" t="s">
        <v>4198</v>
      </c>
      <c r="D1553" s="13"/>
      <c r="E1553" s="13"/>
      <c r="F1553" s="13"/>
      <c r="G1553" s="102">
        <v>2.0</v>
      </c>
      <c r="H1553" s="101" t="s">
        <v>2942</v>
      </c>
      <c r="I1553" s="102">
        <v>46.2</v>
      </c>
      <c r="J1553" s="102">
        <v>56.83</v>
      </c>
      <c r="K1553" s="101" t="s">
        <v>2941</v>
      </c>
      <c r="L1553" s="102">
        <v>23.0</v>
      </c>
      <c r="M1553" s="13"/>
    </row>
    <row r="1554">
      <c r="A1554" s="101" t="s">
        <v>4199</v>
      </c>
      <c r="B1554" s="101">
        <v>1444.0</v>
      </c>
      <c r="C1554" s="13"/>
      <c r="D1554" s="13"/>
      <c r="E1554" s="13"/>
      <c r="F1554" s="13"/>
      <c r="G1554" s="102">
        <v>1.0</v>
      </c>
      <c r="H1554" s="101" t="s">
        <v>2940</v>
      </c>
      <c r="I1554" s="102">
        <v>18.62</v>
      </c>
      <c r="J1554" s="102">
        <v>22.9</v>
      </c>
      <c r="K1554" s="101" t="s">
        <v>2941</v>
      </c>
      <c r="L1554" s="102">
        <v>23.0</v>
      </c>
      <c r="M1554" s="13"/>
    </row>
    <row r="1555">
      <c r="A1555" s="101" t="s">
        <v>4199</v>
      </c>
      <c r="B1555" s="101">
        <v>1444.0</v>
      </c>
      <c r="C1555" s="13"/>
      <c r="D1555" s="13"/>
      <c r="E1555" s="13"/>
      <c r="F1555" s="13"/>
      <c r="G1555" s="102">
        <v>2.0</v>
      </c>
      <c r="H1555" s="101" t="s">
        <v>2942</v>
      </c>
      <c r="I1555" s="102">
        <v>18.6</v>
      </c>
      <c r="J1555" s="102">
        <v>22.88</v>
      </c>
      <c r="K1555" s="101" t="s">
        <v>2941</v>
      </c>
      <c r="L1555" s="102">
        <v>23.0</v>
      </c>
      <c r="M1555" s="13"/>
    </row>
    <row r="1556">
      <c r="A1556" s="101" t="s">
        <v>4200</v>
      </c>
      <c r="B1556" s="101">
        <v>1208.0</v>
      </c>
      <c r="C1556" s="13"/>
      <c r="D1556" s="13"/>
      <c r="E1556" s="13"/>
      <c r="F1556" s="13"/>
      <c r="G1556" s="102">
        <v>1.0</v>
      </c>
      <c r="H1556" s="101" t="s">
        <v>2940</v>
      </c>
      <c r="I1556" s="102">
        <v>22.6</v>
      </c>
      <c r="J1556" s="102">
        <v>27.8</v>
      </c>
      <c r="K1556" s="101" t="s">
        <v>2941</v>
      </c>
      <c r="L1556" s="102">
        <v>23.0</v>
      </c>
      <c r="M1556" s="13"/>
    </row>
    <row r="1557">
      <c r="A1557" s="101" t="s">
        <v>4200</v>
      </c>
      <c r="B1557" s="101">
        <v>1208.0</v>
      </c>
      <c r="C1557" s="13"/>
      <c r="D1557" s="13"/>
      <c r="E1557" s="13"/>
      <c r="F1557" s="13"/>
      <c r="G1557" s="102">
        <v>2.0</v>
      </c>
      <c r="H1557" s="101" t="s">
        <v>2942</v>
      </c>
      <c r="I1557" s="102">
        <v>22.6</v>
      </c>
      <c r="J1557" s="102">
        <v>27.8</v>
      </c>
      <c r="K1557" s="101" t="s">
        <v>2941</v>
      </c>
      <c r="L1557" s="102">
        <v>23.0</v>
      </c>
      <c r="M1557" s="13"/>
    </row>
    <row r="1558">
      <c r="A1558" s="101" t="s">
        <v>4201</v>
      </c>
      <c r="B1558" s="101">
        <v>1445.0</v>
      </c>
      <c r="C1558" s="13"/>
      <c r="D1558" s="13"/>
      <c r="E1558" s="13"/>
      <c r="F1558" s="13"/>
      <c r="G1558" s="102">
        <v>1.0</v>
      </c>
      <c r="H1558" s="101" t="s">
        <v>2940</v>
      </c>
      <c r="I1558" s="102">
        <v>37.32</v>
      </c>
      <c r="J1558" s="102">
        <v>45.9</v>
      </c>
      <c r="K1558" s="101" t="s">
        <v>2941</v>
      </c>
      <c r="L1558" s="102">
        <v>23.0</v>
      </c>
      <c r="M1558" s="13"/>
    </row>
    <row r="1559">
      <c r="A1559" s="101" t="s">
        <v>4201</v>
      </c>
      <c r="B1559" s="101">
        <v>1445.0</v>
      </c>
      <c r="C1559" s="13"/>
      <c r="D1559" s="13"/>
      <c r="E1559" s="13"/>
      <c r="F1559" s="13"/>
      <c r="G1559" s="102">
        <v>2.0</v>
      </c>
      <c r="H1559" s="101" t="s">
        <v>2942</v>
      </c>
      <c r="I1559" s="102">
        <v>37.3</v>
      </c>
      <c r="J1559" s="102">
        <v>45.88</v>
      </c>
      <c r="K1559" s="101" t="s">
        <v>2941</v>
      </c>
      <c r="L1559" s="102">
        <v>23.0</v>
      </c>
      <c r="M1559" s="13"/>
    </row>
    <row r="1560">
      <c r="A1560" s="101" t="s">
        <v>4202</v>
      </c>
      <c r="B1560" s="101">
        <v>1089.0</v>
      </c>
      <c r="C1560" s="13"/>
      <c r="D1560" s="13"/>
      <c r="E1560" s="13"/>
      <c r="F1560" s="13"/>
      <c r="G1560" s="102">
        <v>1.0</v>
      </c>
      <c r="H1560" s="101" t="s">
        <v>2940</v>
      </c>
      <c r="I1560" s="102">
        <v>45.2</v>
      </c>
      <c r="J1560" s="102">
        <v>55.6</v>
      </c>
      <c r="K1560" s="101" t="s">
        <v>2941</v>
      </c>
      <c r="L1560" s="102">
        <v>23.0</v>
      </c>
      <c r="M1560" s="13"/>
    </row>
    <row r="1561">
      <c r="A1561" s="101" t="s">
        <v>4202</v>
      </c>
      <c r="B1561" s="101">
        <v>1089.0</v>
      </c>
      <c r="C1561" s="13"/>
      <c r="D1561" s="13"/>
      <c r="E1561" s="13"/>
      <c r="F1561" s="13"/>
      <c r="G1561" s="102">
        <v>2.0</v>
      </c>
      <c r="H1561" s="101" t="s">
        <v>2942</v>
      </c>
      <c r="I1561" s="102">
        <v>45.2</v>
      </c>
      <c r="J1561" s="102">
        <v>55.6</v>
      </c>
      <c r="K1561" s="101" t="s">
        <v>2941</v>
      </c>
      <c r="L1561" s="102">
        <v>23.0</v>
      </c>
      <c r="M1561" s="13"/>
    </row>
    <row r="1562">
      <c r="A1562" s="101" t="s">
        <v>4203</v>
      </c>
      <c r="B1562" s="101" t="s">
        <v>4204</v>
      </c>
      <c r="D1562" s="13"/>
      <c r="E1562" s="13"/>
      <c r="F1562" s="13"/>
      <c r="G1562" s="102">
        <v>1.0</v>
      </c>
      <c r="H1562" s="101" t="s">
        <v>2940</v>
      </c>
      <c r="I1562" s="102">
        <v>45.61</v>
      </c>
      <c r="J1562" s="102">
        <v>56.1</v>
      </c>
      <c r="K1562" s="101" t="s">
        <v>2941</v>
      </c>
      <c r="L1562" s="102">
        <v>23.0</v>
      </c>
      <c r="M1562" s="13"/>
    </row>
    <row r="1563">
      <c r="A1563" s="101" t="s">
        <v>4203</v>
      </c>
      <c r="B1563" s="101" t="s">
        <v>4204</v>
      </c>
      <c r="D1563" s="13"/>
      <c r="E1563" s="13"/>
      <c r="F1563" s="13"/>
      <c r="G1563" s="102">
        <v>2.0</v>
      </c>
      <c r="H1563" s="101" t="s">
        <v>2942</v>
      </c>
      <c r="I1563" s="102">
        <v>36.5</v>
      </c>
      <c r="J1563" s="102">
        <v>44.9</v>
      </c>
      <c r="K1563" s="101" t="s">
        <v>2941</v>
      </c>
      <c r="L1563" s="102">
        <v>23.0</v>
      </c>
      <c r="M1563" s="13"/>
    </row>
    <row r="1564">
      <c r="A1564" s="101" t="s">
        <v>4205</v>
      </c>
      <c r="B1564" s="101">
        <v>1993.0</v>
      </c>
      <c r="C1564" s="13"/>
      <c r="D1564" s="13"/>
      <c r="E1564" s="13"/>
      <c r="F1564" s="13"/>
      <c r="G1564" s="102">
        <v>1.0</v>
      </c>
      <c r="H1564" s="101" t="s">
        <v>2940</v>
      </c>
      <c r="I1564" s="102">
        <v>67.8</v>
      </c>
      <c r="J1564" s="102">
        <v>83.39</v>
      </c>
      <c r="K1564" s="101" t="s">
        <v>2941</v>
      </c>
      <c r="L1564" s="102">
        <v>23.0</v>
      </c>
      <c r="M1564" s="13"/>
    </row>
    <row r="1565">
      <c r="A1565" s="101" t="s">
        <v>4205</v>
      </c>
      <c r="B1565" s="101">
        <v>1993.0</v>
      </c>
      <c r="C1565" s="13"/>
      <c r="D1565" s="13"/>
      <c r="E1565" s="13"/>
      <c r="F1565" s="13"/>
      <c r="G1565" s="102">
        <v>2.0</v>
      </c>
      <c r="H1565" s="101" t="s">
        <v>2942</v>
      </c>
      <c r="I1565" s="102">
        <v>67.8</v>
      </c>
      <c r="J1565" s="102">
        <v>83.39</v>
      </c>
      <c r="K1565" s="101" t="s">
        <v>2941</v>
      </c>
      <c r="L1565" s="102">
        <v>23.0</v>
      </c>
      <c r="M1565" s="13"/>
    </row>
    <row r="1566">
      <c r="A1566" s="101" t="s">
        <v>4206</v>
      </c>
      <c r="B1566" s="101">
        <v>313.0</v>
      </c>
      <c r="C1566" s="13"/>
      <c r="D1566" s="13"/>
      <c r="E1566" s="13"/>
      <c r="F1566" s="13"/>
      <c r="G1566" s="102">
        <v>1.0</v>
      </c>
      <c r="H1566" s="101" t="s">
        <v>2940</v>
      </c>
      <c r="I1566" s="102">
        <v>265.93</v>
      </c>
      <c r="J1566" s="102">
        <v>327.09</v>
      </c>
      <c r="K1566" s="101" t="s">
        <v>2941</v>
      </c>
      <c r="L1566" s="102">
        <v>23.0</v>
      </c>
      <c r="M1566" s="13"/>
    </row>
    <row r="1567">
      <c r="A1567" s="101" t="s">
        <v>4206</v>
      </c>
      <c r="B1567" s="101">
        <v>313.0</v>
      </c>
      <c r="C1567" s="13"/>
      <c r="D1567" s="13"/>
      <c r="E1567" s="13"/>
      <c r="F1567" s="13"/>
      <c r="G1567" s="102">
        <v>2.0</v>
      </c>
      <c r="H1567" s="101" t="s">
        <v>2942</v>
      </c>
      <c r="I1567" s="102">
        <v>265.9</v>
      </c>
      <c r="J1567" s="102">
        <v>327.06</v>
      </c>
      <c r="K1567" s="101" t="s">
        <v>2941</v>
      </c>
      <c r="L1567" s="102">
        <v>23.0</v>
      </c>
      <c r="M1567" s="13"/>
    </row>
    <row r="1568">
      <c r="A1568" s="101" t="s">
        <v>4207</v>
      </c>
      <c r="B1568" s="101" t="s">
        <v>4208</v>
      </c>
      <c r="D1568" s="13"/>
      <c r="E1568" s="13"/>
      <c r="F1568" s="13"/>
      <c r="G1568" s="102">
        <v>1.0</v>
      </c>
      <c r="H1568" s="101" t="s">
        <v>2940</v>
      </c>
      <c r="I1568" s="102">
        <v>177.4</v>
      </c>
      <c r="J1568" s="102">
        <v>218.2</v>
      </c>
      <c r="K1568" s="101" t="s">
        <v>2941</v>
      </c>
      <c r="L1568" s="102">
        <v>23.0</v>
      </c>
      <c r="M1568" s="13"/>
    </row>
    <row r="1569">
      <c r="A1569" s="101" t="s">
        <v>4207</v>
      </c>
      <c r="B1569" s="101" t="s">
        <v>4208</v>
      </c>
      <c r="D1569" s="13"/>
      <c r="E1569" s="13"/>
      <c r="F1569" s="13"/>
      <c r="G1569" s="102">
        <v>2.0</v>
      </c>
      <c r="H1569" s="101" t="s">
        <v>2942</v>
      </c>
      <c r="I1569" s="102">
        <v>141.9</v>
      </c>
      <c r="J1569" s="102">
        <v>174.54</v>
      </c>
      <c r="K1569" s="101" t="s">
        <v>2941</v>
      </c>
      <c r="L1569" s="102">
        <v>23.0</v>
      </c>
      <c r="M1569" s="13"/>
    </row>
    <row r="1570">
      <c r="A1570" s="101" t="s">
        <v>4209</v>
      </c>
      <c r="B1570" s="101" t="s">
        <v>4210</v>
      </c>
      <c r="D1570" s="13"/>
      <c r="E1570" s="13"/>
      <c r="F1570" s="13"/>
      <c r="G1570" s="102">
        <v>1.0</v>
      </c>
      <c r="H1570" s="101" t="s">
        <v>2940</v>
      </c>
      <c r="I1570" s="102">
        <v>354.88</v>
      </c>
      <c r="J1570" s="102">
        <v>436.5</v>
      </c>
      <c r="K1570" s="101" t="s">
        <v>2941</v>
      </c>
      <c r="L1570" s="102">
        <v>23.0</v>
      </c>
      <c r="M1570" s="13"/>
    </row>
    <row r="1571">
      <c r="A1571" s="101" t="s">
        <v>4209</v>
      </c>
      <c r="B1571" s="101" t="s">
        <v>4210</v>
      </c>
      <c r="D1571" s="13"/>
      <c r="E1571" s="13"/>
      <c r="F1571" s="13"/>
      <c r="G1571" s="102">
        <v>2.0</v>
      </c>
      <c r="H1571" s="101" t="s">
        <v>2942</v>
      </c>
      <c r="I1571" s="102">
        <v>283.9</v>
      </c>
      <c r="J1571" s="102">
        <v>349.2</v>
      </c>
      <c r="K1571" s="101" t="s">
        <v>2941</v>
      </c>
      <c r="L1571" s="102">
        <v>23.0</v>
      </c>
      <c r="M1571" s="13"/>
    </row>
    <row r="1572">
      <c r="A1572" s="101" t="s">
        <v>4211</v>
      </c>
      <c r="B1572" s="101" t="s">
        <v>4212</v>
      </c>
      <c r="D1572" s="13"/>
      <c r="E1572" s="13"/>
      <c r="F1572" s="13"/>
      <c r="G1572" s="102">
        <v>1.0</v>
      </c>
      <c r="H1572" s="101" t="s">
        <v>2940</v>
      </c>
      <c r="I1572" s="102">
        <v>417.32</v>
      </c>
      <c r="J1572" s="102">
        <v>513.3</v>
      </c>
      <c r="K1572" s="101" t="s">
        <v>2941</v>
      </c>
      <c r="L1572" s="102">
        <v>23.0</v>
      </c>
      <c r="M1572" s="13"/>
    </row>
    <row r="1573">
      <c r="A1573" s="101" t="s">
        <v>4211</v>
      </c>
      <c r="B1573" s="101" t="s">
        <v>4212</v>
      </c>
      <c r="D1573" s="13"/>
      <c r="E1573" s="13"/>
      <c r="F1573" s="13"/>
      <c r="G1573" s="102">
        <v>2.0</v>
      </c>
      <c r="H1573" s="101" t="s">
        <v>2942</v>
      </c>
      <c r="I1573" s="102">
        <v>333.9</v>
      </c>
      <c r="J1573" s="102">
        <v>410.7</v>
      </c>
      <c r="K1573" s="101" t="s">
        <v>2941</v>
      </c>
      <c r="L1573" s="102">
        <v>23.0</v>
      </c>
      <c r="M1573" s="13"/>
    </row>
    <row r="1574">
      <c r="A1574" s="101" t="s">
        <v>4213</v>
      </c>
      <c r="B1574" s="101" t="s">
        <v>4214</v>
      </c>
      <c r="D1574" s="13"/>
      <c r="E1574" s="13"/>
      <c r="F1574" s="13"/>
      <c r="G1574" s="102">
        <v>1.0</v>
      </c>
      <c r="H1574" s="101" t="s">
        <v>2940</v>
      </c>
      <c r="I1574" s="102">
        <v>532.28</v>
      </c>
      <c r="J1574" s="102">
        <v>654.7</v>
      </c>
      <c r="K1574" s="101" t="s">
        <v>2941</v>
      </c>
      <c r="L1574" s="102">
        <v>23.0</v>
      </c>
      <c r="M1574" s="13"/>
    </row>
    <row r="1575">
      <c r="A1575" s="101" t="s">
        <v>4213</v>
      </c>
      <c r="B1575" s="101" t="s">
        <v>4214</v>
      </c>
      <c r="D1575" s="13"/>
      <c r="E1575" s="13"/>
      <c r="F1575" s="13"/>
      <c r="G1575" s="102">
        <v>2.0</v>
      </c>
      <c r="H1575" s="101" t="s">
        <v>2942</v>
      </c>
      <c r="I1575" s="102">
        <v>425.8</v>
      </c>
      <c r="J1575" s="102">
        <v>523.73</v>
      </c>
      <c r="K1575" s="101" t="s">
        <v>2941</v>
      </c>
      <c r="L1575" s="102">
        <v>23.0</v>
      </c>
      <c r="M1575" s="13"/>
    </row>
    <row r="1576">
      <c r="A1576" s="101" t="s">
        <v>4215</v>
      </c>
      <c r="B1576" s="101" t="s">
        <v>4216</v>
      </c>
      <c r="D1576" s="13"/>
      <c r="E1576" s="13"/>
      <c r="F1576" s="13"/>
      <c r="G1576" s="102">
        <v>1.0</v>
      </c>
      <c r="H1576" s="101" t="s">
        <v>2940</v>
      </c>
      <c r="I1576" s="102">
        <v>81.3</v>
      </c>
      <c r="J1576" s="102">
        <v>100.0</v>
      </c>
      <c r="K1576" s="101" t="s">
        <v>2941</v>
      </c>
      <c r="L1576" s="102">
        <v>23.0</v>
      </c>
      <c r="M1576" s="13"/>
    </row>
    <row r="1577">
      <c r="A1577" s="101" t="s">
        <v>4215</v>
      </c>
      <c r="B1577" s="101" t="s">
        <v>4216</v>
      </c>
      <c r="D1577" s="13"/>
      <c r="E1577" s="13"/>
      <c r="F1577" s="13"/>
      <c r="G1577" s="102">
        <v>2.0</v>
      </c>
      <c r="H1577" s="101" t="s">
        <v>2942</v>
      </c>
      <c r="I1577" s="102">
        <v>168.86</v>
      </c>
      <c r="J1577" s="102">
        <v>207.7</v>
      </c>
      <c r="K1577" s="101" t="s">
        <v>2941</v>
      </c>
      <c r="L1577" s="102">
        <v>23.0</v>
      </c>
      <c r="M1577" s="13"/>
    </row>
    <row r="1578">
      <c r="A1578" s="101" t="s">
        <v>4217</v>
      </c>
      <c r="B1578" s="101" t="s">
        <v>4218</v>
      </c>
      <c r="D1578" s="13"/>
      <c r="E1578" s="13"/>
      <c r="F1578" s="13"/>
      <c r="G1578" s="102">
        <v>1.0</v>
      </c>
      <c r="H1578" s="101" t="s">
        <v>2940</v>
      </c>
      <c r="I1578" s="102">
        <v>105.69</v>
      </c>
      <c r="J1578" s="102">
        <v>130.0</v>
      </c>
      <c r="K1578" s="101" t="s">
        <v>2941</v>
      </c>
      <c r="L1578" s="102">
        <v>23.0</v>
      </c>
      <c r="M1578" s="13"/>
    </row>
    <row r="1579">
      <c r="A1579" s="101" t="s">
        <v>4217</v>
      </c>
      <c r="B1579" s="101" t="s">
        <v>4218</v>
      </c>
      <c r="D1579" s="13"/>
      <c r="E1579" s="13"/>
      <c r="F1579" s="13"/>
      <c r="G1579" s="102">
        <v>2.0</v>
      </c>
      <c r="H1579" s="101" t="s">
        <v>2942</v>
      </c>
      <c r="I1579" s="102">
        <v>84.6</v>
      </c>
      <c r="J1579" s="102">
        <v>104.06</v>
      </c>
      <c r="K1579" s="101" t="s">
        <v>2941</v>
      </c>
      <c r="L1579" s="102">
        <v>23.0</v>
      </c>
      <c r="M1579" s="13"/>
    </row>
    <row r="1580">
      <c r="A1580" s="101" t="s">
        <v>4219</v>
      </c>
      <c r="B1580" s="101" t="s">
        <v>4220</v>
      </c>
      <c r="D1580" s="13"/>
      <c r="E1580" s="13"/>
      <c r="F1580" s="13"/>
      <c r="G1580" s="102">
        <v>1.0</v>
      </c>
      <c r="H1580" s="101" t="s">
        <v>2940</v>
      </c>
      <c r="I1580" s="102">
        <v>211.22</v>
      </c>
      <c r="J1580" s="102">
        <v>259.8</v>
      </c>
      <c r="K1580" s="101" t="s">
        <v>2941</v>
      </c>
      <c r="L1580" s="102">
        <v>23.0</v>
      </c>
      <c r="M1580" s="13"/>
    </row>
    <row r="1581">
      <c r="A1581" s="101" t="s">
        <v>4219</v>
      </c>
      <c r="B1581" s="101" t="s">
        <v>4220</v>
      </c>
      <c r="D1581" s="13"/>
      <c r="E1581" s="13"/>
      <c r="F1581" s="13"/>
      <c r="G1581" s="102">
        <v>2.0</v>
      </c>
      <c r="H1581" s="101" t="s">
        <v>2942</v>
      </c>
      <c r="I1581" s="102">
        <v>169.0</v>
      </c>
      <c r="J1581" s="102">
        <v>207.87</v>
      </c>
      <c r="K1581" s="101" t="s">
        <v>2941</v>
      </c>
      <c r="L1581" s="102">
        <v>23.0</v>
      </c>
      <c r="M1581" s="13"/>
    </row>
    <row r="1582">
      <c r="A1582" s="101" t="s">
        <v>4221</v>
      </c>
      <c r="B1582" s="101" t="s">
        <v>4222</v>
      </c>
      <c r="D1582" s="13"/>
      <c r="E1582" s="13"/>
      <c r="F1582" s="13"/>
      <c r="G1582" s="102">
        <v>1.0</v>
      </c>
      <c r="H1582" s="101" t="s">
        <v>2940</v>
      </c>
      <c r="I1582" s="102">
        <v>316.91</v>
      </c>
      <c r="J1582" s="102">
        <v>389.8</v>
      </c>
      <c r="K1582" s="101" t="s">
        <v>2941</v>
      </c>
      <c r="L1582" s="102">
        <v>23.0</v>
      </c>
      <c r="M1582" s="13"/>
    </row>
    <row r="1583">
      <c r="A1583" s="101" t="s">
        <v>4221</v>
      </c>
      <c r="B1583" s="101" t="s">
        <v>4222</v>
      </c>
      <c r="D1583" s="13"/>
      <c r="E1583" s="13"/>
      <c r="F1583" s="13"/>
      <c r="G1583" s="102">
        <v>2.0</v>
      </c>
      <c r="H1583" s="101" t="s">
        <v>2942</v>
      </c>
      <c r="I1583" s="102">
        <v>253.5</v>
      </c>
      <c r="J1583" s="102">
        <v>311.81</v>
      </c>
      <c r="K1583" s="101" t="s">
        <v>2941</v>
      </c>
      <c r="L1583" s="102">
        <v>23.0</v>
      </c>
      <c r="M1583" s="13"/>
    </row>
    <row r="1584">
      <c r="A1584" s="101" t="s">
        <v>4223</v>
      </c>
      <c r="B1584" s="101" t="s">
        <v>4224</v>
      </c>
      <c r="D1584" s="13"/>
      <c r="E1584" s="13"/>
      <c r="F1584" s="13"/>
      <c r="G1584" s="102">
        <v>1.0</v>
      </c>
      <c r="H1584" s="101" t="s">
        <v>2940</v>
      </c>
      <c r="I1584" s="102">
        <v>37.89</v>
      </c>
      <c r="J1584" s="102">
        <v>46.6</v>
      </c>
      <c r="K1584" s="101" t="s">
        <v>2941</v>
      </c>
      <c r="L1584" s="102">
        <v>23.0</v>
      </c>
      <c r="M1584" s="13"/>
    </row>
    <row r="1585">
      <c r="A1585" s="101" t="s">
        <v>4223</v>
      </c>
      <c r="B1585" s="101" t="s">
        <v>4224</v>
      </c>
      <c r="D1585" s="13"/>
      <c r="E1585" s="13"/>
      <c r="F1585" s="13"/>
      <c r="G1585" s="102">
        <v>2.0</v>
      </c>
      <c r="H1585" s="101" t="s">
        <v>2942</v>
      </c>
      <c r="I1585" s="102">
        <v>30.3</v>
      </c>
      <c r="J1585" s="102">
        <v>37.27</v>
      </c>
      <c r="K1585" s="101" t="s">
        <v>2941</v>
      </c>
      <c r="L1585" s="102">
        <v>23.0</v>
      </c>
      <c r="M1585" s="13"/>
    </row>
    <row r="1586">
      <c r="A1586" s="101" t="s">
        <v>4225</v>
      </c>
      <c r="B1586" s="101" t="s">
        <v>4226</v>
      </c>
      <c r="D1586" s="13"/>
      <c r="E1586" s="13"/>
      <c r="F1586" s="13"/>
      <c r="G1586" s="102">
        <v>1.0</v>
      </c>
      <c r="H1586" s="101" t="s">
        <v>2940</v>
      </c>
      <c r="I1586" s="102">
        <v>75.77</v>
      </c>
      <c r="J1586" s="102">
        <v>93.2</v>
      </c>
      <c r="K1586" s="101" t="s">
        <v>2941</v>
      </c>
      <c r="L1586" s="102">
        <v>23.0</v>
      </c>
      <c r="M1586" s="13"/>
    </row>
    <row r="1587">
      <c r="A1587" s="101" t="s">
        <v>4225</v>
      </c>
      <c r="B1587" s="101" t="s">
        <v>4226</v>
      </c>
      <c r="D1587" s="13"/>
      <c r="E1587" s="13"/>
      <c r="F1587" s="13"/>
      <c r="G1587" s="102">
        <v>2.0</v>
      </c>
      <c r="H1587" s="101" t="s">
        <v>2942</v>
      </c>
      <c r="I1587" s="102">
        <v>60.6</v>
      </c>
      <c r="J1587" s="102">
        <v>74.54</v>
      </c>
      <c r="K1587" s="101" t="s">
        <v>2941</v>
      </c>
      <c r="L1587" s="102">
        <v>23.0</v>
      </c>
      <c r="M1587" s="13"/>
    </row>
    <row r="1588">
      <c r="A1588" s="101" t="s">
        <v>4227</v>
      </c>
      <c r="B1588" s="101" t="s">
        <v>4228</v>
      </c>
      <c r="D1588" s="13"/>
      <c r="E1588" s="13"/>
      <c r="F1588" s="13"/>
      <c r="G1588" s="102">
        <v>1.0</v>
      </c>
      <c r="H1588" s="101" t="s">
        <v>2940</v>
      </c>
      <c r="I1588" s="102">
        <v>42.68</v>
      </c>
      <c r="J1588" s="102">
        <v>52.5</v>
      </c>
      <c r="K1588" s="101" t="s">
        <v>2941</v>
      </c>
      <c r="L1588" s="102">
        <v>23.0</v>
      </c>
      <c r="M1588" s="13"/>
    </row>
    <row r="1589">
      <c r="A1589" s="101" t="s">
        <v>4227</v>
      </c>
      <c r="B1589" s="101" t="s">
        <v>4228</v>
      </c>
      <c r="D1589" s="13"/>
      <c r="E1589" s="13"/>
      <c r="F1589" s="13"/>
      <c r="G1589" s="102">
        <v>2.0</v>
      </c>
      <c r="H1589" s="101" t="s">
        <v>2942</v>
      </c>
      <c r="I1589" s="102">
        <v>34.1</v>
      </c>
      <c r="J1589" s="102">
        <v>41.94</v>
      </c>
      <c r="K1589" s="101" t="s">
        <v>2941</v>
      </c>
      <c r="L1589" s="102">
        <v>23.0</v>
      </c>
      <c r="M1589" s="13"/>
    </row>
    <row r="1590">
      <c r="A1590" s="101" t="s">
        <v>4229</v>
      </c>
      <c r="B1590" s="101" t="s">
        <v>4230</v>
      </c>
      <c r="D1590" s="13"/>
      <c r="E1590" s="13"/>
      <c r="F1590" s="13"/>
      <c r="G1590" s="102">
        <v>1.0</v>
      </c>
      <c r="H1590" s="101" t="s">
        <v>2940</v>
      </c>
      <c r="I1590" s="102">
        <v>85.28</v>
      </c>
      <c r="J1590" s="102">
        <v>104.89</v>
      </c>
      <c r="K1590" s="101" t="s">
        <v>2941</v>
      </c>
      <c r="L1590" s="102">
        <v>23.0</v>
      </c>
      <c r="M1590" s="13"/>
    </row>
    <row r="1591">
      <c r="A1591" s="101" t="s">
        <v>4229</v>
      </c>
      <c r="B1591" s="101" t="s">
        <v>4230</v>
      </c>
      <c r="D1591" s="13"/>
      <c r="E1591" s="13"/>
      <c r="F1591" s="13"/>
      <c r="G1591" s="102">
        <v>2.0</v>
      </c>
      <c r="H1591" s="101" t="s">
        <v>2942</v>
      </c>
      <c r="I1591" s="102">
        <v>68.2</v>
      </c>
      <c r="J1591" s="102">
        <v>83.89</v>
      </c>
      <c r="K1591" s="101" t="s">
        <v>2941</v>
      </c>
      <c r="L1591" s="102">
        <v>23.0</v>
      </c>
      <c r="M1591" s="13"/>
    </row>
    <row r="1592">
      <c r="A1592" s="101" t="s">
        <v>4231</v>
      </c>
      <c r="B1592" s="101" t="s">
        <v>4232</v>
      </c>
      <c r="D1592" s="13"/>
      <c r="E1592" s="13"/>
      <c r="F1592" s="13"/>
      <c r="G1592" s="102">
        <v>1.0</v>
      </c>
      <c r="H1592" s="101" t="s">
        <v>2940</v>
      </c>
      <c r="I1592" s="102">
        <v>142.2</v>
      </c>
      <c r="J1592" s="102">
        <v>174.91</v>
      </c>
      <c r="K1592" s="101" t="s">
        <v>2941</v>
      </c>
      <c r="L1592" s="102">
        <v>23.0</v>
      </c>
      <c r="M1592" s="13"/>
    </row>
    <row r="1593">
      <c r="A1593" s="101" t="s">
        <v>4231</v>
      </c>
      <c r="B1593" s="101" t="s">
        <v>4232</v>
      </c>
      <c r="D1593" s="13"/>
      <c r="E1593" s="13"/>
      <c r="F1593" s="13"/>
      <c r="G1593" s="102">
        <v>2.0</v>
      </c>
      <c r="H1593" s="101" t="s">
        <v>2942</v>
      </c>
      <c r="I1593" s="102">
        <v>142.2</v>
      </c>
      <c r="J1593" s="102">
        <v>174.91</v>
      </c>
      <c r="K1593" s="101" t="s">
        <v>2941</v>
      </c>
      <c r="L1593" s="102">
        <v>23.0</v>
      </c>
      <c r="M1593" s="13"/>
    </row>
    <row r="1594">
      <c r="A1594" s="101" t="s">
        <v>4233</v>
      </c>
      <c r="B1594" s="101" t="s">
        <v>4234</v>
      </c>
      <c r="D1594" s="13"/>
      <c r="E1594" s="13"/>
      <c r="F1594" s="13"/>
      <c r="G1594" s="102">
        <v>1.0</v>
      </c>
      <c r="H1594" s="101" t="s">
        <v>2940</v>
      </c>
      <c r="I1594" s="102">
        <v>45.61</v>
      </c>
      <c r="J1594" s="102">
        <v>56.1</v>
      </c>
      <c r="K1594" s="101" t="s">
        <v>2941</v>
      </c>
      <c r="L1594" s="102">
        <v>23.0</v>
      </c>
      <c r="M1594" s="13"/>
    </row>
    <row r="1595">
      <c r="A1595" s="101" t="s">
        <v>4233</v>
      </c>
      <c r="B1595" s="101" t="s">
        <v>4234</v>
      </c>
      <c r="D1595" s="13"/>
      <c r="E1595" s="13"/>
      <c r="F1595" s="13"/>
      <c r="G1595" s="102">
        <v>2.0</v>
      </c>
      <c r="H1595" s="101" t="s">
        <v>2942</v>
      </c>
      <c r="I1595" s="102">
        <v>36.5</v>
      </c>
      <c r="J1595" s="102">
        <v>44.9</v>
      </c>
      <c r="K1595" s="101" t="s">
        <v>2941</v>
      </c>
      <c r="L1595" s="102">
        <v>23.0</v>
      </c>
      <c r="M1595" s="13"/>
    </row>
    <row r="1596">
      <c r="A1596" s="101" t="s">
        <v>4235</v>
      </c>
      <c r="B1596" s="101" t="s">
        <v>4236</v>
      </c>
      <c r="D1596" s="13"/>
      <c r="E1596" s="13"/>
      <c r="F1596" s="13"/>
      <c r="G1596" s="102">
        <v>1.0</v>
      </c>
      <c r="H1596" s="101" t="s">
        <v>2940</v>
      </c>
      <c r="I1596" s="102">
        <v>91.14</v>
      </c>
      <c r="J1596" s="102">
        <v>112.1</v>
      </c>
      <c r="K1596" s="101" t="s">
        <v>2941</v>
      </c>
      <c r="L1596" s="102">
        <v>23.0</v>
      </c>
      <c r="M1596" s="13"/>
    </row>
    <row r="1597">
      <c r="A1597" s="101" t="s">
        <v>4235</v>
      </c>
      <c r="B1597" s="101" t="s">
        <v>4236</v>
      </c>
      <c r="D1597" s="13"/>
      <c r="E1597" s="13"/>
      <c r="F1597" s="13"/>
      <c r="G1597" s="102">
        <v>2.0</v>
      </c>
      <c r="H1597" s="101" t="s">
        <v>2942</v>
      </c>
      <c r="I1597" s="102">
        <v>72.9</v>
      </c>
      <c r="J1597" s="102">
        <v>89.67</v>
      </c>
      <c r="K1597" s="101" t="s">
        <v>2941</v>
      </c>
      <c r="L1597" s="102">
        <v>23.0</v>
      </c>
      <c r="M1597" s="13"/>
    </row>
    <row r="1598">
      <c r="A1598" s="101" t="s">
        <v>4237</v>
      </c>
      <c r="B1598" s="101" t="s">
        <v>4238</v>
      </c>
      <c r="D1598" s="13"/>
      <c r="E1598" s="13"/>
      <c r="F1598" s="13"/>
      <c r="G1598" s="102">
        <v>1.0</v>
      </c>
      <c r="H1598" s="101" t="s">
        <v>2940</v>
      </c>
      <c r="I1598" s="102">
        <v>136.83</v>
      </c>
      <c r="J1598" s="102">
        <v>168.3</v>
      </c>
      <c r="K1598" s="101" t="s">
        <v>2941</v>
      </c>
      <c r="L1598" s="102">
        <v>23.0</v>
      </c>
      <c r="M1598" s="13"/>
    </row>
    <row r="1599">
      <c r="A1599" s="101" t="s">
        <v>4237</v>
      </c>
      <c r="B1599" s="101" t="s">
        <v>4238</v>
      </c>
      <c r="D1599" s="13"/>
      <c r="E1599" s="13"/>
      <c r="F1599" s="13"/>
      <c r="G1599" s="102">
        <v>2.0</v>
      </c>
      <c r="H1599" s="101" t="s">
        <v>2942</v>
      </c>
      <c r="I1599" s="102">
        <v>109.5</v>
      </c>
      <c r="J1599" s="102">
        <v>134.69</v>
      </c>
      <c r="K1599" s="101" t="s">
        <v>2941</v>
      </c>
      <c r="L1599" s="102">
        <v>23.0</v>
      </c>
      <c r="M1599" s="13"/>
    </row>
    <row r="1600">
      <c r="A1600" s="101" t="s">
        <v>4239</v>
      </c>
      <c r="B1600" s="101" t="s">
        <v>4240</v>
      </c>
      <c r="D1600" s="13"/>
      <c r="E1600" s="13"/>
      <c r="F1600" s="13"/>
      <c r="G1600" s="102">
        <v>1.0</v>
      </c>
      <c r="H1600" s="101" t="s">
        <v>2940</v>
      </c>
      <c r="I1600" s="102">
        <v>37.32</v>
      </c>
      <c r="J1600" s="102">
        <v>45.9</v>
      </c>
      <c r="K1600" s="101" t="s">
        <v>2941</v>
      </c>
      <c r="L1600" s="102">
        <v>23.0</v>
      </c>
      <c r="M1600" s="13"/>
    </row>
    <row r="1601">
      <c r="A1601" s="101" t="s">
        <v>4239</v>
      </c>
      <c r="B1601" s="101" t="s">
        <v>4240</v>
      </c>
      <c r="D1601" s="13"/>
      <c r="E1601" s="13"/>
      <c r="F1601" s="13"/>
      <c r="G1601" s="102">
        <v>2.0</v>
      </c>
      <c r="H1601" s="101" t="s">
        <v>2942</v>
      </c>
      <c r="I1601" s="102">
        <v>29.9</v>
      </c>
      <c r="J1601" s="102">
        <v>36.78</v>
      </c>
      <c r="K1601" s="101" t="s">
        <v>2941</v>
      </c>
      <c r="L1601" s="102">
        <v>23.0</v>
      </c>
      <c r="M1601" s="13"/>
    </row>
    <row r="1602">
      <c r="A1602" s="101" t="s">
        <v>4241</v>
      </c>
      <c r="B1602" s="101" t="s">
        <v>4242</v>
      </c>
      <c r="D1602" s="13"/>
      <c r="E1602" s="13"/>
      <c r="F1602" s="13"/>
      <c r="G1602" s="102">
        <v>1.0</v>
      </c>
      <c r="H1602" s="101" t="s">
        <v>2940</v>
      </c>
      <c r="I1602" s="102">
        <v>74.63</v>
      </c>
      <c r="J1602" s="102">
        <v>91.79</v>
      </c>
      <c r="K1602" s="101" t="s">
        <v>2941</v>
      </c>
      <c r="L1602" s="102">
        <v>23.0</v>
      </c>
      <c r="M1602" s="13"/>
    </row>
    <row r="1603">
      <c r="A1603" s="101" t="s">
        <v>4241</v>
      </c>
      <c r="B1603" s="101" t="s">
        <v>4242</v>
      </c>
      <c r="D1603" s="13"/>
      <c r="E1603" s="13"/>
      <c r="F1603" s="13"/>
      <c r="G1603" s="102">
        <v>2.0</v>
      </c>
      <c r="H1603" s="101" t="s">
        <v>2942</v>
      </c>
      <c r="I1603" s="102">
        <v>59.7</v>
      </c>
      <c r="J1603" s="102">
        <v>73.43</v>
      </c>
      <c r="K1603" s="101" t="s">
        <v>2941</v>
      </c>
      <c r="L1603" s="102">
        <v>23.0</v>
      </c>
      <c r="M1603" s="13"/>
    </row>
    <row r="1604">
      <c r="A1604" s="101" t="s">
        <v>4243</v>
      </c>
      <c r="B1604" s="101" t="s">
        <v>4244</v>
      </c>
      <c r="D1604" s="13"/>
      <c r="E1604" s="13"/>
      <c r="F1604" s="13"/>
      <c r="G1604" s="102">
        <v>1.0</v>
      </c>
      <c r="H1604" s="101" t="s">
        <v>2940</v>
      </c>
      <c r="I1604" s="102">
        <v>51.3</v>
      </c>
      <c r="J1604" s="102">
        <v>63.1</v>
      </c>
      <c r="K1604" s="101" t="s">
        <v>2941</v>
      </c>
      <c r="L1604" s="102">
        <v>23.0</v>
      </c>
      <c r="M1604" s="13"/>
    </row>
    <row r="1605">
      <c r="A1605" s="101" t="s">
        <v>4243</v>
      </c>
      <c r="B1605" s="101" t="s">
        <v>4244</v>
      </c>
      <c r="D1605" s="13"/>
      <c r="E1605" s="13"/>
      <c r="F1605" s="13"/>
      <c r="G1605" s="102">
        <v>2.0</v>
      </c>
      <c r="H1605" s="101" t="s">
        <v>2942</v>
      </c>
      <c r="I1605" s="102">
        <v>41.0</v>
      </c>
      <c r="J1605" s="102">
        <v>50.43</v>
      </c>
      <c r="K1605" s="101" t="s">
        <v>2941</v>
      </c>
      <c r="L1605" s="102">
        <v>23.0</v>
      </c>
      <c r="M1605" s="13"/>
    </row>
    <row r="1606">
      <c r="A1606" s="101" t="s">
        <v>4245</v>
      </c>
      <c r="B1606" s="101" t="s">
        <v>4246</v>
      </c>
      <c r="D1606" s="13"/>
      <c r="E1606" s="13"/>
      <c r="F1606" s="13"/>
      <c r="G1606" s="102">
        <v>1.0</v>
      </c>
      <c r="H1606" s="101" t="s">
        <v>2940</v>
      </c>
      <c r="I1606" s="102">
        <v>102.68</v>
      </c>
      <c r="J1606" s="102">
        <v>126.3</v>
      </c>
      <c r="K1606" s="101" t="s">
        <v>2941</v>
      </c>
      <c r="L1606" s="102">
        <v>23.0</v>
      </c>
      <c r="M1606" s="13"/>
    </row>
    <row r="1607">
      <c r="A1607" s="101" t="s">
        <v>4245</v>
      </c>
      <c r="B1607" s="101" t="s">
        <v>4246</v>
      </c>
      <c r="D1607" s="13"/>
      <c r="E1607" s="13"/>
      <c r="F1607" s="13"/>
      <c r="G1607" s="102">
        <v>2.0</v>
      </c>
      <c r="H1607" s="101" t="s">
        <v>2942</v>
      </c>
      <c r="I1607" s="102">
        <v>82.1</v>
      </c>
      <c r="J1607" s="102">
        <v>100.98</v>
      </c>
      <c r="K1607" s="101" t="s">
        <v>2941</v>
      </c>
      <c r="L1607" s="102">
        <v>23.0</v>
      </c>
      <c r="M1607" s="13"/>
    </row>
    <row r="1608">
      <c r="A1608" s="101" t="s">
        <v>4247</v>
      </c>
      <c r="B1608" s="101" t="s">
        <v>4248</v>
      </c>
      <c r="D1608" s="13"/>
      <c r="E1608" s="13"/>
      <c r="F1608" s="13"/>
      <c r="G1608" s="102">
        <v>1.0</v>
      </c>
      <c r="H1608" s="101" t="s">
        <v>2940</v>
      </c>
      <c r="I1608" s="102">
        <v>153.98</v>
      </c>
      <c r="J1608" s="102">
        <v>189.4</v>
      </c>
      <c r="K1608" s="101" t="s">
        <v>2941</v>
      </c>
      <c r="L1608" s="102">
        <v>23.0</v>
      </c>
      <c r="M1608" s="13"/>
    </row>
    <row r="1609">
      <c r="A1609" s="101" t="s">
        <v>4247</v>
      </c>
      <c r="B1609" s="101" t="s">
        <v>4248</v>
      </c>
      <c r="D1609" s="13"/>
      <c r="E1609" s="13"/>
      <c r="F1609" s="13"/>
      <c r="G1609" s="102">
        <v>2.0</v>
      </c>
      <c r="H1609" s="101" t="s">
        <v>2942</v>
      </c>
      <c r="I1609" s="102">
        <v>123.2</v>
      </c>
      <c r="J1609" s="102">
        <v>151.54</v>
      </c>
      <c r="K1609" s="101" t="s">
        <v>2941</v>
      </c>
      <c r="L1609" s="102">
        <v>23.0</v>
      </c>
      <c r="M1609" s="13"/>
    </row>
    <row r="1610">
      <c r="A1610" s="101" t="s">
        <v>4249</v>
      </c>
      <c r="B1610" s="101" t="s">
        <v>4250</v>
      </c>
      <c r="D1610" s="13"/>
      <c r="E1610" s="13"/>
      <c r="F1610" s="13"/>
      <c r="G1610" s="102">
        <v>1.0</v>
      </c>
      <c r="H1610" s="101" t="s">
        <v>2940</v>
      </c>
      <c r="I1610" s="102">
        <v>16.67</v>
      </c>
      <c r="J1610" s="102">
        <v>20.5</v>
      </c>
      <c r="K1610" s="101" t="s">
        <v>2941</v>
      </c>
      <c r="L1610" s="102">
        <v>23.0</v>
      </c>
      <c r="M1610" s="13"/>
    </row>
    <row r="1611">
      <c r="A1611" s="101" t="s">
        <v>4249</v>
      </c>
      <c r="B1611" s="101" t="s">
        <v>4250</v>
      </c>
      <c r="D1611" s="13"/>
      <c r="E1611" s="13"/>
      <c r="F1611" s="13"/>
      <c r="G1611" s="102">
        <v>2.0</v>
      </c>
      <c r="H1611" s="101" t="s">
        <v>2942</v>
      </c>
      <c r="I1611" s="102">
        <v>13.3</v>
      </c>
      <c r="J1611" s="102">
        <v>16.36</v>
      </c>
      <c r="K1611" s="101" t="s">
        <v>2941</v>
      </c>
      <c r="L1611" s="102">
        <v>23.0</v>
      </c>
      <c r="M1611" s="13"/>
    </row>
    <row r="1612">
      <c r="A1612" s="101" t="s">
        <v>4251</v>
      </c>
      <c r="B1612" s="101">
        <v>1299.0</v>
      </c>
      <c r="C1612" s="13"/>
      <c r="D1612" s="13"/>
      <c r="E1612" s="13"/>
      <c r="F1612" s="13"/>
      <c r="G1612" s="102">
        <v>1.0</v>
      </c>
      <c r="H1612" s="101" t="s">
        <v>2940</v>
      </c>
      <c r="I1612" s="102">
        <v>22.28</v>
      </c>
      <c r="J1612" s="102">
        <v>27.4</v>
      </c>
      <c r="K1612" s="101" t="s">
        <v>2941</v>
      </c>
      <c r="L1612" s="102">
        <v>23.0</v>
      </c>
      <c r="M1612" s="13"/>
    </row>
    <row r="1613">
      <c r="A1613" s="101" t="s">
        <v>4251</v>
      </c>
      <c r="B1613" s="101">
        <v>1299.0</v>
      </c>
      <c r="C1613" s="13"/>
      <c r="D1613" s="13"/>
      <c r="E1613" s="13"/>
      <c r="F1613" s="13"/>
      <c r="G1613" s="102">
        <v>2.0</v>
      </c>
      <c r="H1613" s="101" t="s">
        <v>2942</v>
      </c>
      <c r="I1613" s="102">
        <v>22.3</v>
      </c>
      <c r="J1613" s="102">
        <v>27.43</v>
      </c>
      <c r="K1613" s="101" t="s">
        <v>2941</v>
      </c>
      <c r="L1613" s="102">
        <v>23.0</v>
      </c>
      <c r="M1613" s="13"/>
    </row>
    <row r="1614">
      <c r="A1614" s="101" t="s">
        <v>4252</v>
      </c>
      <c r="B1614" s="101" t="s">
        <v>4253</v>
      </c>
      <c r="D1614" s="13"/>
      <c r="E1614" s="13"/>
      <c r="F1614" s="13"/>
      <c r="G1614" s="102">
        <v>1.0</v>
      </c>
      <c r="H1614" s="101" t="s">
        <v>2940</v>
      </c>
      <c r="I1614" s="102">
        <v>33.41</v>
      </c>
      <c r="J1614" s="102">
        <v>41.09</v>
      </c>
      <c r="K1614" s="101" t="s">
        <v>2941</v>
      </c>
      <c r="L1614" s="102">
        <v>23.0</v>
      </c>
      <c r="M1614" s="13"/>
    </row>
    <row r="1615">
      <c r="A1615" s="101" t="s">
        <v>4252</v>
      </c>
      <c r="B1615" s="101" t="s">
        <v>4253</v>
      </c>
      <c r="D1615" s="13"/>
      <c r="E1615" s="13"/>
      <c r="F1615" s="13"/>
      <c r="G1615" s="102">
        <v>2.0</v>
      </c>
      <c r="H1615" s="101" t="s">
        <v>2942</v>
      </c>
      <c r="I1615" s="102">
        <v>26.7</v>
      </c>
      <c r="J1615" s="102">
        <v>32.84</v>
      </c>
      <c r="K1615" s="101" t="s">
        <v>2941</v>
      </c>
      <c r="L1615" s="102">
        <v>23.0</v>
      </c>
      <c r="M1615" s="13"/>
    </row>
    <row r="1616">
      <c r="A1616" s="101" t="s">
        <v>4254</v>
      </c>
      <c r="B1616" s="101">
        <v>1300.0</v>
      </c>
      <c r="C1616" s="13"/>
      <c r="D1616" s="13"/>
      <c r="E1616" s="13"/>
      <c r="F1616" s="13"/>
      <c r="G1616" s="102">
        <v>1.0</v>
      </c>
      <c r="H1616" s="101" t="s">
        <v>2940</v>
      </c>
      <c r="I1616" s="102">
        <v>44.47</v>
      </c>
      <c r="J1616" s="102">
        <v>54.7</v>
      </c>
      <c r="K1616" s="101" t="s">
        <v>2941</v>
      </c>
      <c r="L1616" s="102">
        <v>23.0</v>
      </c>
      <c r="M1616" s="13"/>
    </row>
    <row r="1617">
      <c r="A1617" s="101" t="s">
        <v>4254</v>
      </c>
      <c r="B1617" s="101">
        <v>1300.0</v>
      </c>
      <c r="C1617" s="13"/>
      <c r="D1617" s="13"/>
      <c r="E1617" s="13"/>
      <c r="F1617" s="13"/>
      <c r="G1617" s="102">
        <v>2.0</v>
      </c>
      <c r="H1617" s="101" t="s">
        <v>2942</v>
      </c>
      <c r="I1617" s="102">
        <v>44.5</v>
      </c>
      <c r="J1617" s="102">
        <v>54.74</v>
      </c>
      <c r="K1617" s="101" t="s">
        <v>2941</v>
      </c>
      <c r="L1617" s="102">
        <v>23.0</v>
      </c>
      <c r="M1617" s="13"/>
    </row>
    <row r="1618">
      <c r="A1618" s="101" t="s">
        <v>4255</v>
      </c>
      <c r="B1618" s="101" t="s">
        <v>4256</v>
      </c>
      <c r="D1618" s="13"/>
      <c r="E1618" s="13"/>
      <c r="F1618" s="13"/>
      <c r="G1618" s="102">
        <v>1.0</v>
      </c>
      <c r="H1618" s="101" t="s">
        <v>2940</v>
      </c>
      <c r="I1618" s="102">
        <v>50.0</v>
      </c>
      <c r="J1618" s="102">
        <v>61.5</v>
      </c>
      <c r="K1618" s="101" t="s">
        <v>2941</v>
      </c>
      <c r="L1618" s="102">
        <v>23.0</v>
      </c>
      <c r="M1618" s="13"/>
    </row>
    <row r="1619">
      <c r="A1619" s="101" t="s">
        <v>4255</v>
      </c>
      <c r="B1619" s="101" t="s">
        <v>4256</v>
      </c>
      <c r="D1619" s="13"/>
      <c r="E1619" s="13"/>
      <c r="F1619" s="13"/>
      <c r="G1619" s="102">
        <v>2.0</v>
      </c>
      <c r="H1619" s="101" t="s">
        <v>2942</v>
      </c>
      <c r="I1619" s="102">
        <v>40.0</v>
      </c>
      <c r="J1619" s="102">
        <v>49.2</v>
      </c>
      <c r="K1619" s="101" t="s">
        <v>2941</v>
      </c>
      <c r="L1619" s="102">
        <v>23.0</v>
      </c>
      <c r="M1619" s="13"/>
    </row>
    <row r="1620">
      <c r="A1620" s="101" t="s">
        <v>4257</v>
      </c>
      <c r="B1620" s="101">
        <v>1301.0</v>
      </c>
      <c r="C1620" s="13"/>
      <c r="D1620" s="13"/>
      <c r="E1620" s="13"/>
      <c r="F1620" s="13"/>
      <c r="G1620" s="102">
        <v>1.0</v>
      </c>
      <c r="H1620" s="101" t="s">
        <v>2940</v>
      </c>
      <c r="I1620" s="102">
        <v>66.83</v>
      </c>
      <c r="J1620" s="102">
        <v>82.2</v>
      </c>
      <c r="K1620" s="101" t="s">
        <v>2941</v>
      </c>
      <c r="L1620" s="102">
        <v>23.0</v>
      </c>
      <c r="M1620" s="13"/>
    </row>
    <row r="1621">
      <c r="A1621" s="101" t="s">
        <v>4257</v>
      </c>
      <c r="B1621" s="101">
        <v>1301.0</v>
      </c>
      <c r="C1621" s="13"/>
      <c r="D1621" s="13"/>
      <c r="E1621" s="13"/>
      <c r="F1621" s="13"/>
      <c r="G1621" s="102">
        <v>2.0</v>
      </c>
      <c r="H1621" s="101" t="s">
        <v>2942</v>
      </c>
      <c r="I1621" s="102">
        <v>66.8</v>
      </c>
      <c r="J1621" s="102">
        <v>82.16</v>
      </c>
      <c r="K1621" s="101" t="s">
        <v>2941</v>
      </c>
      <c r="L1621" s="102">
        <v>23.0</v>
      </c>
      <c r="M1621" s="13"/>
    </row>
    <row r="1622">
      <c r="A1622" s="101" t="s">
        <v>4258</v>
      </c>
      <c r="B1622" s="101" t="s">
        <v>4259</v>
      </c>
      <c r="D1622" s="13"/>
      <c r="E1622" s="13"/>
      <c r="F1622" s="13"/>
      <c r="G1622" s="102">
        <v>1.0</v>
      </c>
      <c r="H1622" s="101" t="s">
        <v>2940</v>
      </c>
      <c r="I1622" s="102">
        <v>216.1</v>
      </c>
      <c r="J1622" s="102">
        <v>265.8</v>
      </c>
      <c r="K1622" s="101" t="s">
        <v>2941</v>
      </c>
      <c r="L1622" s="102">
        <v>23.0</v>
      </c>
      <c r="M1622" s="13"/>
    </row>
    <row r="1623">
      <c r="A1623" s="101" t="s">
        <v>4258</v>
      </c>
      <c r="B1623" s="101" t="s">
        <v>4259</v>
      </c>
      <c r="D1623" s="13"/>
      <c r="E1623" s="13"/>
      <c r="F1623" s="13"/>
      <c r="G1623" s="102">
        <v>2.0</v>
      </c>
      <c r="H1623" s="101" t="s">
        <v>2942</v>
      </c>
      <c r="I1623" s="102">
        <v>172.9</v>
      </c>
      <c r="J1623" s="102">
        <v>212.67</v>
      </c>
      <c r="K1623" s="101" t="s">
        <v>2941</v>
      </c>
      <c r="L1623" s="102">
        <v>23.0</v>
      </c>
      <c r="M1623" s="13"/>
    </row>
    <row r="1624">
      <c r="A1624" s="101" t="s">
        <v>4260</v>
      </c>
      <c r="B1624" s="101" t="s">
        <v>4261</v>
      </c>
      <c r="D1624" s="13"/>
      <c r="E1624" s="13"/>
      <c r="F1624" s="13"/>
      <c r="G1624" s="102">
        <v>1.0</v>
      </c>
      <c r="H1624" s="101" t="s">
        <v>2940</v>
      </c>
      <c r="I1624" s="102">
        <v>71.63</v>
      </c>
      <c r="J1624" s="102">
        <v>88.1</v>
      </c>
      <c r="K1624" s="101" t="s">
        <v>2941</v>
      </c>
      <c r="L1624" s="102">
        <v>23.0</v>
      </c>
      <c r="M1624" s="13"/>
    </row>
    <row r="1625">
      <c r="A1625" s="101" t="s">
        <v>4260</v>
      </c>
      <c r="B1625" s="101" t="s">
        <v>4261</v>
      </c>
      <c r="D1625" s="13"/>
      <c r="E1625" s="13"/>
      <c r="F1625" s="13"/>
      <c r="G1625" s="102">
        <v>2.0</v>
      </c>
      <c r="H1625" s="101" t="s">
        <v>2942</v>
      </c>
      <c r="I1625" s="102">
        <v>57.3</v>
      </c>
      <c r="J1625" s="102">
        <v>70.48</v>
      </c>
      <c r="K1625" s="101" t="s">
        <v>2941</v>
      </c>
      <c r="L1625" s="102">
        <v>23.0</v>
      </c>
      <c r="M1625" s="13"/>
    </row>
    <row r="1626">
      <c r="A1626" s="101" t="s">
        <v>4262</v>
      </c>
      <c r="B1626" s="101" t="s">
        <v>4263</v>
      </c>
      <c r="D1626" s="13"/>
      <c r="E1626" s="13"/>
      <c r="F1626" s="13"/>
      <c r="G1626" s="102">
        <v>1.0</v>
      </c>
      <c r="H1626" s="101" t="s">
        <v>2940</v>
      </c>
      <c r="I1626" s="102">
        <v>143.17</v>
      </c>
      <c r="J1626" s="102">
        <v>176.1</v>
      </c>
      <c r="K1626" s="101" t="s">
        <v>2941</v>
      </c>
      <c r="L1626" s="102">
        <v>23.0</v>
      </c>
      <c r="M1626" s="13"/>
    </row>
    <row r="1627">
      <c r="A1627" s="101" t="s">
        <v>4262</v>
      </c>
      <c r="B1627" s="101" t="s">
        <v>4263</v>
      </c>
      <c r="D1627" s="13"/>
      <c r="E1627" s="13"/>
      <c r="F1627" s="13"/>
      <c r="G1627" s="102">
        <v>2.0</v>
      </c>
      <c r="H1627" s="101" t="s">
        <v>2942</v>
      </c>
      <c r="I1627" s="102">
        <v>114.5</v>
      </c>
      <c r="J1627" s="102">
        <v>140.84</v>
      </c>
      <c r="K1627" s="101" t="s">
        <v>2941</v>
      </c>
      <c r="L1627" s="102">
        <v>23.0</v>
      </c>
      <c r="M1627" s="13"/>
    </row>
    <row r="1628">
      <c r="A1628" s="101" t="s">
        <v>4264</v>
      </c>
      <c r="B1628" s="101">
        <v>74.0</v>
      </c>
      <c r="C1628" s="13"/>
      <c r="D1628" s="13"/>
      <c r="E1628" s="13"/>
      <c r="F1628" s="13"/>
      <c r="G1628" s="102">
        <v>1.0</v>
      </c>
      <c r="H1628" s="101" t="s">
        <v>2940</v>
      </c>
      <c r="I1628" s="102">
        <v>238.7</v>
      </c>
      <c r="J1628" s="102">
        <v>293.6</v>
      </c>
      <c r="K1628" s="101" t="s">
        <v>2941</v>
      </c>
      <c r="L1628" s="102">
        <v>23.0</v>
      </c>
      <c r="M1628" s="13"/>
    </row>
    <row r="1629">
      <c r="A1629" s="101" t="s">
        <v>4264</v>
      </c>
      <c r="B1629" s="101">
        <v>74.0</v>
      </c>
      <c r="C1629" s="13"/>
      <c r="D1629" s="13"/>
      <c r="E1629" s="13"/>
      <c r="F1629" s="13"/>
      <c r="G1629" s="102">
        <v>2.0</v>
      </c>
      <c r="H1629" s="101" t="s">
        <v>2942</v>
      </c>
      <c r="I1629" s="102">
        <v>238.7</v>
      </c>
      <c r="J1629" s="102">
        <v>293.6</v>
      </c>
      <c r="K1629" s="101" t="s">
        <v>2941</v>
      </c>
      <c r="L1629" s="102">
        <v>23.0</v>
      </c>
      <c r="M1629" s="13"/>
    </row>
    <row r="1630">
      <c r="A1630" s="101" t="s">
        <v>4265</v>
      </c>
      <c r="B1630" s="101" t="s">
        <v>4266</v>
      </c>
      <c r="D1630" s="13"/>
      <c r="E1630" s="13"/>
      <c r="F1630" s="13"/>
      <c r="G1630" s="102">
        <v>1.0</v>
      </c>
      <c r="H1630" s="101" t="s">
        <v>2940</v>
      </c>
      <c r="I1630" s="102">
        <v>23.58</v>
      </c>
      <c r="J1630" s="102">
        <v>29.0</v>
      </c>
      <c r="K1630" s="101" t="s">
        <v>2941</v>
      </c>
      <c r="L1630" s="102">
        <v>23.0</v>
      </c>
      <c r="M1630" s="13"/>
    </row>
    <row r="1631">
      <c r="A1631" s="101" t="s">
        <v>4265</v>
      </c>
      <c r="B1631" s="101" t="s">
        <v>4266</v>
      </c>
      <c r="D1631" s="13"/>
      <c r="E1631" s="13"/>
      <c r="F1631" s="13"/>
      <c r="G1631" s="102">
        <v>2.0</v>
      </c>
      <c r="H1631" s="101" t="s">
        <v>2942</v>
      </c>
      <c r="I1631" s="102">
        <v>18.9</v>
      </c>
      <c r="J1631" s="102">
        <v>23.25</v>
      </c>
      <c r="K1631" s="101" t="s">
        <v>2941</v>
      </c>
      <c r="L1631" s="102">
        <v>23.0</v>
      </c>
      <c r="M1631" s="13"/>
    </row>
    <row r="1632">
      <c r="A1632" s="101" t="s">
        <v>4267</v>
      </c>
      <c r="B1632" s="101" t="s">
        <v>4268</v>
      </c>
      <c r="E1632" s="13"/>
      <c r="F1632" s="13"/>
      <c r="G1632" s="102">
        <v>1.0</v>
      </c>
      <c r="H1632" s="101" t="s">
        <v>2940</v>
      </c>
      <c r="I1632" s="102">
        <v>40.5</v>
      </c>
      <c r="J1632" s="102">
        <v>49.82</v>
      </c>
      <c r="K1632" s="101" t="s">
        <v>2941</v>
      </c>
      <c r="L1632" s="102">
        <v>23.0</v>
      </c>
      <c r="M1632" s="13"/>
    </row>
    <row r="1633">
      <c r="A1633" s="101" t="s">
        <v>4267</v>
      </c>
      <c r="B1633" s="101" t="s">
        <v>4268</v>
      </c>
      <c r="E1633" s="13"/>
      <c r="F1633" s="13"/>
      <c r="G1633" s="102">
        <v>2.0</v>
      </c>
      <c r="H1633" s="101" t="s">
        <v>2942</v>
      </c>
      <c r="I1633" s="102">
        <v>40.5</v>
      </c>
      <c r="J1633" s="102">
        <v>49.82</v>
      </c>
      <c r="K1633" s="101" t="s">
        <v>2941</v>
      </c>
      <c r="L1633" s="102">
        <v>23.0</v>
      </c>
      <c r="M1633" s="13"/>
    </row>
    <row r="1634">
      <c r="A1634" s="101" t="s">
        <v>4269</v>
      </c>
      <c r="B1634" s="101" t="s">
        <v>4270</v>
      </c>
      <c r="D1634" s="13"/>
      <c r="E1634" s="13"/>
      <c r="F1634" s="13"/>
      <c r="G1634" s="102">
        <v>1.0</v>
      </c>
      <c r="H1634" s="101" t="s">
        <v>2940</v>
      </c>
      <c r="I1634" s="102">
        <v>47.15</v>
      </c>
      <c r="J1634" s="102">
        <v>57.99</v>
      </c>
      <c r="K1634" s="101" t="s">
        <v>2941</v>
      </c>
      <c r="L1634" s="102">
        <v>23.0</v>
      </c>
      <c r="M1634" s="13"/>
    </row>
    <row r="1635">
      <c r="A1635" s="101" t="s">
        <v>4269</v>
      </c>
      <c r="B1635" s="101" t="s">
        <v>4270</v>
      </c>
      <c r="D1635" s="13"/>
      <c r="E1635" s="13"/>
      <c r="F1635" s="13"/>
      <c r="G1635" s="102">
        <v>2.0</v>
      </c>
      <c r="H1635" s="101" t="s">
        <v>2942</v>
      </c>
      <c r="I1635" s="102">
        <v>37.7</v>
      </c>
      <c r="J1635" s="102">
        <v>46.37</v>
      </c>
      <c r="K1635" s="101" t="s">
        <v>2941</v>
      </c>
      <c r="L1635" s="102">
        <v>23.0</v>
      </c>
      <c r="M1635" s="13"/>
    </row>
    <row r="1636">
      <c r="A1636" s="101" t="s">
        <v>4271</v>
      </c>
      <c r="B1636" s="101" t="s">
        <v>4272</v>
      </c>
      <c r="E1636" s="13"/>
      <c r="F1636" s="13"/>
      <c r="G1636" s="102">
        <v>1.0</v>
      </c>
      <c r="H1636" s="101" t="s">
        <v>2940</v>
      </c>
      <c r="I1636" s="102">
        <v>81.0</v>
      </c>
      <c r="J1636" s="102">
        <v>99.63</v>
      </c>
      <c r="K1636" s="101" t="s">
        <v>2941</v>
      </c>
      <c r="L1636" s="102">
        <v>23.0</v>
      </c>
      <c r="M1636" s="13"/>
    </row>
    <row r="1637">
      <c r="A1637" s="101" t="s">
        <v>4271</v>
      </c>
      <c r="B1637" s="101" t="s">
        <v>4272</v>
      </c>
      <c r="E1637" s="13"/>
      <c r="F1637" s="13"/>
      <c r="G1637" s="102">
        <v>2.0</v>
      </c>
      <c r="H1637" s="101" t="s">
        <v>2942</v>
      </c>
      <c r="I1637" s="102">
        <v>81.0</v>
      </c>
      <c r="J1637" s="102">
        <v>99.63</v>
      </c>
      <c r="K1637" s="101" t="s">
        <v>2941</v>
      </c>
      <c r="L1637" s="102">
        <v>23.0</v>
      </c>
      <c r="M1637" s="13"/>
    </row>
    <row r="1638">
      <c r="A1638" s="101" t="s">
        <v>4273</v>
      </c>
      <c r="B1638" s="101" t="s">
        <v>4274</v>
      </c>
      <c r="D1638" s="13"/>
      <c r="E1638" s="13"/>
      <c r="F1638" s="13"/>
      <c r="G1638" s="102">
        <v>1.0</v>
      </c>
      <c r="H1638" s="101" t="s">
        <v>2940</v>
      </c>
      <c r="I1638" s="102">
        <v>70.73</v>
      </c>
      <c r="J1638" s="102">
        <v>87.0</v>
      </c>
      <c r="K1638" s="101" t="s">
        <v>2941</v>
      </c>
      <c r="L1638" s="102">
        <v>23.0</v>
      </c>
      <c r="M1638" s="13"/>
    </row>
    <row r="1639">
      <c r="A1639" s="101" t="s">
        <v>4273</v>
      </c>
      <c r="B1639" s="101" t="s">
        <v>4274</v>
      </c>
      <c r="D1639" s="13"/>
      <c r="E1639" s="13"/>
      <c r="F1639" s="13"/>
      <c r="G1639" s="102">
        <v>2.0</v>
      </c>
      <c r="H1639" s="101" t="s">
        <v>2942</v>
      </c>
      <c r="I1639" s="102">
        <v>56.6</v>
      </c>
      <c r="J1639" s="102">
        <v>69.62</v>
      </c>
      <c r="K1639" s="101" t="s">
        <v>2941</v>
      </c>
      <c r="L1639" s="102">
        <v>23.0</v>
      </c>
      <c r="M1639" s="13"/>
    </row>
    <row r="1640">
      <c r="A1640" s="101" t="s">
        <v>4275</v>
      </c>
      <c r="B1640" s="101" t="s">
        <v>4276</v>
      </c>
      <c r="E1640" s="13"/>
      <c r="F1640" s="13"/>
      <c r="G1640" s="102">
        <v>1.0</v>
      </c>
      <c r="H1640" s="101" t="s">
        <v>2940</v>
      </c>
      <c r="I1640" s="102">
        <v>121.5</v>
      </c>
      <c r="J1640" s="102">
        <v>149.45</v>
      </c>
      <c r="K1640" s="101" t="s">
        <v>2941</v>
      </c>
      <c r="L1640" s="102">
        <v>23.0</v>
      </c>
      <c r="M1640" s="13"/>
    </row>
    <row r="1641">
      <c r="A1641" s="101" t="s">
        <v>4275</v>
      </c>
      <c r="B1641" s="101" t="s">
        <v>4276</v>
      </c>
      <c r="E1641" s="13"/>
      <c r="F1641" s="13"/>
      <c r="G1641" s="102">
        <v>2.0</v>
      </c>
      <c r="H1641" s="101" t="s">
        <v>2942</v>
      </c>
      <c r="I1641" s="102">
        <v>121.5</v>
      </c>
      <c r="J1641" s="102">
        <v>149.45</v>
      </c>
      <c r="K1641" s="101" t="s">
        <v>2941</v>
      </c>
      <c r="L1641" s="102">
        <v>23.0</v>
      </c>
      <c r="M1641" s="13"/>
    </row>
    <row r="1642">
      <c r="A1642" s="101" t="s">
        <v>4277</v>
      </c>
      <c r="B1642" s="101">
        <v>39.0</v>
      </c>
      <c r="C1642" s="13"/>
      <c r="D1642" s="13"/>
      <c r="E1642" s="13"/>
      <c r="F1642" s="13"/>
      <c r="G1642" s="102">
        <v>1.0</v>
      </c>
      <c r="H1642" s="101" t="s">
        <v>2940</v>
      </c>
      <c r="I1642" s="102">
        <v>29.92</v>
      </c>
      <c r="J1642" s="102">
        <v>36.8</v>
      </c>
      <c r="K1642" s="101" t="s">
        <v>2941</v>
      </c>
      <c r="L1642" s="102">
        <v>23.0</v>
      </c>
      <c r="M1642" s="13"/>
    </row>
    <row r="1643">
      <c r="A1643" s="101" t="s">
        <v>4277</v>
      </c>
      <c r="B1643" s="101">
        <v>39.0</v>
      </c>
      <c r="C1643" s="13"/>
      <c r="D1643" s="13"/>
      <c r="E1643" s="13"/>
      <c r="F1643" s="13"/>
      <c r="G1643" s="102">
        <v>2.0</v>
      </c>
      <c r="H1643" s="101" t="s">
        <v>2942</v>
      </c>
      <c r="I1643" s="102">
        <v>25.0</v>
      </c>
      <c r="J1643" s="102">
        <v>30.75</v>
      </c>
      <c r="K1643" s="101" t="s">
        <v>2941</v>
      </c>
      <c r="L1643" s="102">
        <v>23.0</v>
      </c>
      <c r="M1643" s="13"/>
    </row>
    <row r="1644">
      <c r="A1644" s="101" t="s">
        <v>4278</v>
      </c>
      <c r="B1644" s="101" t="s">
        <v>4279</v>
      </c>
      <c r="D1644" s="13"/>
      <c r="E1644" s="13"/>
      <c r="F1644" s="13"/>
      <c r="G1644" s="102">
        <v>1.0</v>
      </c>
      <c r="H1644" s="101" t="s">
        <v>2940</v>
      </c>
      <c r="I1644" s="102">
        <v>4.07</v>
      </c>
      <c r="J1644" s="102">
        <v>5.01</v>
      </c>
      <c r="K1644" s="101" t="s">
        <v>2941</v>
      </c>
      <c r="L1644" s="102">
        <v>23.0</v>
      </c>
      <c r="M1644" s="13"/>
    </row>
    <row r="1645">
      <c r="A1645" s="101" t="s">
        <v>4278</v>
      </c>
      <c r="B1645" s="101" t="s">
        <v>4279</v>
      </c>
      <c r="D1645" s="13"/>
      <c r="E1645" s="13"/>
      <c r="F1645" s="13"/>
      <c r="G1645" s="102">
        <v>2.0</v>
      </c>
      <c r="H1645" s="101" t="s">
        <v>2942</v>
      </c>
      <c r="I1645" s="102">
        <v>4.0</v>
      </c>
      <c r="J1645" s="102">
        <v>4.92</v>
      </c>
      <c r="K1645" s="101" t="s">
        <v>2941</v>
      </c>
      <c r="L1645" s="102">
        <v>23.0</v>
      </c>
      <c r="M1645" s="13"/>
    </row>
    <row r="1646">
      <c r="A1646" s="101" t="s">
        <v>4280</v>
      </c>
      <c r="B1646" s="101" t="s">
        <v>4281</v>
      </c>
      <c r="D1646" s="13"/>
      <c r="E1646" s="13"/>
      <c r="F1646" s="13"/>
      <c r="G1646" s="102">
        <v>1.0</v>
      </c>
      <c r="H1646" s="101" t="s">
        <v>2940</v>
      </c>
      <c r="I1646" s="102">
        <v>4.07</v>
      </c>
      <c r="J1646" s="102">
        <v>5.01</v>
      </c>
      <c r="K1646" s="101" t="s">
        <v>2941</v>
      </c>
      <c r="L1646" s="102">
        <v>23.0</v>
      </c>
      <c r="M1646" s="13"/>
    </row>
    <row r="1647">
      <c r="A1647" s="101" t="s">
        <v>4280</v>
      </c>
      <c r="B1647" s="101" t="s">
        <v>4281</v>
      </c>
      <c r="D1647" s="13"/>
      <c r="E1647" s="13"/>
      <c r="F1647" s="13"/>
      <c r="G1647" s="102">
        <v>2.0</v>
      </c>
      <c r="H1647" s="101" t="s">
        <v>2942</v>
      </c>
      <c r="I1647" s="102">
        <v>4.07</v>
      </c>
      <c r="J1647" s="102">
        <v>5.01</v>
      </c>
      <c r="K1647" s="101" t="s">
        <v>2941</v>
      </c>
      <c r="L1647" s="102">
        <v>23.0</v>
      </c>
      <c r="M1647" s="13"/>
    </row>
    <row r="1648">
      <c r="A1648" s="101" t="s">
        <v>4282</v>
      </c>
      <c r="B1648" s="101">
        <v>43.0</v>
      </c>
      <c r="C1648" s="13"/>
      <c r="D1648" s="13"/>
      <c r="E1648" s="13"/>
      <c r="F1648" s="13"/>
      <c r="G1648" s="102">
        <v>1.0</v>
      </c>
      <c r="H1648" s="101" t="s">
        <v>2940</v>
      </c>
      <c r="I1648" s="102">
        <v>20.0</v>
      </c>
      <c r="J1648" s="102">
        <v>24.6</v>
      </c>
      <c r="K1648" s="101" t="s">
        <v>2941</v>
      </c>
      <c r="L1648" s="102">
        <v>23.0</v>
      </c>
      <c r="M1648" s="13"/>
    </row>
    <row r="1649">
      <c r="A1649" s="101" t="s">
        <v>4282</v>
      </c>
      <c r="B1649" s="101">
        <v>43.0</v>
      </c>
      <c r="C1649" s="13"/>
      <c r="D1649" s="13"/>
      <c r="E1649" s="13"/>
      <c r="F1649" s="13"/>
      <c r="G1649" s="102">
        <v>2.0</v>
      </c>
      <c r="H1649" s="101" t="s">
        <v>2942</v>
      </c>
      <c r="I1649" s="102">
        <v>20.0</v>
      </c>
      <c r="J1649" s="102">
        <v>24.6</v>
      </c>
      <c r="K1649" s="101" t="s">
        <v>2941</v>
      </c>
      <c r="L1649" s="102">
        <v>23.0</v>
      </c>
      <c r="M1649" s="13"/>
    </row>
    <row r="1650">
      <c r="A1650" s="101" t="s">
        <v>4283</v>
      </c>
      <c r="B1650" s="101" t="s">
        <v>4284</v>
      </c>
      <c r="D1650" s="13"/>
      <c r="E1650" s="13"/>
      <c r="F1650" s="13"/>
      <c r="G1650" s="102">
        <v>1.0</v>
      </c>
      <c r="H1650" s="101" t="s">
        <v>2940</v>
      </c>
      <c r="I1650" s="102">
        <v>27.72</v>
      </c>
      <c r="J1650" s="102">
        <v>34.1</v>
      </c>
      <c r="K1650" s="101" t="s">
        <v>2941</v>
      </c>
      <c r="L1650" s="102">
        <v>23.0</v>
      </c>
      <c r="M1650" s="13"/>
    </row>
    <row r="1651">
      <c r="A1651" s="101" t="s">
        <v>4283</v>
      </c>
      <c r="B1651" s="101" t="s">
        <v>4284</v>
      </c>
      <c r="D1651" s="13"/>
      <c r="E1651" s="13"/>
      <c r="F1651" s="13"/>
      <c r="G1651" s="102">
        <v>2.0</v>
      </c>
      <c r="H1651" s="101" t="s">
        <v>2942</v>
      </c>
      <c r="I1651" s="102">
        <v>22.2</v>
      </c>
      <c r="J1651" s="102">
        <v>27.31</v>
      </c>
      <c r="K1651" s="101" t="s">
        <v>2941</v>
      </c>
      <c r="L1651" s="102">
        <v>23.0</v>
      </c>
      <c r="M1651" s="13"/>
    </row>
    <row r="1652">
      <c r="A1652" s="101" t="s">
        <v>4285</v>
      </c>
      <c r="B1652" s="101" t="s">
        <v>4286</v>
      </c>
      <c r="D1652" s="13"/>
      <c r="E1652" s="13"/>
      <c r="F1652" s="13"/>
      <c r="G1652" s="102">
        <v>1.0</v>
      </c>
      <c r="H1652" s="101" t="s">
        <v>2940</v>
      </c>
      <c r="I1652" s="102">
        <v>55.37</v>
      </c>
      <c r="J1652" s="102">
        <v>68.11</v>
      </c>
      <c r="K1652" s="101" t="s">
        <v>2941</v>
      </c>
      <c r="L1652" s="102">
        <v>23.0</v>
      </c>
      <c r="M1652" s="13"/>
    </row>
    <row r="1653">
      <c r="A1653" s="101" t="s">
        <v>4285</v>
      </c>
      <c r="B1653" s="101" t="s">
        <v>4286</v>
      </c>
      <c r="D1653" s="13"/>
      <c r="E1653" s="13"/>
      <c r="F1653" s="13"/>
      <c r="G1653" s="102">
        <v>2.0</v>
      </c>
      <c r="H1653" s="101" t="s">
        <v>2942</v>
      </c>
      <c r="I1653" s="102">
        <v>44.3</v>
      </c>
      <c r="J1653" s="102">
        <v>54.49</v>
      </c>
      <c r="K1653" s="101" t="s">
        <v>2941</v>
      </c>
      <c r="L1653" s="102">
        <v>23.0</v>
      </c>
      <c r="M1653" s="13"/>
    </row>
    <row r="1654">
      <c r="A1654" s="101" t="s">
        <v>4287</v>
      </c>
      <c r="B1654" s="101" t="s">
        <v>4288</v>
      </c>
      <c r="D1654" s="13"/>
      <c r="E1654" s="13"/>
      <c r="F1654" s="13"/>
      <c r="G1654" s="102">
        <v>1.0</v>
      </c>
      <c r="H1654" s="101" t="s">
        <v>2940</v>
      </c>
      <c r="I1654" s="102">
        <v>83.09</v>
      </c>
      <c r="J1654" s="102">
        <v>102.2</v>
      </c>
      <c r="K1654" s="101" t="s">
        <v>2941</v>
      </c>
      <c r="L1654" s="102">
        <v>23.0</v>
      </c>
      <c r="M1654" s="13"/>
    </row>
    <row r="1655">
      <c r="A1655" s="101" t="s">
        <v>4287</v>
      </c>
      <c r="B1655" s="101" t="s">
        <v>4288</v>
      </c>
      <c r="D1655" s="13"/>
      <c r="E1655" s="13"/>
      <c r="F1655" s="13"/>
      <c r="G1655" s="102">
        <v>2.0</v>
      </c>
      <c r="H1655" s="101" t="s">
        <v>2942</v>
      </c>
      <c r="I1655" s="102">
        <v>66.5</v>
      </c>
      <c r="J1655" s="102">
        <v>81.8</v>
      </c>
      <c r="K1655" s="101" t="s">
        <v>2941</v>
      </c>
      <c r="L1655" s="102">
        <v>23.0</v>
      </c>
      <c r="M1655" s="13"/>
    </row>
    <row r="1656">
      <c r="A1656" s="101" t="s">
        <v>4289</v>
      </c>
      <c r="B1656" s="101" t="s">
        <v>4290</v>
      </c>
      <c r="D1656" s="13"/>
      <c r="E1656" s="13"/>
      <c r="F1656" s="13"/>
      <c r="G1656" s="102">
        <v>1.0</v>
      </c>
      <c r="H1656" s="101" t="s">
        <v>2940</v>
      </c>
      <c r="I1656" s="102">
        <v>24.23</v>
      </c>
      <c r="J1656" s="102">
        <v>29.8</v>
      </c>
      <c r="K1656" s="101" t="s">
        <v>2941</v>
      </c>
      <c r="L1656" s="102">
        <v>23.0</v>
      </c>
      <c r="M1656" s="13"/>
    </row>
    <row r="1657">
      <c r="A1657" s="101" t="s">
        <v>4289</v>
      </c>
      <c r="B1657" s="101" t="s">
        <v>4290</v>
      </c>
      <c r="D1657" s="13"/>
      <c r="E1657" s="13"/>
      <c r="F1657" s="13"/>
      <c r="G1657" s="102">
        <v>2.0</v>
      </c>
      <c r="H1657" s="101" t="s">
        <v>2942</v>
      </c>
      <c r="I1657" s="102">
        <v>19.4</v>
      </c>
      <c r="J1657" s="102">
        <v>23.86</v>
      </c>
      <c r="K1657" s="101" t="s">
        <v>2941</v>
      </c>
      <c r="L1657" s="102">
        <v>23.0</v>
      </c>
      <c r="M1657" s="13"/>
    </row>
    <row r="1658">
      <c r="A1658" s="101" t="s">
        <v>4291</v>
      </c>
      <c r="B1658" s="101" t="s">
        <v>4292</v>
      </c>
      <c r="D1658" s="13"/>
      <c r="E1658" s="13"/>
      <c r="F1658" s="13"/>
      <c r="G1658" s="102">
        <v>1.0</v>
      </c>
      <c r="H1658" s="101" t="s">
        <v>2940</v>
      </c>
      <c r="I1658" s="102">
        <v>34.55</v>
      </c>
      <c r="J1658" s="102">
        <v>42.5</v>
      </c>
      <c r="K1658" s="101" t="s">
        <v>2941</v>
      </c>
      <c r="L1658" s="102">
        <v>23.0</v>
      </c>
      <c r="M1658" s="13"/>
    </row>
    <row r="1659">
      <c r="A1659" s="101" t="s">
        <v>4291</v>
      </c>
      <c r="B1659" s="101" t="s">
        <v>4292</v>
      </c>
      <c r="D1659" s="13"/>
      <c r="E1659" s="13"/>
      <c r="F1659" s="13"/>
      <c r="G1659" s="102">
        <v>2.0</v>
      </c>
      <c r="H1659" s="101" t="s">
        <v>2942</v>
      </c>
      <c r="I1659" s="102">
        <v>34.55</v>
      </c>
      <c r="J1659" s="102">
        <v>42.5</v>
      </c>
      <c r="K1659" s="101" t="s">
        <v>2941</v>
      </c>
      <c r="L1659" s="102">
        <v>23.0</v>
      </c>
      <c r="M1659" s="13"/>
    </row>
    <row r="1660">
      <c r="A1660" s="101" t="s">
        <v>4293</v>
      </c>
      <c r="B1660" s="101" t="s">
        <v>4294</v>
      </c>
      <c r="D1660" s="13"/>
      <c r="E1660" s="13"/>
      <c r="F1660" s="13"/>
      <c r="G1660" s="102">
        <v>1.0</v>
      </c>
      <c r="H1660" s="101" t="s">
        <v>2940</v>
      </c>
      <c r="I1660" s="102">
        <v>34.55</v>
      </c>
      <c r="J1660" s="102">
        <v>42.5</v>
      </c>
      <c r="K1660" s="101" t="s">
        <v>2941</v>
      </c>
      <c r="L1660" s="102">
        <v>23.0</v>
      </c>
      <c r="M1660" s="13"/>
    </row>
    <row r="1661">
      <c r="A1661" s="101" t="s">
        <v>4293</v>
      </c>
      <c r="B1661" s="101" t="s">
        <v>4294</v>
      </c>
      <c r="D1661" s="13"/>
      <c r="E1661" s="13"/>
      <c r="F1661" s="13"/>
      <c r="G1661" s="102">
        <v>2.0</v>
      </c>
      <c r="H1661" s="101" t="s">
        <v>2942</v>
      </c>
      <c r="I1661" s="102">
        <v>34.55</v>
      </c>
      <c r="J1661" s="102">
        <v>42.5</v>
      </c>
      <c r="K1661" s="101" t="s">
        <v>2941</v>
      </c>
      <c r="L1661" s="102">
        <v>23.0</v>
      </c>
      <c r="M1661" s="13"/>
    </row>
    <row r="1662">
      <c r="A1662" s="101" t="s">
        <v>4295</v>
      </c>
      <c r="B1662" s="101" t="s">
        <v>4296</v>
      </c>
      <c r="D1662" s="13"/>
      <c r="E1662" s="13"/>
      <c r="F1662" s="13"/>
      <c r="G1662" s="102">
        <v>1.0</v>
      </c>
      <c r="H1662" s="101" t="s">
        <v>2940</v>
      </c>
      <c r="I1662" s="102">
        <v>48.54</v>
      </c>
      <c r="J1662" s="102">
        <v>59.7</v>
      </c>
      <c r="K1662" s="101" t="s">
        <v>2941</v>
      </c>
      <c r="L1662" s="102">
        <v>23.0</v>
      </c>
      <c r="M1662" s="13"/>
    </row>
    <row r="1663">
      <c r="A1663" s="101" t="s">
        <v>4295</v>
      </c>
      <c r="B1663" s="101" t="s">
        <v>4296</v>
      </c>
      <c r="D1663" s="13"/>
      <c r="E1663" s="13"/>
      <c r="F1663" s="13"/>
      <c r="G1663" s="102">
        <v>2.0</v>
      </c>
      <c r="H1663" s="101" t="s">
        <v>2942</v>
      </c>
      <c r="I1663" s="102">
        <v>38.8</v>
      </c>
      <c r="J1663" s="102">
        <v>47.72</v>
      </c>
      <c r="K1663" s="101" t="s">
        <v>2941</v>
      </c>
      <c r="L1663" s="102">
        <v>23.0</v>
      </c>
      <c r="M1663" s="13"/>
    </row>
    <row r="1664">
      <c r="A1664" s="101" t="s">
        <v>4297</v>
      </c>
      <c r="B1664" s="101" t="s">
        <v>4298</v>
      </c>
      <c r="D1664" s="13"/>
      <c r="E1664" s="13"/>
      <c r="F1664" s="13"/>
      <c r="G1664" s="102">
        <v>1.0</v>
      </c>
      <c r="H1664" s="101" t="s">
        <v>2940</v>
      </c>
      <c r="I1664" s="102">
        <v>69.1</v>
      </c>
      <c r="J1664" s="102">
        <v>84.99</v>
      </c>
      <c r="K1664" s="101" t="s">
        <v>2941</v>
      </c>
      <c r="L1664" s="102">
        <v>23.0</v>
      </c>
      <c r="M1664" s="13"/>
    </row>
    <row r="1665">
      <c r="A1665" s="101" t="s">
        <v>4297</v>
      </c>
      <c r="B1665" s="101" t="s">
        <v>4298</v>
      </c>
      <c r="D1665" s="13"/>
      <c r="E1665" s="13"/>
      <c r="F1665" s="13"/>
      <c r="G1665" s="102">
        <v>2.0</v>
      </c>
      <c r="H1665" s="101" t="s">
        <v>2942</v>
      </c>
      <c r="I1665" s="102">
        <v>69.1</v>
      </c>
      <c r="J1665" s="102">
        <v>84.99</v>
      </c>
      <c r="K1665" s="101" t="s">
        <v>2941</v>
      </c>
      <c r="L1665" s="102">
        <v>23.0</v>
      </c>
      <c r="M1665" s="13"/>
    </row>
    <row r="1666">
      <c r="A1666" s="101" t="s">
        <v>4299</v>
      </c>
      <c r="B1666" s="101" t="s">
        <v>4300</v>
      </c>
      <c r="D1666" s="13"/>
      <c r="E1666" s="13"/>
      <c r="F1666" s="13"/>
      <c r="G1666" s="102">
        <v>1.0</v>
      </c>
      <c r="H1666" s="101" t="s">
        <v>2940</v>
      </c>
      <c r="I1666" s="102">
        <v>69.1</v>
      </c>
      <c r="J1666" s="102">
        <v>84.99</v>
      </c>
      <c r="K1666" s="101" t="s">
        <v>2941</v>
      </c>
      <c r="L1666" s="102">
        <v>23.0</v>
      </c>
      <c r="M1666" s="13"/>
    </row>
    <row r="1667">
      <c r="A1667" s="101" t="s">
        <v>4299</v>
      </c>
      <c r="B1667" s="101" t="s">
        <v>4300</v>
      </c>
      <c r="D1667" s="13"/>
      <c r="E1667" s="13"/>
      <c r="F1667" s="13"/>
      <c r="G1667" s="102">
        <v>2.0</v>
      </c>
      <c r="H1667" s="101" t="s">
        <v>2942</v>
      </c>
      <c r="I1667" s="102">
        <v>69.1</v>
      </c>
      <c r="J1667" s="102">
        <v>84.99</v>
      </c>
      <c r="K1667" s="101" t="s">
        <v>2941</v>
      </c>
      <c r="L1667" s="102">
        <v>23.0</v>
      </c>
      <c r="M1667" s="13"/>
    </row>
    <row r="1668">
      <c r="A1668" s="101" t="s">
        <v>4301</v>
      </c>
      <c r="B1668" s="101" t="s">
        <v>4302</v>
      </c>
      <c r="D1668" s="13"/>
      <c r="E1668" s="13"/>
      <c r="F1668" s="13"/>
      <c r="G1668" s="102">
        <v>1.0</v>
      </c>
      <c r="H1668" s="101" t="s">
        <v>2940</v>
      </c>
      <c r="I1668" s="102">
        <v>72.68</v>
      </c>
      <c r="J1668" s="102">
        <v>89.4</v>
      </c>
      <c r="K1668" s="101" t="s">
        <v>2941</v>
      </c>
      <c r="L1668" s="102">
        <v>23.0</v>
      </c>
      <c r="M1668" s="13"/>
    </row>
    <row r="1669">
      <c r="A1669" s="101" t="s">
        <v>4301</v>
      </c>
      <c r="B1669" s="101" t="s">
        <v>4302</v>
      </c>
      <c r="D1669" s="13"/>
      <c r="E1669" s="13"/>
      <c r="F1669" s="13"/>
      <c r="G1669" s="102">
        <v>2.0</v>
      </c>
      <c r="H1669" s="101" t="s">
        <v>2942</v>
      </c>
      <c r="I1669" s="102">
        <v>58.1</v>
      </c>
      <c r="J1669" s="102">
        <v>71.46</v>
      </c>
      <c r="K1669" s="101" t="s">
        <v>2941</v>
      </c>
      <c r="L1669" s="102">
        <v>23.0</v>
      </c>
      <c r="M1669" s="13"/>
    </row>
    <row r="1670">
      <c r="A1670" s="101" t="s">
        <v>4303</v>
      </c>
      <c r="B1670" s="101" t="s">
        <v>4304</v>
      </c>
      <c r="D1670" s="13"/>
      <c r="E1670" s="13"/>
      <c r="F1670" s="13"/>
      <c r="G1670" s="102">
        <v>1.0</v>
      </c>
      <c r="H1670" s="101" t="s">
        <v>2940</v>
      </c>
      <c r="I1670" s="102">
        <v>103.65</v>
      </c>
      <c r="J1670" s="102">
        <v>127.49</v>
      </c>
      <c r="K1670" s="101" t="s">
        <v>2941</v>
      </c>
      <c r="L1670" s="102">
        <v>23.0</v>
      </c>
      <c r="M1670" s="13"/>
    </row>
    <row r="1671">
      <c r="A1671" s="101" t="s">
        <v>4303</v>
      </c>
      <c r="B1671" s="101" t="s">
        <v>4304</v>
      </c>
      <c r="D1671" s="13"/>
      <c r="E1671" s="13"/>
      <c r="F1671" s="13"/>
      <c r="G1671" s="102">
        <v>2.0</v>
      </c>
      <c r="H1671" s="101" t="s">
        <v>2942</v>
      </c>
      <c r="I1671" s="102">
        <v>103.65</v>
      </c>
      <c r="J1671" s="102">
        <v>127.49</v>
      </c>
      <c r="K1671" s="101" t="s">
        <v>2941</v>
      </c>
      <c r="L1671" s="102">
        <v>23.0</v>
      </c>
      <c r="M1671" s="13"/>
    </row>
    <row r="1672">
      <c r="A1672" s="101" t="s">
        <v>4305</v>
      </c>
      <c r="B1672" s="101" t="s">
        <v>4306</v>
      </c>
      <c r="D1672" s="13"/>
      <c r="E1672" s="13"/>
      <c r="F1672" s="13"/>
      <c r="G1672" s="102">
        <v>1.0</v>
      </c>
      <c r="H1672" s="101" t="s">
        <v>2940</v>
      </c>
      <c r="I1672" s="102">
        <v>103.65</v>
      </c>
      <c r="J1672" s="102">
        <v>127.49</v>
      </c>
      <c r="K1672" s="101" t="s">
        <v>2941</v>
      </c>
      <c r="L1672" s="102">
        <v>23.0</v>
      </c>
      <c r="M1672" s="13"/>
    </row>
    <row r="1673">
      <c r="A1673" s="101" t="s">
        <v>4305</v>
      </c>
      <c r="B1673" s="101" t="s">
        <v>4306</v>
      </c>
      <c r="D1673" s="13"/>
      <c r="E1673" s="13"/>
      <c r="F1673" s="13"/>
      <c r="G1673" s="102">
        <v>2.0</v>
      </c>
      <c r="H1673" s="101" t="s">
        <v>2942</v>
      </c>
      <c r="I1673" s="102">
        <v>103.65</v>
      </c>
      <c r="J1673" s="102">
        <v>127.49</v>
      </c>
      <c r="K1673" s="101" t="s">
        <v>2941</v>
      </c>
      <c r="L1673" s="102">
        <v>23.0</v>
      </c>
      <c r="M1673" s="13"/>
    </row>
    <row r="1674">
      <c r="A1674" s="101" t="s">
        <v>4307</v>
      </c>
      <c r="B1674" s="101" t="s">
        <v>4308</v>
      </c>
      <c r="E1674" s="13"/>
      <c r="F1674" s="13"/>
      <c r="G1674" s="102">
        <v>1.0</v>
      </c>
      <c r="H1674" s="101" t="s">
        <v>2940</v>
      </c>
      <c r="I1674" s="102">
        <v>30.0</v>
      </c>
      <c r="J1674" s="102">
        <v>36.9</v>
      </c>
      <c r="K1674" s="101" t="s">
        <v>2941</v>
      </c>
      <c r="L1674" s="102">
        <v>23.0</v>
      </c>
      <c r="M1674" s="13"/>
    </row>
    <row r="1675">
      <c r="A1675" s="101" t="s">
        <v>4307</v>
      </c>
      <c r="B1675" s="101" t="s">
        <v>4308</v>
      </c>
      <c r="E1675" s="13"/>
      <c r="F1675" s="13"/>
      <c r="G1675" s="102">
        <v>2.0</v>
      </c>
      <c r="H1675" s="101" t="s">
        <v>2942</v>
      </c>
      <c r="I1675" s="102">
        <v>30.0</v>
      </c>
      <c r="J1675" s="102">
        <v>36.9</v>
      </c>
      <c r="K1675" s="101" t="s">
        <v>2941</v>
      </c>
      <c r="L1675" s="102">
        <v>23.0</v>
      </c>
      <c r="M1675" s="13"/>
    </row>
    <row r="1676">
      <c r="A1676" s="101" t="s">
        <v>4309</v>
      </c>
      <c r="B1676" s="101" t="s">
        <v>4310</v>
      </c>
      <c r="D1676" s="13"/>
      <c r="E1676" s="13"/>
      <c r="F1676" s="13"/>
      <c r="G1676" s="102">
        <v>1.0</v>
      </c>
      <c r="H1676" s="101" t="s">
        <v>2940</v>
      </c>
      <c r="I1676" s="102">
        <v>41.71</v>
      </c>
      <c r="J1676" s="102">
        <v>51.3</v>
      </c>
      <c r="K1676" s="101" t="s">
        <v>2941</v>
      </c>
      <c r="L1676" s="102">
        <v>23.0</v>
      </c>
      <c r="M1676" s="13"/>
    </row>
    <row r="1677">
      <c r="A1677" s="101" t="s">
        <v>4309</v>
      </c>
      <c r="B1677" s="101" t="s">
        <v>4310</v>
      </c>
      <c r="D1677" s="13"/>
      <c r="E1677" s="13"/>
      <c r="F1677" s="13"/>
      <c r="G1677" s="102">
        <v>2.0</v>
      </c>
      <c r="H1677" s="101" t="s">
        <v>2942</v>
      </c>
      <c r="I1677" s="102">
        <v>33.4</v>
      </c>
      <c r="J1677" s="102">
        <v>41.08</v>
      </c>
      <c r="K1677" s="101" t="s">
        <v>2941</v>
      </c>
      <c r="L1677" s="102">
        <v>23.0</v>
      </c>
      <c r="M1677" s="13"/>
    </row>
    <row r="1678">
      <c r="A1678" s="101" t="s">
        <v>4311</v>
      </c>
      <c r="B1678" s="101" t="s">
        <v>4312</v>
      </c>
      <c r="E1678" s="13"/>
      <c r="F1678" s="13"/>
      <c r="G1678" s="102">
        <v>1.0</v>
      </c>
      <c r="H1678" s="101" t="s">
        <v>2940</v>
      </c>
      <c r="I1678" s="102">
        <v>60.0</v>
      </c>
      <c r="J1678" s="102">
        <v>73.8</v>
      </c>
      <c r="K1678" s="101" t="s">
        <v>2941</v>
      </c>
      <c r="L1678" s="102">
        <v>23.0</v>
      </c>
      <c r="M1678" s="13"/>
    </row>
    <row r="1679">
      <c r="A1679" s="101" t="s">
        <v>4311</v>
      </c>
      <c r="B1679" s="101" t="s">
        <v>4312</v>
      </c>
      <c r="E1679" s="13"/>
      <c r="F1679" s="13"/>
      <c r="G1679" s="102">
        <v>2.0</v>
      </c>
      <c r="H1679" s="101" t="s">
        <v>2942</v>
      </c>
      <c r="I1679" s="102">
        <v>60.0</v>
      </c>
      <c r="J1679" s="102">
        <v>73.8</v>
      </c>
      <c r="K1679" s="101" t="s">
        <v>2941</v>
      </c>
      <c r="L1679" s="102">
        <v>23.0</v>
      </c>
      <c r="M1679" s="13"/>
    </row>
    <row r="1680">
      <c r="A1680" s="101" t="s">
        <v>4313</v>
      </c>
      <c r="B1680" s="101" t="s">
        <v>4314</v>
      </c>
      <c r="D1680" s="13"/>
      <c r="E1680" s="13"/>
      <c r="F1680" s="13"/>
      <c r="G1680" s="102">
        <v>1.0</v>
      </c>
      <c r="H1680" s="101" t="s">
        <v>2940</v>
      </c>
      <c r="I1680" s="102">
        <v>35.77</v>
      </c>
      <c r="J1680" s="102">
        <v>44.0</v>
      </c>
      <c r="K1680" s="101" t="s">
        <v>2941</v>
      </c>
      <c r="L1680" s="102">
        <v>23.0</v>
      </c>
      <c r="M1680" s="13"/>
    </row>
    <row r="1681">
      <c r="A1681" s="101" t="s">
        <v>4313</v>
      </c>
      <c r="B1681" s="101" t="s">
        <v>4314</v>
      </c>
      <c r="D1681" s="13"/>
      <c r="E1681" s="13"/>
      <c r="F1681" s="13"/>
      <c r="G1681" s="102">
        <v>2.0</v>
      </c>
      <c r="H1681" s="101" t="s">
        <v>2942</v>
      </c>
      <c r="I1681" s="102">
        <v>35.74</v>
      </c>
      <c r="J1681" s="102">
        <v>43.96</v>
      </c>
      <c r="K1681" s="101" t="s">
        <v>2941</v>
      </c>
      <c r="L1681" s="102">
        <v>23.0</v>
      </c>
      <c r="M1681" s="13"/>
    </row>
    <row r="1682">
      <c r="A1682" s="101" t="s">
        <v>4315</v>
      </c>
      <c r="B1682" s="101" t="s">
        <v>4316</v>
      </c>
      <c r="D1682" s="13"/>
      <c r="E1682" s="13"/>
      <c r="F1682" s="13"/>
      <c r="G1682" s="102">
        <v>1.0</v>
      </c>
      <c r="H1682" s="101" t="s">
        <v>2940</v>
      </c>
      <c r="I1682" s="102">
        <v>62.44</v>
      </c>
      <c r="J1682" s="102">
        <v>76.8</v>
      </c>
      <c r="K1682" s="101" t="s">
        <v>2941</v>
      </c>
      <c r="L1682" s="102">
        <v>23.0</v>
      </c>
      <c r="M1682" s="13"/>
    </row>
    <row r="1683">
      <c r="A1683" s="101" t="s">
        <v>4315</v>
      </c>
      <c r="B1683" s="101" t="s">
        <v>4316</v>
      </c>
      <c r="D1683" s="13"/>
      <c r="E1683" s="13"/>
      <c r="F1683" s="13"/>
      <c r="G1683" s="102">
        <v>2.0</v>
      </c>
      <c r="H1683" s="101" t="s">
        <v>2942</v>
      </c>
      <c r="I1683" s="102">
        <v>50.0</v>
      </c>
      <c r="J1683" s="102">
        <v>61.5</v>
      </c>
      <c r="K1683" s="101" t="s">
        <v>2941</v>
      </c>
      <c r="L1683" s="102">
        <v>23.0</v>
      </c>
      <c r="M1683" s="13"/>
    </row>
    <row r="1684">
      <c r="A1684" s="101" t="s">
        <v>4317</v>
      </c>
      <c r="B1684" s="101" t="s">
        <v>4318</v>
      </c>
      <c r="D1684" s="13"/>
      <c r="E1684" s="13"/>
      <c r="F1684" s="13"/>
      <c r="G1684" s="102">
        <v>1.0</v>
      </c>
      <c r="H1684" s="101" t="s">
        <v>2940</v>
      </c>
      <c r="I1684" s="102">
        <v>19.19</v>
      </c>
      <c r="J1684" s="102">
        <v>23.6</v>
      </c>
      <c r="K1684" s="101" t="s">
        <v>2941</v>
      </c>
      <c r="L1684" s="102">
        <v>23.0</v>
      </c>
      <c r="M1684" s="13"/>
    </row>
    <row r="1685">
      <c r="A1685" s="101" t="s">
        <v>4317</v>
      </c>
      <c r="B1685" s="101" t="s">
        <v>4318</v>
      </c>
      <c r="D1685" s="13"/>
      <c r="E1685" s="13"/>
      <c r="F1685" s="13"/>
      <c r="G1685" s="102">
        <v>2.0</v>
      </c>
      <c r="H1685" s="101" t="s">
        <v>2942</v>
      </c>
      <c r="I1685" s="102">
        <v>15.3</v>
      </c>
      <c r="J1685" s="102">
        <v>18.82</v>
      </c>
      <c r="K1685" s="101" t="s">
        <v>2941</v>
      </c>
      <c r="L1685" s="102">
        <v>23.0</v>
      </c>
      <c r="M1685" s="13"/>
    </row>
    <row r="1686">
      <c r="A1686" s="101" t="s">
        <v>4319</v>
      </c>
      <c r="B1686" s="101" t="s">
        <v>4320</v>
      </c>
      <c r="D1686" s="13"/>
      <c r="E1686" s="13"/>
      <c r="F1686" s="13"/>
      <c r="G1686" s="102">
        <v>1.0</v>
      </c>
      <c r="H1686" s="101" t="s">
        <v>2940</v>
      </c>
      <c r="I1686" s="102">
        <v>38.37</v>
      </c>
      <c r="J1686" s="102">
        <v>47.2</v>
      </c>
      <c r="K1686" s="101" t="s">
        <v>2941</v>
      </c>
      <c r="L1686" s="102">
        <v>23.0</v>
      </c>
      <c r="M1686" s="13"/>
    </row>
    <row r="1687">
      <c r="A1687" s="101" t="s">
        <v>4319</v>
      </c>
      <c r="B1687" s="101" t="s">
        <v>4320</v>
      </c>
      <c r="D1687" s="13"/>
      <c r="E1687" s="13"/>
      <c r="F1687" s="13"/>
      <c r="G1687" s="102">
        <v>2.0</v>
      </c>
      <c r="H1687" s="101" t="s">
        <v>2942</v>
      </c>
      <c r="I1687" s="102">
        <v>30.7</v>
      </c>
      <c r="J1687" s="102">
        <v>37.76</v>
      </c>
      <c r="K1687" s="101" t="s">
        <v>2941</v>
      </c>
      <c r="L1687" s="102">
        <v>23.0</v>
      </c>
      <c r="M1687" s="13"/>
    </row>
    <row r="1688">
      <c r="A1688" s="101" t="s">
        <v>4321</v>
      </c>
      <c r="B1688" s="101" t="s">
        <v>4322</v>
      </c>
      <c r="D1688" s="13"/>
      <c r="E1688" s="13"/>
      <c r="F1688" s="13"/>
      <c r="G1688" s="102">
        <v>1.0</v>
      </c>
      <c r="H1688" s="101" t="s">
        <v>2940</v>
      </c>
      <c r="I1688" s="102">
        <v>57.48</v>
      </c>
      <c r="J1688" s="102">
        <v>70.7</v>
      </c>
      <c r="K1688" s="101" t="s">
        <v>2941</v>
      </c>
      <c r="L1688" s="102">
        <v>23.0</v>
      </c>
      <c r="M1688" s="13"/>
    </row>
    <row r="1689">
      <c r="A1689" s="101" t="s">
        <v>4321</v>
      </c>
      <c r="B1689" s="101" t="s">
        <v>4322</v>
      </c>
      <c r="D1689" s="13"/>
      <c r="E1689" s="13"/>
      <c r="F1689" s="13"/>
      <c r="G1689" s="102">
        <v>2.0</v>
      </c>
      <c r="H1689" s="101" t="s">
        <v>2942</v>
      </c>
      <c r="I1689" s="102">
        <v>46.0</v>
      </c>
      <c r="J1689" s="102">
        <v>56.58</v>
      </c>
      <c r="K1689" s="101" t="s">
        <v>2941</v>
      </c>
      <c r="L1689" s="102">
        <v>23.0</v>
      </c>
      <c r="M1689" s="13"/>
    </row>
    <row r="1690">
      <c r="A1690" s="101" t="s">
        <v>4323</v>
      </c>
      <c r="B1690" s="101">
        <v>178.0</v>
      </c>
      <c r="C1690" s="13"/>
      <c r="D1690" s="13"/>
      <c r="E1690" s="13"/>
      <c r="F1690" s="13"/>
      <c r="G1690" s="102">
        <v>1.0</v>
      </c>
      <c r="H1690" s="101" t="s">
        <v>2940</v>
      </c>
      <c r="I1690" s="102">
        <v>19.27</v>
      </c>
      <c r="J1690" s="102">
        <v>23.7</v>
      </c>
      <c r="K1690" s="101" t="s">
        <v>2941</v>
      </c>
      <c r="L1690" s="102">
        <v>23.0</v>
      </c>
      <c r="M1690" s="13"/>
    </row>
    <row r="1691">
      <c r="A1691" s="101" t="s">
        <v>4323</v>
      </c>
      <c r="B1691" s="101">
        <v>178.0</v>
      </c>
      <c r="C1691" s="13"/>
      <c r="D1691" s="13"/>
      <c r="E1691" s="13"/>
      <c r="F1691" s="13"/>
      <c r="G1691" s="102">
        <v>2.0</v>
      </c>
      <c r="H1691" s="101" t="s">
        <v>2942</v>
      </c>
      <c r="I1691" s="102">
        <v>19.3</v>
      </c>
      <c r="J1691" s="102">
        <v>23.74</v>
      </c>
      <c r="K1691" s="101" t="s">
        <v>2941</v>
      </c>
      <c r="L1691" s="102">
        <v>23.0</v>
      </c>
      <c r="M1691" s="13"/>
    </row>
    <row r="1692">
      <c r="A1692" s="101" t="s">
        <v>4324</v>
      </c>
      <c r="B1692" s="101" t="s">
        <v>4325</v>
      </c>
      <c r="D1692" s="13"/>
      <c r="E1692" s="13"/>
      <c r="F1692" s="13"/>
      <c r="G1692" s="102">
        <v>1.0</v>
      </c>
      <c r="H1692" s="101" t="s">
        <v>2940</v>
      </c>
      <c r="I1692" s="102">
        <v>27.8</v>
      </c>
      <c r="J1692" s="102">
        <v>34.19</v>
      </c>
      <c r="K1692" s="101" t="s">
        <v>2941</v>
      </c>
      <c r="L1692" s="102">
        <v>23.0</v>
      </c>
      <c r="M1692" s="13"/>
    </row>
    <row r="1693">
      <c r="A1693" s="101" t="s">
        <v>4324</v>
      </c>
      <c r="B1693" s="101" t="s">
        <v>4325</v>
      </c>
      <c r="D1693" s="13"/>
      <c r="E1693" s="13"/>
      <c r="F1693" s="13"/>
      <c r="G1693" s="102">
        <v>2.0</v>
      </c>
      <c r="H1693" s="101" t="s">
        <v>2942</v>
      </c>
      <c r="I1693" s="102">
        <v>22.2</v>
      </c>
      <c r="J1693" s="102">
        <v>27.31</v>
      </c>
      <c r="K1693" s="101" t="s">
        <v>2941</v>
      </c>
      <c r="L1693" s="102">
        <v>23.0</v>
      </c>
      <c r="M1693" s="13"/>
    </row>
    <row r="1694">
      <c r="A1694" s="101" t="s">
        <v>4326</v>
      </c>
      <c r="B1694" s="101">
        <v>1022.0</v>
      </c>
      <c r="C1694" s="13"/>
      <c r="D1694" s="13"/>
      <c r="E1694" s="13"/>
      <c r="F1694" s="13"/>
      <c r="G1694" s="102">
        <v>1.0</v>
      </c>
      <c r="H1694" s="101" t="s">
        <v>2940</v>
      </c>
      <c r="I1694" s="102">
        <v>22.76</v>
      </c>
      <c r="J1694" s="102">
        <v>27.99</v>
      </c>
      <c r="K1694" s="101" t="s">
        <v>2941</v>
      </c>
      <c r="L1694" s="102">
        <v>23.0</v>
      </c>
      <c r="M1694" s="13"/>
    </row>
    <row r="1695">
      <c r="A1695" s="101" t="s">
        <v>4326</v>
      </c>
      <c r="B1695" s="101">
        <v>1022.0</v>
      </c>
      <c r="C1695" s="13"/>
      <c r="D1695" s="13"/>
      <c r="E1695" s="13"/>
      <c r="F1695" s="13"/>
      <c r="G1695" s="102">
        <v>2.0</v>
      </c>
      <c r="H1695" s="101" t="s">
        <v>2942</v>
      </c>
      <c r="I1695" s="102">
        <v>22.8</v>
      </c>
      <c r="J1695" s="102">
        <v>28.04</v>
      </c>
      <c r="K1695" s="101" t="s">
        <v>2941</v>
      </c>
      <c r="L1695" s="102">
        <v>23.0</v>
      </c>
      <c r="M1695" s="13"/>
    </row>
    <row r="1696">
      <c r="A1696" s="101" t="s">
        <v>4327</v>
      </c>
      <c r="B1696" s="101">
        <v>179.0</v>
      </c>
      <c r="C1696" s="13"/>
      <c r="D1696" s="13"/>
      <c r="E1696" s="13"/>
      <c r="F1696" s="13"/>
      <c r="G1696" s="102">
        <v>1.0</v>
      </c>
      <c r="H1696" s="101" t="s">
        <v>2940</v>
      </c>
      <c r="I1696" s="102">
        <v>38.54</v>
      </c>
      <c r="J1696" s="102">
        <v>47.4</v>
      </c>
      <c r="K1696" s="101" t="s">
        <v>2941</v>
      </c>
      <c r="L1696" s="102">
        <v>23.0</v>
      </c>
      <c r="M1696" s="13"/>
    </row>
    <row r="1697">
      <c r="A1697" s="101" t="s">
        <v>4327</v>
      </c>
      <c r="B1697" s="101">
        <v>179.0</v>
      </c>
      <c r="C1697" s="13"/>
      <c r="D1697" s="13"/>
      <c r="E1697" s="13"/>
      <c r="F1697" s="13"/>
      <c r="G1697" s="102">
        <v>2.0</v>
      </c>
      <c r="H1697" s="101" t="s">
        <v>2942</v>
      </c>
      <c r="I1697" s="102">
        <v>38.5</v>
      </c>
      <c r="J1697" s="102">
        <v>47.36</v>
      </c>
      <c r="K1697" s="101" t="s">
        <v>2941</v>
      </c>
      <c r="L1697" s="102">
        <v>23.0</v>
      </c>
      <c r="M1697" s="13"/>
    </row>
    <row r="1698">
      <c r="A1698" s="101" t="s">
        <v>4328</v>
      </c>
      <c r="B1698" s="101" t="s">
        <v>4329</v>
      </c>
      <c r="D1698" s="13"/>
      <c r="E1698" s="13"/>
      <c r="F1698" s="13"/>
      <c r="G1698" s="102">
        <v>1.0</v>
      </c>
      <c r="H1698" s="101" t="s">
        <v>2940</v>
      </c>
      <c r="I1698" s="102">
        <v>55.69</v>
      </c>
      <c r="J1698" s="102">
        <v>68.5</v>
      </c>
      <c r="K1698" s="101" t="s">
        <v>2941</v>
      </c>
      <c r="L1698" s="102">
        <v>23.0</v>
      </c>
      <c r="M1698" s="13"/>
    </row>
    <row r="1699">
      <c r="A1699" s="101" t="s">
        <v>4328</v>
      </c>
      <c r="B1699" s="101" t="s">
        <v>4329</v>
      </c>
      <c r="D1699" s="13"/>
      <c r="E1699" s="13"/>
      <c r="F1699" s="13"/>
      <c r="G1699" s="102">
        <v>2.0</v>
      </c>
      <c r="H1699" s="101" t="s">
        <v>2942</v>
      </c>
      <c r="I1699" s="102">
        <v>44.6</v>
      </c>
      <c r="J1699" s="102">
        <v>54.86</v>
      </c>
      <c r="K1699" s="101" t="s">
        <v>2941</v>
      </c>
      <c r="L1699" s="102">
        <v>23.0</v>
      </c>
      <c r="M1699" s="13"/>
    </row>
    <row r="1700">
      <c r="A1700" s="101" t="s">
        <v>4330</v>
      </c>
      <c r="B1700" s="101">
        <v>465.0</v>
      </c>
      <c r="C1700" s="13"/>
      <c r="D1700" s="13"/>
      <c r="E1700" s="13"/>
      <c r="F1700" s="13"/>
      <c r="G1700" s="102">
        <v>1.0</v>
      </c>
      <c r="H1700" s="101" t="s">
        <v>2940</v>
      </c>
      <c r="I1700" s="102">
        <v>45.69</v>
      </c>
      <c r="J1700" s="102">
        <v>56.2</v>
      </c>
      <c r="K1700" s="101" t="s">
        <v>2941</v>
      </c>
      <c r="L1700" s="102">
        <v>23.0</v>
      </c>
      <c r="M1700" s="13"/>
    </row>
    <row r="1701">
      <c r="A1701" s="101" t="s">
        <v>4330</v>
      </c>
      <c r="B1701" s="101">
        <v>465.0</v>
      </c>
      <c r="C1701" s="13"/>
      <c r="D1701" s="13"/>
      <c r="E1701" s="13"/>
      <c r="F1701" s="13"/>
      <c r="G1701" s="102">
        <v>2.0</v>
      </c>
      <c r="H1701" s="101" t="s">
        <v>2942</v>
      </c>
      <c r="I1701" s="102">
        <v>45.7</v>
      </c>
      <c r="J1701" s="102">
        <v>56.21</v>
      </c>
      <c r="K1701" s="101" t="s">
        <v>2941</v>
      </c>
      <c r="L1701" s="102">
        <v>23.0</v>
      </c>
      <c r="M1701" s="13"/>
    </row>
    <row r="1702">
      <c r="A1702" s="101" t="s">
        <v>4331</v>
      </c>
      <c r="B1702" s="101">
        <v>180.0</v>
      </c>
      <c r="C1702" s="13"/>
      <c r="D1702" s="13"/>
      <c r="E1702" s="13"/>
      <c r="F1702" s="13"/>
      <c r="G1702" s="102">
        <v>1.0</v>
      </c>
      <c r="H1702" s="101" t="s">
        <v>2940</v>
      </c>
      <c r="I1702" s="102">
        <v>57.8</v>
      </c>
      <c r="J1702" s="102">
        <v>71.09</v>
      </c>
      <c r="K1702" s="101" t="s">
        <v>2941</v>
      </c>
      <c r="L1702" s="102">
        <v>23.0</v>
      </c>
      <c r="M1702" s="13"/>
    </row>
    <row r="1703">
      <c r="A1703" s="101" t="s">
        <v>4331</v>
      </c>
      <c r="B1703" s="101">
        <v>180.0</v>
      </c>
      <c r="C1703" s="13"/>
      <c r="D1703" s="13"/>
      <c r="E1703" s="13"/>
      <c r="F1703" s="13"/>
      <c r="G1703" s="102">
        <v>2.0</v>
      </c>
      <c r="H1703" s="101" t="s">
        <v>2942</v>
      </c>
      <c r="I1703" s="102">
        <v>57.8</v>
      </c>
      <c r="J1703" s="102">
        <v>71.09</v>
      </c>
      <c r="K1703" s="101" t="s">
        <v>2941</v>
      </c>
      <c r="L1703" s="102">
        <v>23.0</v>
      </c>
      <c r="M1703" s="13"/>
    </row>
    <row r="1704">
      <c r="A1704" s="101" t="s">
        <v>4332</v>
      </c>
      <c r="B1704" s="101" t="s">
        <v>4333</v>
      </c>
      <c r="D1704" s="13"/>
      <c r="E1704" s="13"/>
      <c r="F1704" s="13"/>
      <c r="G1704" s="102">
        <v>1.0</v>
      </c>
      <c r="H1704" s="101" t="s">
        <v>2940</v>
      </c>
      <c r="I1704" s="102">
        <v>92.68</v>
      </c>
      <c r="J1704" s="102">
        <v>114.0</v>
      </c>
      <c r="K1704" s="101" t="s">
        <v>2941</v>
      </c>
      <c r="L1704" s="102">
        <v>23.0</v>
      </c>
      <c r="M1704" s="13"/>
    </row>
    <row r="1705">
      <c r="A1705" s="101" t="s">
        <v>4332</v>
      </c>
      <c r="B1705" s="101" t="s">
        <v>4333</v>
      </c>
      <c r="D1705" s="13"/>
      <c r="E1705" s="13"/>
      <c r="F1705" s="13"/>
      <c r="G1705" s="102">
        <v>2.0</v>
      </c>
      <c r="H1705" s="101" t="s">
        <v>2942</v>
      </c>
      <c r="I1705" s="102">
        <v>92.9</v>
      </c>
      <c r="J1705" s="102">
        <v>114.27</v>
      </c>
      <c r="K1705" s="101" t="s">
        <v>2941</v>
      </c>
      <c r="L1705" s="102">
        <v>23.0</v>
      </c>
      <c r="M1705" s="13"/>
    </row>
    <row r="1706">
      <c r="A1706" s="101" t="s">
        <v>4334</v>
      </c>
      <c r="B1706" s="101">
        <v>474.0</v>
      </c>
      <c r="C1706" s="13"/>
      <c r="D1706" s="13"/>
      <c r="E1706" s="13"/>
      <c r="F1706" s="13"/>
      <c r="G1706" s="102">
        <v>1.0</v>
      </c>
      <c r="H1706" s="101" t="s">
        <v>2940</v>
      </c>
      <c r="I1706" s="102">
        <v>68.54</v>
      </c>
      <c r="J1706" s="102">
        <v>84.3</v>
      </c>
      <c r="K1706" s="101" t="s">
        <v>2941</v>
      </c>
      <c r="L1706" s="102">
        <v>23.0</v>
      </c>
      <c r="M1706" s="13"/>
    </row>
    <row r="1707">
      <c r="A1707" s="101" t="s">
        <v>4334</v>
      </c>
      <c r="B1707" s="101">
        <v>474.0</v>
      </c>
      <c r="C1707" s="13"/>
      <c r="D1707" s="13"/>
      <c r="E1707" s="13"/>
      <c r="F1707" s="13"/>
      <c r="G1707" s="102">
        <v>2.0</v>
      </c>
      <c r="H1707" s="101" t="s">
        <v>2942</v>
      </c>
      <c r="I1707" s="102">
        <v>68.5</v>
      </c>
      <c r="J1707" s="102">
        <v>84.26</v>
      </c>
      <c r="K1707" s="101" t="s">
        <v>2941</v>
      </c>
      <c r="L1707" s="102">
        <v>23.0</v>
      </c>
      <c r="M1707" s="13"/>
    </row>
    <row r="1708">
      <c r="A1708" s="101" t="s">
        <v>4335</v>
      </c>
      <c r="B1708" s="101" t="s">
        <v>4336</v>
      </c>
      <c r="D1708" s="13"/>
      <c r="E1708" s="13"/>
      <c r="F1708" s="13"/>
      <c r="G1708" s="102">
        <v>1.0</v>
      </c>
      <c r="H1708" s="101" t="s">
        <v>2940</v>
      </c>
      <c r="I1708" s="102">
        <v>19.35</v>
      </c>
      <c r="J1708" s="102">
        <v>23.8</v>
      </c>
      <c r="K1708" s="101" t="s">
        <v>2941</v>
      </c>
      <c r="L1708" s="102">
        <v>23.0</v>
      </c>
      <c r="M1708" s="13"/>
    </row>
    <row r="1709">
      <c r="A1709" s="101" t="s">
        <v>4335</v>
      </c>
      <c r="B1709" s="101" t="s">
        <v>4336</v>
      </c>
      <c r="D1709" s="13"/>
      <c r="E1709" s="13"/>
      <c r="F1709" s="13"/>
      <c r="G1709" s="102">
        <v>2.0</v>
      </c>
      <c r="H1709" s="101" t="s">
        <v>2942</v>
      </c>
      <c r="I1709" s="102">
        <v>15.5</v>
      </c>
      <c r="J1709" s="102">
        <v>19.07</v>
      </c>
      <c r="K1709" s="101" t="s">
        <v>2941</v>
      </c>
      <c r="L1709" s="102">
        <v>23.0</v>
      </c>
      <c r="M1709" s="13"/>
    </row>
    <row r="1710">
      <c r="A1710" s="101" t="s">
        <v>4337</v>
      </c>
      <c r="B1710" s="101" t="s">
        <v>4338</v>
      </c>
      <c r="E1710" s="13"/>
      <c r="F1710" s="13"/>
      <c r="G1710" s="102">
        <v>1.0</v>
      </c>
      <c r="H1710" s="101" t="s">
        <v>2940</v>
      </c>
      <c r="I1710" s="102">
        <v>29.8</v>
      </c>
      <c r="J1710" s="102">
        <v>36.65</v>
      </c>
      <c r="K1710" s="101" t="s">
        <v>2941</v>
      </c>
      <c r="L1710" s="102">
        <v>23.0</v>
      </c>
      <c r="M1710" s="13"/>
    </row>
    <row r="1711">
      <c r="A1711" s="101" t="s">
        <v>4337</v>
      </c>
      <c r="B1711" s="101" t="s">
        <v>4338</v>
      </c>
      <c r="E1711" s="13"/>
      <c r="F1711" s="13"/>
      <c r="G1711" s="102">
        <v>2.0</v>
      </c>
      <c r="H1711" s="101" t="s">
        <v>2942</v>
      </c>
      <c r="I1711" s="102">
        <v>29.8</v>
      </c>
      <c r="J1711" s="102">
        <v>36.65</v>
      </c>
      <c r="K1711" s="101" t="s">
        <v>2941</v>
      </c>
      <c r="L1711" s="102">
        <v>23.0</v>
      </c>
      <c r="M1711" s="13"/>
    </row>
    <row r="1712">
      <c r="A1712" s="101" t="s">
        <v>4339</v>
      </c>
      <c r="B1712" s="101" t="s">
        <v>4340</v>
      </c>
      <c r="D1712" s="13"/>
      <c r="E1712" s="13"/>
      <c r="F1712" s="13"/>
      <c r="G1712" s="102">
        <v>1.0</v>
      </c>
      <c r="H1712" s="101" t="s">
        <v>2940</v>
      </c>
      <c r="I1712" s="102">
        <v>28.5</v>
      </c>
      <c r="J1712" s="102">
        <v>35.06</v>
      </c>
      <c r="K1712" s="101" t="s">
        <v>2941</v>
      </c>
      <c r="L1712" s="102">
        <v>23.0</v>
      </c>
      <c r="M1712" s="13"/>
    </row>
    <row r="1713">
      <c r="A1713" s="101" t="s">
        <v>4339</v>
      </c>
      <c r="B1713" s="101" t="s">
        <v>4340</v>
      </c>
      <c r="D1713" s="13"/>
      <c r="E1713" s="13"/>
      <c r="F1713" s="13"/>
      <c r="G1713" s="102">
        <v>2.0</v>
      </c>
      <c r="H1713" s="101" t="s">
        <v>2942</v>
      </c>
      <c r="I1713" s="102">
        <v>28.5</v>
      </c>
      <c r="J1713" s="102">
        <v>35.06</v>
      </c>
      <c r="K1713" s="101" t="s">
        <v>2941</v>
      </c>
      <c r="L1713" s="102">
        <v>23.0</v>
      </c>
      <c r="M1713" s="13"/>
    </row>
    <row r="1714">
      <c r="A1714" s="101" t="s">
        <v>4341</v>
      </c>
      <c r="B1714" s="101" t="s">
        <v>4342</v>
      </c>
      <c r="D1714" s="13"/>
      <c r="E1714" s="13"/>
      <c r="F1714" s="13"/>
      <c r="G1714" s="102">
        <v>1.0</v>
      </c>
      <c r="H1714" s="101" t="s">
        <v>2940</v>
      </c>
      <c r="I1714" s="102">
        <v>17.07</v>
      </c>
      <c r="J1714" s="102">
        <v>21.0</v>
      </c>
      <c r="K1714" s="101" t="s">
        <v>2941</v>
      </c>
      <c r="L1714" s="102">
        <v>23.0</v>
      </c>
      <c r="M1714" s="13"/>
    </row>
    <row r="1715">
      <c r="A1715" s="101" t="s">
        <v>4341</v>
      </c>
      <c r="B1715" s="101" t="s">
        <v>4342</v>
      </c>
      <c r="D1715" s="13"/>
      <c r="E1715" s="13"/>
      <c r="F1715" s="13"/>
      <c r="G1715" s="102">
        <v>2.0</v>
      </c>
      <c r="H1715" s="101" t="s">
        <v>2942</v>
      </c>
      <c r="I1715" s="102">
        <v>16.8</v>
      </c>
      <c r="J1715" s="102">
        <v>20.66</v>
      </c>
      <c r="K1715" s="101" t="s">
        <v>2941</v>
      </c>
      <c r="L1715" s="102">
        <v>23.0</v>
      </c>
      <c r="M1715" s="13"/>
    </row>
    <row r="1716">
      <c r="A1716" s="101" t="s">
        <v>4343</v>
      </c>
      <c r="B1716" s="101" t="s">
        <v>4344</v>
      </c>
      <c r="D1716" s="13"/>
      <c r="E1716" s="13"/>
      <c r="F1716" s="13"/>
      <c r="G1716" s="102">
        <v>1.0</v>
      </c>
      <c r="H1716" s="101" t="s">
        <v>2940</v>
      </c>
      <c r="I1716" s="102">
        <v>28.05</v>
      </c>
      <c r="J1716" s="102">
        <v>34.5</v>
      </c>
      <c r="K1716" s="101" t="s">
        <v>2941</v>
      </c>
      <c r="L1716" s="102">
        <v>23.0</v>
      </c>
      <c r="M1716" s="13"/>
    </row>
    <row r="1717">
      <c r="A1717" s="101" t="s">
        <v>4343</v>
      </c>
      <c r="B1717" s="101" t="s">
        <v>4344</v>
      </c>
      <c r="D1717" s="13"/>
      <c r="E1717" s="13"/>
      <c r="F1717" s="13"/>
      <c r="G1717" s="102">
        <v>2.0</v>
      </c>
      <c r="H1717" s="101" t="s">
        <v>2942</v>
      </c>
      <c r="I1717" s="102">
        <v>28.05</v>
      </c>
      <c r="J1717" s="102">
        <v>34.5</v>
      </c>
      <c r="K1717" s="101" t="s">
        <v>2941</v>
      </c>
      <c r="L1717" s="102">
        <v>23.0</v>
      </c>
      <c r="M1717" s="13"/>
    </row>
    <row r="1718">
      <c r="A1718" s="101" t="s">
        <v>4345</v>
      </c>
      <c r="B1718" s="101" t="s">
        <v>4346</v>
      </c>
      <c r="D1718" s="13"/>
      <c r="E1718" s="13"/>
      <c r="F1718" s="13"/>
      <c r="G1718" s="102">
        <v>1.0</v>
      </c>
      <c r="H1718" s="101" t="s">
        <v>2940</v>
      </c>
      <c r="I1718" s="102">
        <v>38.62</v>
      </c>
      <c r="J1718" s="102">
        <v>47.5</v>
      </c>
      <c r="K1718" s="101" t="s">
        <v>2941</v>
      </c>
      <c r="L1718" s="102">
        <v>23.0</v>
      </c>
      <c r="M1718" s="13"/>
    </row>
    <row r="1719">
      <c r="A1719" s="101" t="s">
        <v>4345</v>
      </c>
      <c r="B1719" s="101" t="s">
        <v>4346</v>
      </c>
      <c r="D1719" s="13"/>
      <c r="E1719" s="13"/>
      <c r="F1719" s="13"/>
      <c r="G1719" s="102">
        <v>2.0</v>
      </c>
      <c r="H1719" s="101" t="s">
        <v>2942</v>
      </c>
      <c r="I1719" s="102">
        <v>30.9</v>
      </c>
      <c r="J1719" s="102">
        <v>38.01</v>
      </c>
      <c r="K1719" s="101" t="s">
        <v>2941</v>
      </c>
      <c r="L1719" s="102">
        <v>23.0</v>
      </c>
      <c r="M1719" s="13"/>
    </row>
    <row r="1720">
      <c r="A1720" s="101" t="s">
        <v>4347</v>
      </c>
      <c r="B1720" s="101" t="s">
        <v>4348</v>
      </c>
      <c r="D1720" s="13"/>
      <c r="E1720" s="13"/>
      <c r="F1720" s="13"/>
      <c r="G1720" s="102">
        <v>1.0</v>
      </c>
      <c r="H1720" s="101" t="s">
        <v>2940</v>
      </c>
      <c r="I1720" s="102">
        <v>57.0</v>
      </c>
      <c r="J1720" s="102">
        <v>70.11</v>
      </c>
      <c r="K1720" s="101" t="s">
        <v>2941</v>
      </c>
      <c r="L1720" s="102">
        <v>23.0</v>
      </c>
      <c r="M1720" s="13"/>
    </row>
    <row r="1721">
      <c r="A1721" s="101" t="s">
        <v>4347</v>
      </c>
      <c r="B1721" s="101" t="s">
        <v>4348</v>
      </c>
      <c r="D1721" s="13"/>
      <c r="E1721" s="13"/>
      <c r="F1721" s="13"/>
      <c r="G1721" s="102">
        <v>2.0</v>
      </c>
      <c r="H1721" s="101" t="s">
        <v>2942</v>
      </c>
      <c r="I1721" s="102">
        <v>57.0</v>
      </c>
      <c r="J1721" s="102">
        <v>70.11</v>
      </c>
      <c r="K1721" s="101" t="s">
        <v>2941</v>
      </c>
      <c r="L1721" s="102">
        <v>23.0</v>
      </c>
      <c r="M1721" s="13"/>
    </row>
    <row r="1722">
      <c r="A1722" s="101" t="s">
        <v>4349</v>
      </c>
      <c r="B1722" s="101" t="s">
        <v>4350</v>
      </c>
      <c r="D1722" s="13"/>
      <c r="E1722" s="13"/>
      <c r="F1722" s="13"/>
      <c r="G1722" s="102">
        <v>1.0</v>
      </c>
      <c r="H1722" s="101" t="s">
        <v>2940</v>
      </c>
      <c r="I1722" s="102">
        <v>57.0</v>
      </c>
      <c r="J1722" s="102">
        <v>70.11</v>
      </c>
      <c r="K1722" s="101" t="s">
        <v>2941</v>
      </c>
      <c r="L1722" s="102">
        <v>23.0</v>
      </c>
      <c r="M1722" s="13"/>
    </row>
    <row r="1723">
      <c r="A1723" s="101" t="s">
        <v>4349</v>
      </c>
      <c r="B1723" s="101" t="s">
        <v>4350</v>
      </c>
      <c r="D1723" s="13"/>
      <c r="E1723" s="13"/>
      <c r="F1723" s="13"/>
      <c r="G1723" s="102">
        <v>2.0</v>
      </c>
      <c r="H1723" s="101" t="s">
        <v>2942</v>
      </c>
      <c r="I1723" s="102">
        <v>57.0</v>
      </c>
      <c r="J1723" s="102">
        <v>70.11</v>
      </c>
      <c r="K1723" s="101" t="s">
        <v>2941</v>
      </c>
      <c r="L1723" s="102">
        <v>23.0</v>
      </c>
      <c r="M1723" s="13"/>
    </row>
    <row r="1724">
      <c r="A1724" s="101" t="s">
        <v>4351</v>
      </c>
      <c r="B1724" s="101" t="s">
        <v>4352</v>
      </c>
      <c r="D1724" s="13"/>
      <c r="E1724" s="13"/>
      <c r="F1724" s="13"/>
      <c r="G1724" s="102">
        <v>1.0</v>
      </c>
      <c r="H1724" s="101" t="s">
        <v>2940</v>
      </c>
      <c r="I1724" s="102">
        <v>57.89</v>
      </c>
      <c r="J1724" s="102">
        <v>71.2</v>
      </c>
      <c r="K1724" s="101" t="s">
        <v>2941</v>
      </c>
      <c r="L1724" s="102">
        <v>23.0</v>
      </c>
      <c r="M1724" s="13"/>
    </row>
    <row r="1725">
      <c r="A1725" s="101" t="s">
        <v>4351</v>
      </c>
      <c r="B1725" s="101" t="s">
        <v>4352</v>
      </c>
      <c r="D1725" s="13"/>
      <c r="E1725" s="13"/>
      <c r="F1725" s="13"/>
      <c r="G1725" s="102">
        <v>2.0</v>
      </c>
      <c r="H1725" s="101" t="s">
        <v>2942</v>
      </c>
      <c r="I1725" s="102">
        <v>46.3</v>
      </c>
      <c r="J1725" s="102">
        <v>56.95</v>
      </c>
      <c r="K1725" s="101" t="s">
        <v>2941</v>
      </c>
      <c r="L1725" s="102">
        <v>23.0</v>
      </c>
      <c r="M1725" s="13"/>
    </row>
    <row r="1726">
      <c r="A1726" s="101" t="s">
        <v>4353</v>
      </c>
      <c r="B1726" s="101" t="s">
        <v>4354</v>
      </c>
      <c r="D1726" s="13"/>
      <c r="E1726" s="13"/>
      <c r="F1726" s="13"/>
      <c r="G1726" s="102">
        <v>1.0</v>
      </c>
      <c r="H1726" s="101" t="s">
        <v>2940</v>
      </c>
      <c r="I1726" s="102">
        <v>85.5</v>
      </c>
      <c r="J1726" s="102">
        <v>105.17</v>
      </c>
      <c r="K1726" s="101" t="s">
        <v>2941</v>
      </c>
      <c r="L1726" s="102">
        <v>23.0</v>
      </c>
      <c r="M1726" s="13"/>
    </row>
    <row r="1727">
      <c r="A1727" s="101" t="s">
        <v>4353</v>
      </c>
      <c r="B1727" s="101" t="s">
        <v>4354</v>
      </c>
      <c r="D1727" s="13"/>
      <c r="E1727" s="13"/>
      <c r="F1727" s="13"/>
      <c r="G1727" s="102">
        <v>2.0</v>
      </c>
      <c r="H1727" s="101" t="s">
        <v>2942</v>
      </c>
      <c r="I1727" s="102">
        <v>85.5</v>
      </c>
      <c r="J1727" s="102">
        <v>105.17</v>
      </c>
      <c r="K1727" s="101" t="s">
        <v>2941</v>
      </c>
      <c r="L1727" s="102">
        <v>23.0</v>
      </c>
      <c r="M1727" s="13"/>
    </row>
    <row r="1728">
      <c r="A1728" s="101" t="s">
        <v>4355</v>
      </c>
      <c r="B1728" s="101" t="s">
        <v>4356</v>
      </c>
      <c r="D1728" s="13"/>
      <c r="E1728" s="13"/>
      <c r="F1728" s="13"/>
      <c r="G1728" s="102">
        <v>1.0</v>
      </c>
      <c r="H1728" s="101" t="s">
        <v>2940</v>
      </c>
      <c r="I1728" s="102">
        <v>85.5</v>
      </c>
      <c r="J1728" s="102">
        <v>105.17</v>
      </c>
      <c r="K1728" s="101" t="s">
        <v>2941</v>
      </c>
      <c r="L1728" s="102">
        <v>23.0</v>
      </c>
      <c r="M1728" s="13"/>
    </row>
    <row r="1729">
      <c r="A1729" s="101" t="s">
        <v>4355</v>
      </c>
      <c r="B1729" s="101" t="s">
        <v>4356</v>
      </c>
      <c r="D1729" s="13"/>
      <c r="E1729" s="13"/>
      <c r="F1729" s="13"/>
      <c r="G1729" s="102">
        <v>2.0</v>
      </c>
      <c r="H1729" s="101" t="s">
        <v>2942</v>
      </c>
      <c r="I1729" s="102">
        <v>85.5</v>
      </c>
      <c r="J1729" s="102">
        <v>105.17</v>
      </c>
      <c r="K1729" s="101" t="s">
        <v>2941</v>
      </c>
      <c r="L1729" s="102">
        <v>23.0</v>
      </c>
      <c r="M1729" s="13"/>
    </row>
    <row r="1730">
      <c r="A1730" s="101" t="s">
        <v>4357</v>
      </c>
      <c r="B1730" s="101">
        <v>223.0</v>
      </c>
      <c r="C1730" s="13"/>
      <c r="D1730" s="13"/>
      <c r="E1730" s="13"/>
      <c r="F1730" s="13"/>
      <c r="G1730" s="102">
        <v>1.0</v>
      </c>
      <c r="H1730" s="101" t="s">
        <v>2940</v>
      </c>
      <c r="I1730" s="102">
        <v>26.99</v>
      </c>
      <c r="J1730" s="102">
        <v>33.2</v>
      </c>
      <c r="K1730" s="101" t="s">
        <v>2941</v>
      </c>
      <c r="L1730" s="102">
        <v>23.0</v>
      </c>
      <c r="M1730" s="13"/>
    </row>
    <row r="1731">
      <c r="A1731" s="101" t="s">
        <v>4357</v>
      </c>
      <c r="B1731" s="101">
        <v>223.0</v>
      </c>
      <c r="C1731" s="13"/>
      <c r="D1731" s="13"/>
      <c r="E1731" s="13"/>
      <c r="F1731" s="13"/>
      <c r="G1731" s="102">
        <v>2.0</v>
      </c>
      <c r="H1731" s="101" t="s">
        <v>2942</v>
      </c>
      <c r="I1731" s="102">
        <v>27.0</v>
      </c>
      <c r="J1731" s="102">
        <v>33.21</v>
      </c>
      <c r="K1731" s="101" t="s">
        <v>2941</v>
      </c>
      <c r="L1731" s="102">
        <v>23.0</v>
      </c>
      <c r="M1731" s="13"/>
    </row>
    <row r="1732">
      <c r="A1732" s="101" t="s">
        <v>4358</v>
      </c>
      <c r="B1732" s="101">
        <v>274.0</v>
      </c>
      <c r="C1732" s="13"/>
      <c r="D1732" s="13"/>
      <c r="E1732" s="13"/>
      <c r="F1732" s="13"/>
      <c r="G1732" s="102">
        <v>1.0</v>
      </c>
      <c r="H1732" s="101" t="s">
        <v>2940</v>
      </c>
      <c r="I1732" s="102">
        <v>53.9</v>
      </c>
      <c r="J1732" s="102">
        <v>66.3</v>
      </c>
      <c r="K1732" s="101" t="s">
        <v>2941</v>
      </c>
      <c r="L1732" s="102">
        <v>23.0</v>
      </c>
      <c r="M1732" s="13"/>
    </row>
    <row r="1733">
      <c r="A1733" s="101" t="s">
        <v>4358</v>
      </c>
      <c r="B1733" s="101">
        <v>274.0</v>
      </c>
      <c r="C1733" s="13"/>
      <c r="D1733" s="13"/>
      <c r="E1733" s="13"/>
      <c r="F1733" s="13"/>
      <c r="G1733" s="102">
        <v>2.0</v>
      </c>
      <c r="H1733" s="101" t="s">
        <v>2942</v>
      </c>
      <c r="I1733" s="102">
        <v>53.9</v>
      </c>
      <c r="J1733" s="102">
        <v>66.3</v>
      </c>
      <c r="K1733" s="101" t="s">
        <v>2941</v>
      </c>
      <c r="L1733" s="102">
        <v>23.0</v>
      </c>
      <c r="M1733" s="13"/>
    </row>
    <row r="1734">
      <c r="A1734" s="101" t="s">
        <v>4359</v>
      </c>
      <c r="B1734" s="101">
        <v>1623.0</v>
      </c>
      <c r="C1734" s="13"/>
      <c r="D1734" s="13"/>
      <c r="E1734" s="13"/>
      <c r="F1734" s="13"/>
      <c r="G1734" s="102">
        <v>1.0</v>
      </c>
      <c r="H1734" s="101" t="s">
        <v>2940</v>
      </c>
      <c r="I1734" s="102">
        <v>80.89</v>
      </c>
      <c r="J1734" s="102">
        <v>99.49</v>
      </c>
      <c r="K1734" s="101" t="s">
        <v>2941</v>
      </c>
      <c r="L1734" s="102">
        <v>23.0</v>
      </c>
      <c r="M1734" s="13"/>
    </row>
    <row r="1735">
      <c r="A1735" s="101" t="s">
        <v>4359</v>
      </c>
      <c r="B1735" s="101">
        <v>1623.0</v>
      </c>
      <c r="C1735" s="13"/>
      <c r="D1735" s="13"/>
      <c r="E1735" s="13"/>
      <c r="F1735" s="13"/>
      <c r="G1735" s="102">
        <v>2.0</v>
      </c>
      <c r="H1735" s="101" t="s">
        <v>2942</v>
      </c>
      <c r="I1735" s="102">
        <v>80.9</v>
      </c>
      <c r="J1735" s="102">
        <v>99.51</v>
      </c>
      <c r="K1735" s="101" t="s">
        <v>2941</v>
      </c>
      <c r="L1735" s="102">
        <v>23.0</v>
      </c>
      <c r="M1735" s="13"/>
    </row>
    <row r="1736">
      <c r="A1736" s="101" t="s">
        <v>4360</v>
      </c>
      <c r="B1736" s="101" t="s">
        <v>4361</v>
      </c>
      <c r="D1736" s="13"/>
      <c r="E1736" s="13"/>
      <c r="F1736" s="13"/>
      <c r="G1736" s="102">
        <v>1.0</v>
      </c>
      <c r="H1736" s="101" t="s">
        <v>2940</v>
      </c>
      <c r="I1736" s="102">
        <v>20.81</v>
      </c>
      <c r="J1736" s="102">
        <v>25.6</v>
      </c>
      <c r="K1736" s="101" t="s">
        <v>2941</v>
      </c>
      <c r="L1736" s="102">
        <v>23.0</v>
      </c>
      <c r="M1736" s="13"/>
    </row>
    <row r="1737">
      <c r="A1737" s="101" t="s">
        <v>4360</v>
      </c>
      <c r="B1737" s="101" t="s">
        <v>4361</v>
      </c>
      <c r="D1737" s="13"/>
      <c r="E1737" s="13"/>
      <c r="F1737" s="13"/>
      <c r="G1737" s="102">
        <v>2.0</v>
      </c>
      <c r="H1737" s="101" t="s">
        <v>2942</v>
      </c>
      <c r="I1737" s="102">
        <v>16.7</v>
      </c>
      <c r="J1737" s="102">
        <v>20.54</v>
      </c>
      <c r="K1737" s="101" t="s">
        <v>2941</v>
      </c>
      <c r="L1737" s="102">
        <v>23.0</v>
      </c>
      <c r="M1737" s="13"/>
    </row>
    <row r="1738">
      <c r="A1738" s="101" t="s">
        <v>4362</v>
      </c>
      <c r="B1738" s="101">
        <v>1860.0</v>
      </c>
      <c r="C1738" s="13"/>
      <c r="D1738" s="13"/>
      <c r="E1738" s="13"/>
      <c r="F1738" s="13"/>
      <c r="G1738" s="102">
        <v>1.0</v>
      </c>
      <c r="H1738" s="101" t="s">
        <v>2940</v>
      </c>
      <c r="I1738" s="102">
        <v>23.74</v>
      </c>
      <c r="J1738" s="102">
        <v>29.2</v>
      </c>
      <c r="K1738" s="101" t="s">
        <v>2941</v>
      </c>
      <c r="L1738" s="102">
        <v>23.0</v>
      </c>
      <c r="M1738" s="13"/>
    </row>
    <row r="1739">
      <c r="A1739" s="101" t="s">
        <v>4362</v>
      </c>
      <c r="B1739" s="101">
        <v>1860.0</v>
      </c>
      <c r="C1739" s="13"/>
      <c r="D1739" s="13"/>
      <c r="E1739" s="13"/>
      <c r="F1739" s="13"/>
      <c r="G1739" s="102">
        <v>2.0</v>
      </c>
      <c r="H1739" s="101" t="s">
        <v>2942</v>
      </c>
      <c r="I1739" s="102">
        <v>23.7</v>
      </c>
      <c r="J1739" s="102">
        <v>29.15</v>
      </c>
      <c r="K1739" s="101" t="s">
        <v>2941</v>
      </c>
      <c r="L1739" s="102">
        <v>23.0</v>
      </c>
      <c r="M1739" s="13"/>
    </row>
    <row r="1740">
      <c r="A1740" s="101" t="s">
        <v>4363</v>
      </c>
      <c r="B1740" s="101">
        <v>1861.0</v>
      </c>
      <c r="C1740" s="13"/>
      <c r="D1740" s="13"/>
      <c r="E1740" s="13"/>
      <c r="F1740" s="13"/>
      <c r="G1740" s="102">
        <v>1.0</v>
      </c>
      <c r="H1740" s="101" t="s">
        <v>2940</v>
      </c>
      <c r="I1740" s="102">
        <v>47.4</v>
      </c>
      <c r="J1740" s="102">
        <v>58.3</v>
      </c>
      <c r="K1740" s="101" t="s">
        <v>2941</v>
      </c>
      <c r="L1740" s="102">
        <v>23.0</v>
      </c>
      <c r="M1740" s="13"/>
    </row>
    <row r="1741">
      <c r="A1741" s="101" t="s">
        <v>4363</v>
      </c>
      <c r="B1741" s="101">
        <v>1861.0</v>
      </c>
      <c r="C1741" s="13"/>
      <c r="D1741" s="13"/>
      <c r="E1741" s="13"/>
      <c r="F1741" s="13"/>
      <c r="G1741" s="102">
        <v>2.0</v>
      </c>
      <c r="H1741" s="101" t="s">
        <v>2942</v>
      </c>
      <c r="I1741" s="102">
        <v>47.4</v>
      </c>
      <c r="J1741" s="102">
        <v>58.3</v>
      </c>
      <c r="K1741" s="101" t="s">
        <v>2941</v>
      </c>
      <c r="L1741" s="102">
        <v>23.0</v>
      </c>
      <c r="M1741" s="13"/>
    </row>
    <row r="1742">
      <c r="A1742" s="101" t="s">
        <v>4364</v>
      </c>
      <c r="B1742" s="101">
        <v>1862.0</v>
      </c>
      <c r="C1742" s="13"/>
      <c r="D1742" s="13"/>
      <c r="E1742" s="13"/>
      <c r="F1742" s="13"/>
      <c r="G1742" s="102">
        <v>1.0</v>
      </c>
      <c r="H1742" s="101" t="s">
        <v>2940</v>
      </c>
      <c r="I1742" s="102">
        <v>71.14</v>
      </c>
      <c r="J1742" s="102">
        <v>87.5</v>
      </c>
      <c r="K1742" s="101" t="s">
        <v>2941</v>
      </c>
      <c r="L1742" s="102">
        <v>23.0</v>
      </c>
      <c r="M1742" s="13"/>
    </row>
    <row r="1743">
      <c r="A1743" s="101" t="s">
        <v>4364</v>
      </c>
      <c r="B1743" s="101">
        <v>1862.0</v>
      </c>
      <c r="C1743" s="13"/>
      <c r="D1743" s="13"/>
      <c r="E1743" s="13"/>
      <c r="F1743" s="13"/>
      <c r="G1743" s="102">
        <v>2.0</v>
      </c>
      <c r="H1743" s="101" t="s">
        <v>2942</v>
      </c>
      <c r="I1743" s="102">
        <v>71.1</v>
      </c>
      <c r="J1743" s="102">
        <v>87.45</v>
      </c>
      <c r="K1743" s="101" t="s">
        <v>2941</v>
      </c>
      <c r="L1743" s="102">
        <v>23.0</v>
      </c>
      <c r="M1743" s="13"/>
    </row>
    <row r="1744">
      <c r="A1744" s="101" t="s">
        <v>4365</v>
      </c>
      <c r="B1744" s="101">
        <v>790.0</v>
      </c>
      <c r="C1744" s="13"/>
      <c r="D1744" s="13"/>
      <c r="E1744" s="13"/>
      <c r="F1744" s="13"/>
      <c r="G1744" s="102">
        <v>1.0</v>
      </c>
      <c r="H1744" s="101" t="s">
        <v>2940</v>
      </c>
      <c r="I1744" s="102">
        <v>30.98</v>
      </c>
      <c r="J1744" s="102">
        <v>38.11</v>
      </c>
      <c r="K1744" s="101" t="s">
        <v>2941</v>
      </c>
      <c r="L1744" s="102">
        <v>23.0</v>
      </c>
      <c r="M1744" s="13"/>
    </row>
    <row r="1745">
      <c r="A1745" s="101" t="s">
        <v>4365</v>
      </c>
      <c r="B1745" s="101">
        <v>790.0</v>
      </c>
      <c r="C1745" s="13"/>
      <c r="D1745" s="13"/>
      <c r="E1745" s="13"/>
      <c r="F1745" s="13"/>
      <c r="G1745" s="102">
        <v>2.0</v>
      </c>
      <c r="H1745" s="101" t="s">
        <v>2942</v>
      </c>
      <c r="I1745" s="102">
        <v>31.0</v>
      </c>
      <c r="J1745" s="102">
        <v>38.13</v>
      </c>
      <c r="K1745" s="101" t="s">
        <v>2941</v>
      </c>
      <c r="L1745" s="102">
        <v>23.0</v>
      </c>
      <c r="M1745" s="13"/>
    </row>
    <row r="1746">
      <c r="A1746" s="101" t="s">
        <v>4366</v>
      </c>
      <c r="B1746" s="101" t="s">
        <v>4367</v>
      </c>
      <c r="D1746" s="13"/>
      <c r="E1746" s="13"/>
      <c r="F1746" s="13"/>
      <c r="G1746" s="102">
        <v>1.0</v>
      </c>
      <c r="H1746" s="101" t="s">
        <v>2940</v>
      </c>
      <c r="I1746" s="102">
        <v>29.59</v>
      </c>
      <c r="J1746" s="102">
        <v>36.4</v>
      </c>
      <c r="K1746" s="101" t="s">
        <v>2941</v>
      </c>
      <c r="L1746" s="102">
        <v>23.0</v>
      </c>
      <c r="M1746" s="13"/>
    </row>
    <row r="1747">
      <c r="A1747" s="101" t="s">
        <v>4366</v>
      </c>
      <c r="B1747" s="101" t="s">
        <v>4367</v>
      </c>
      <c r="D1747" s="13"/>
      <c r="E1747" s="13"/>
      <c r="F1747" s="13"/>
      <c r="G1747" s="102">
        <v>2.0</v>
      </c>
      <c r="H1747" s="101" t="s">
        <v>2942</v>
      </c>
      <c r="I1747" s="102">
        <v>23.7</v>
      </c>
      <c r="J1747" s="102">
        <v>29.15</v>
      </c>
      <c r="K1747" s="101" t="s">
        <v>2941</v>
      </c>
      <c r="L1747" s="102">
        <v>23.0</v>
      </c>
      <c r="M1747" s="13"/>
    </row>
    <row r="1748">
      <c r="A1748" s="101" t="s">
        <v>4368</v>
      </c>
      <c r="B1748" s="101" t="s">
        <v>4369</v>
      </c>
      <c r="D1748" s="13"/>
      <c r="E1748" s="13"/>
      <c r="F1748" s="13"/>
      <c r="G1748" s="102">
        <v>1.0</v>
      </c>
      <c r="H1748" s="101" t="s">
        <v>2940</v>
      </c>
      <c r="I1748" s="102">
        <v>55.69</v>
      </c>
      <c r="J1748" s="102">
        <v>68.5</v>
      </c>
      <c r="K1748" s="101" t="s">
        <v>2941</v>
      </c>
      <c r="L1748" s="102">
        <v>23.0</v>
      </c>
      <c r="M1748" s="13"/>
    </row>
    <row r="1749">
      <c r="A1749" s="101" t="s">
        <v>4368</v>
      </c>
      <c r="B1749" s="101" t="s">
        <v>4369</v>
      </c>
      <c r="D1749" s="13"/>
      <c r="E1749" s="13"/>
      <c r="F1749" s="13"/>
      <c r="G1749" s="102">
        <v>2.0</v>
      </c>
      <c r="H1749" s="101" t="s">
        <v>2942</v>
      </c>
      <c r="I1749" s="102">
        <v>44.6</v>
      </c>
      <c r="J1749" s="102">
        <v>54.86</v>
      </c>
      <c r="K1749" s="101" t="s">
        <v>2941</v>
      </c>
      <c r="L1749" s="102">
        <v>23.0</v>
      </c>
      <c r="M1749" s="13"/>
    </row>
    <row r="1750">
      <c r="A1750" s="101" t="s">
        <v>4370</v>
      </c>
      <c r="B1750" s="101" t="s">
        <v>4371</v>
      </c>
      <c r="D1750" s="13"/>
      <c r="E1750" s="13"/>
      <c r="F1750" s="13"/>
      <c r="G1750" s="102">
        <v>1.0</v>
      </c>
      <c r="H1750" s="101" t="s">
        <v>2940</v>
      </c>
      <c r="I1750" s="102">
        <v>59.19</v>
      </c>
      <c r="J1750" s="102">
        <v>72.8</v>
      </c>
      <c r="K1750" s="101" t="s">
        <v>2941</v>
      </c>
      <c r="L1750" s="102">
        <v>23.0</v>
      </c>
      <c r="M1750" s="13"/>
    </row>
    <row r="1751">
      <c r="A1751" s="101" t="s">
        <v>4370</v>
      </c>
      <c r="B1751" s="101" t="s">
        <v>4371</v>
      </c>
      <c r="D1751" s="13"/>
      <c r="E1751" s="13"/>
      <c r="F1751" s="13"/>
      <c r="G1751" s="102">
        <v>2.0</v>
      </c>
      <c r="H1751" s="101" t="s">
        <v>2942</v>
      </c>
      <c r="I1751" s="102">
        <v>47.3</v>
      </c>
      <c r="J1751" s="102">
        <v>58.18</v>
      </c>
      <c r="K1751" s="101" t="s">
        <v>2941</v>
      </c>
      <c r="L1751" s="102">
        <v>23.0</v>
      </c>
      <c r="M1751" s="13"/>
    </row>
    <row r="1752">
      <c r="A1752" s="101" t="s">
        <v>4372</v>
      </c>
      <c r="B1752" s="101" t="s">
        <v>4373</v>
      </c>
      <c r="D1752" s="13"/>
      <c r="E1752" s="13"/>
      <c r="F1752" s="13"/>
      <c r="G1752" s="102">
        <v>1.0</v>
      </c>
      <c r="H1752" s="101" t="s">
        <v>2940</v>
      </c>
      <c r="I1752" s="102">
        <v>83.58</v>
      </c>
      <c r="J1752" s="102">
        <v>102.8</v>
      </c>
      <c r="K1752" s="101" t="s">
        <v>2941</v>
      </c>
      <c r="L1752" s="102">
        <v>23.0</v>
      </c>
      <c r="M1752" s="13"/>
    </row>
    <row r="1753">
      <c r="A1753" s="101" t="s">
        <v>4372</v>
      </c>
      <c r="B1753" s="101" t="s">
        <v>4373</v>
      </c>
      <c r="D1753" s="13"/>
      <c r="E1753" s="13"/>
      <c r="F1753" s="13"/>
      <c r="G1753" s="102">
        <v>2.0</v>
      </c>
      <c r="H1753" s="101" t="s">
        <v>2942</v>
      </c>
      <c r="I1753" s="102">
        <v>66.9</v>
      </c>
      <c r="J1753" s="102">
        <v>82.29</v>
      </c>
      <c r="K1753" s="101" t="s">
        <v>2941</v>
      </c>
      <c r="L1753" s="102">
        <v>23.0</v>
      </c>
      <c r="M1753" s="13"/>
    </row>
    <row r="1754">
      <c r="A1754" s="101" t="s">
        <v>4374</v>
      </c>
      <c r="B1754" s="101" t="s">
        <v>4375</v>
      </c>
      <c r="D1754" s="13"/>
      <c r="E1754" s="13"/>
      <c r="F1754" s="13"/>
      <c r="G1754" s="102">
        <v>1.0</v>
      </c>
      <c r="H1754" s="101" t="s">
        <v>2940</v>
      </c>
      <c r="I1754" s="102">
        <v>88.86</v>
      </c>
      <c r="J1754" s="102">
        <v>109.3</v>
      </c>
      <c r="K1754" s="101" t="s">
        <v>2941</v>
      </c>
      <c r="L1754" s="102">
        <v>23.0</v>
      </c>
      <c r="M1754" s="13"/>
    </row>
    <row r="1755">
      <c r="A1755" s="101" t="s">
        <v>4374</v>
      </c>
      <c r="B1755" s="101" t="s">
        <v>4375</v>
      </c>
      <c r="D1755" s="13"/>
      <c r="E1755" s="13"/>
      <c r="F1755" s="13"/>
      <c r="G1755" s="102">
        <v>2.0</v>
      </c>
      <c r="H1755" s="101" t="s">
        <v>2942</v>
      </c>
      <c r="I1755" s="102">
        <v>71.1</v>
      </c>
      <c r="J1755" s="102">
        <v>87.45</v>
      </c>
      <c r="K1755" s="101" t="s">
        <v>2941</v>
      </c>
      <c r="L1755" s="102">
        <v>23.0</v>
      </c>
      <c r="M1755" s="13"/>
    </row>
    <row r="1756">
      <c r="A1756" s="101" t="s">
        <v>4376</v>
      </c>
      <c r="B1756" s="101" t="s">
        <v>4377</v>
      </c>
      <c r="D1756" s="13"/>
      <c r="E1756" s="13"/>
      <c r="F1756" s="13"/>
      <c r="G1756" s="102">
        <v>1.0</v>
      </c>
      <c r="H1756" s="101" t="s">
        <v>2940</v>
      </c>
      <c r="I1756" s="102">
        <v>11.95</v>
      </c>
      <c r="J1756" s="102">
        <v>14.7</v>
      </c>
      <c r="K1756" s="101" t="s">
        <v>2941</v>
      </c>
      <c r="L1756" s="102">
        <v>23.0</v>
      </c>
      <c r="M1756" s="13"/>
    </row>
    <row r="1757">
      <c r="A1757" s="101" t="s">
        <v>4376</v>
      </c>
      <c r="B1757" s="101" t="s">
        <v>4377</v>
      </c>
      <c r="D1757" s="13"/>
      <c r="E1757" s="13"/>
      <c r="F1757" s="13"/>
      <c r="G1757" s="102">
        <v>2.0</v>
      </c>
      <c r="H1757" s="101" t="s">
        <v>2942</v>
      </c>
      <c r="I1757" s="102">
        <v>11.95</v>
      </c>
      <c r="J1757" s="102">
        <v>14.7</v>
      </c>
      <c r="K1757" s="101" t="s">
        <v>2941</v>
      </c>
      <c r="L1757" s="102">
        <v>23.0</v>
      </c>
      <c r="M1757" s="13"/>
    </row>
    <row r="1758">
      <c r="A1758" s="101" t="s">
        <v>4378</v>
      </c>
      <c r="B1758" s="101" t="s">
        <v>4379</v>
      </c>
      <c r="D1758" s="13"/>
      <c r="E1758" s="13"/>
      <c r="F1758" s="13"/>
      <c r="G1758" s="102">
        <v>1.0</v>
      </c>
      <c r="H1758" s="101" t="s">
        <v>2940</v>
      </c>
      <c r="I1758" s="102">
        <v>14.7</v>
      </c>
      <c r="J1758" s="102">
        <v>18.08</v>
      </c>
      <c r="K1758" s="101" t="s">
        <v>2941</v>
      </c>
      <c r="L1758" s="102">
        <v>23.0</v>
      </c>
      <c r="M1758" s="13"/>
    </row>
    <row r="1759">
      <c r="A1759" s="101" t="s">
        <v>4378</v>
      </c>
      <c r="B1759" s="101" t="s">
        <v>4379</v>
      </c>
      <c r="D1759" s="13"/>
      <c r="E1759" s="13"/>
      <c r="F1759" s="13"/>
      <c r="G1759" s="102">
        <v>2.0</v>
      </c>
      <c r="H1759" s="101" t="s">
        <v>2942</v>
      </c>
      <c r="I1759" s="102">
        <v>14.7</v>
      </c>
      <c r="J1759" s="102">
        <v>18.08</v>
      </c>
      <c r="K1759" s="101" t="s">
        <v>2941</v>
      </c>
      <c r="L1759" s="102">
        <v>23.0</v>
      </c>
      <c r="M1759" s="13"/>
    </row>
    <row r="1760">
      <c r="A1760" s="101" t="s">
        <v>4380</v>
      </c>
      <c r="B1760" s="101" t="s">
        <v>4381</v>
      </c>
      <c r="D1760" s="13"/>
      <c r="E1760" s="13"/>
      <c r="F1760" s="13"/>
      <c r="G1760" s="102">
        <v>1.0</v>
      </c>
      <c r="H1760" s="101" t="s">
        <v>2940</v>
      </c>
      <c r="I1760" s="102">
        <v>26.75</v>
      </c>
      <c r="J1760" s="102">
        <v>32.9</v>
      </c>
      <c r="K1760" s="101" t="s">
        <v>2941</v>
      </c>
      <c r="L1760" s="102">
        <v>23.0</v>
      </c>
      <c r="M1760" s="13"/>
    </row>
    <row r="1761">
      <c r="A1761" s="101" t="s">
        <v>4380</v>
      </c>
      <c r="B1761" s="101" t="s">
        <v>4381</v>
      </c>
      <c r="D1761" s="13"/>
      <c r="E1761" s="13"/>
      <c r="F1761" s="13"/>
      <c r="G1761" s="102">
        <v>2.0</v>
      </c>
      <c r="H1761" s="101" t="s">
        <v>2942</v>
      </c>
      <c r="I1761" s="102">
        <v>26.75</v>
      </c>
      <c r="J1761" s="102">
        <v>32.9</v>
      </c>
      <c r="K1761" s="101" t="s">
        <v>2941</v>
      </c>
      <c r="L1761" s="102">
        <v>23.0</v>
      </c>
      <c r="M1761" s="13"/>
    </row>
    <row r="1762">
      <c r="A1762" s="101" t="s">
        <v>4382</v>
      </c>
      <c r="B1762" s="101" t="s">
        <v>4383</v>
      </c>
      <c r="D1762" s="13"/>
      <c r="E1762" s="13"/>
      <c r="F1762" s="13"/>
      <c r="G1762" s="102">
        <v>1.0</v>
      </c>
      <c r="H1762" s="101" t="s">
        <v>2940</v>
      </c>
      <c r="I1762" s="102">
        <v>26.02</v>
      </c>
      <c r="J1762" s="102">
        <v>32.0</v>
      </c>
      <c r="K1762" s="101" t="s">
        <v>2941</v>
      </c>
      <c r="L1762" s="102">
        <v>23.0</v>
      </c>
      <c r="M1762" s="13"/>
    </row>
    <row r="1763">
      <c r="A1763" s="101" t="s">
        <v>4382</v>
      </c>
      <c r="B1763" s="101" t="s">
        <v>4383</v>
      </c>
      <c r="D1763" s="13"/>
      <c r="E1763" s="13"/>
      <c r="F1763" s="13"/>
      <c r="G1763" s="102">
        <v>2.0</v>
      </c>
      <c r="H1763" s="101" t="s">
        <v>2942</v>
      </c>
      <c r="I1763" s="102">
        <v>25.45</v>
      </c>
      <c r="J1763" s="102">
        <v>31.3</v>
      </c>
      <c r="K1763" s="101" t="s">
        <v>2941</v>
      </c>
      <c r="L1763" s="102">
        <v>23.0</v>
      </c>
      <c r="M1763" s="13"/>
    </row>
    <row r="1764">
      <c r="A1764" s="101" t="s">
        <v>4384</v>
      </c>
      <c r="B1764" s="101" t="s">
        <v>4385</v>
      </c>
      <c r="D1764" s="13"/>
      <c r="E1764" s="13"/>
      <c r="F1764" s="13"/>
      <c r="G1764" s="102">
        <v>1.0</v>
      </c>
      <c r="H1764" s="101" t="s">
        <v>2940</v>
      </c>
      <c r="I1764" s="102">
        <v>20.33</v>
      </c>
      <c r="J1764" s="102">
        <v>25.01</v>
      </c>
      <c r="K1764" s="101" t="s">
        <v>2941</v>
      </c>
      <c r="L1764" s="102">
        <v>23.0</v>
      </c>
      <c r="M1764" s="13"/>
    </row>
    <row r="1765">
      <c r="A1765" s="101" t="s">
        <v>4384</v>
      </c>
      <c r="B1765" s="101" t="s">
        <v>4385</v>
      </c>
      <c r="D1765" s="13"/>
      <c r="E1765" s="13"/>
      <c r="F1765" s="13"/>
      <c r="G1765" s="102">
        <v>2.0</v>
      </c>
      <c r="H1765" s="101" t="s">
        <v>2942</v>
      </c>
      <c r="I1765" s="102">
        <v>19.75</v>
      </c>
      <c r="J1765" s="102">
        <v>24.29</v>
      </c>
      <c r="K1765" s="101" t="s">
        <v>2941</v>
      </c>
      <c r="L1765" s="102">
        <v>23.0</v>
      </c>
      <c r="M1765" s="13"/>
    </row>
    <row r="1766">
      <c r="A1766" s="101" t="s">
        <v>4386</v>
      </c>
      <c r="B1766" s="101" t="s">
        <v>4387</v>
      </c>
      <c r="D1766" s="13"/>
      <c r="E1766" s="13"/>
      <c r="F1766" s="13"/>
      <c r="G1766" s="102">
        <v>1.0</v>
      </c>
      <c r="H1766" s="101" t="s">
        <v>2940</v>
      </c>
      <c r="I1766" s="102">
        <v>25.45</v>
      </c>
      <c r="J1766" s="102">
        <v>31.3</v>
      </c>
      <c r="K1766" s="101" t="s">
        <v>2941</v>
      </c>
      <c r="L1766" s="102">
        <v>23.0</v>
      </c>
      <c r="M1766" s="13"/>
    </row>
    <row r="1767">
      <c r="A1767" s="101" t="s">
        <v>4386</v>
      </c>
      <c r="B1767" s="101" t="s">
        <v>4387</v>
      </c>
      <c r="D1767" s="13"/>
      <c r="E1767" s="13"/>
      <c r="F1767" s="13"/>
      <c r="G1767" s="102">
        <v>2.0</v>
      </c>
      <c r="H1767" s="101" t="s">
        <v>2942</v>
      </c>
      <c r="I1767" s="102">
        <v>25.45</v>
      </c>
      <c r="J1767" s="102">
        <v>31.3</v>
      </c>
      <c r="K1767" s="101" t="s">
        <v>2941</v>
      </c>
      <c r="L1767" s="102">
        <v>23.0</v>
      </c>
      <c r="M1767" s="13"/>
    </row>
    <row r="1768">
      <c r="A1768" s="101" t="s">
        <v>4388</v>
      </c>
      <c r="B1768" s="101" t="s">
        <v>4389</v>
      </c>
      <c r="D1768" s="13"/>
      <c r="E1768" s="13"/>
      <c r="F1768" s="13"/>
      <c r="G1768" s="102">
        <v>1.0</v>
      </c>
      <c r="H1768" s="101" t="s">
        <v>2940</v>
      </c>
      <c r="I1768" s="102">
        <v>20.33</v>
      </c>
      <c r="J1768" s="102">
        <v>25.01</v>
      </c>
      <c r="K1768" s="101" t="s">
        <v>2941</v>
      </c>
      <c r="L1768" s="102">
        <v>23.0</v>
      </c>
      <c r="M1768" s="13"/>
    </row>
    <row r="1769">
      <c r="A1769" s="101" t="s">
        <v>4388</v>
      </c>
      <c r="B1769" s="101" t="s">
        <v>4389</v>
      </c>
      <c r="D1769" s="13"/>
      <c r="E1769" s="13"/>
      <c r="F1769" s="13"/>
      <c r="G1769" s="102">
        <v>2.0</v>
      </c>
      <c r="H1769" s="101" t="s">
        <v>2942</v>
      </c>
      <c r="I1769" s="102">
        <v>19.75</v>
      </c>
      <c r="J1769" s="102">
        <v>24.29</v>
      </c>
      <c r="K1769" s="101" t="s">
        <v>2941</v>
      </c>
      <c r="L1769" s="102">
        <v>23.0</v>
      </c>
      <c r="M1769" s="13"/>
    </row>
    <row r="1770">
      <c r="A1770" s="101" t="s">
        <v>4390</v>
      </c>
      <c r="B1770" s="101" t="s">
        <v>4391</v>
      </c>
      <c r="D1770" s="13"/>
      <c r="E1770" s="13"/>
      <c r="F1770" s="13"/>
      <c r="G1770" s="102">
        <v>1.0</v>
      </c>
      <c r="H1770" s="101" t="s">
        <v>2940</v>
      </c>
      <c r="I1770" s="102">
        <v>15.45</v>
      </c>
      <c r="J1770" s="102">
        <v>19.0</v>
      </c>
      <c r="K1770" s="101" t="s">
        <v>2941</v>
      </c>
      <c r="L1770" s="102">
        <v>23.0</v>
      </c>
      <c r="M1770" s="13"/>
    </row>
    <row r="1771">
      <c r="A1771" s="101" t="s">
        <v>4390</v>
      </c>
      <c r="B1771" s="101" t="s">
        <v>4391</v>
      </c>
      <c r="D1771" s="13"/>
      <c r="E1771" s="13"/>
      <c r="F1771" s="13"/>
      <c r="G1771" s="102">
        <v>2.0</v>
      </c>
      <c r="H1771" s="101" t="s">
        <v>2942</v>
      </c>
      <c r="I1771" s="102">
        <v>14.7</v>
      </c>
      <c r="J1771" s="102">
        <v>18.08</v>
      </c>
      <c r="K1771" s="101" t="s">
        <v>2941</v>
      </c>
      <c r="L1771" s="102">
        <v>23.0</v>
      </c>
      <c r="M1771" s="13"/>
    </row>
    <row r="1772">
      <c r="A1772" s="101" t="s">
        <v>4392</v>
      </c>
      <c r="B1772" s="101" t="s">
        <v>4393</v>
      </c>
      <c r="D1772" s="13"/>
      <c r="E1772" s="13"/>
      <c r="F1772" s="13"/>
      <c r="G1772" s="102">
        <v>1.0</v>
      </c>
      <c r="H1772" s="101" t="s">
        <v>2940</v>
      </c>
      <c r="I1772" s="102">
        <v>70.35</v>
      </c>
      <c r="J1772" s="102">
        <v>86.53</v>
      </c>
      <c r="K1772" s="101" t="s">
        <v>2941</v>
      </c>
      <c r="L1772" s="102">
        <v>23.0</v>
      </c>
      <c r="M1772" s="13"/>
    </row>
    <row r="1773">
      <c r="A1773" s="101" t="s">
        <v>4392</v>
      </c>
      <c r="B1773" s="101" t="s">
        <v>4393</v>
      </c>
      <c r="D1773" s="13"/>
      <c r="E1773" s="13"/>
      <c r="F1773" s="13"/>
      <c r="G1773" s="102">
        <v>2.0</v>
      </c>
      <c r="H1773" s="101" t="s">
        <v>2942</v>
      </c>
      <c r="I1773" s="102">
        <v>70.35</v>
      </c>
      <c r="J1773" s="102">
        <v>86.53</v>
      </c>
      <c r="K1773" s="101" t="s">
        <v>2941</v>
      </c>
      <c r="L1773" s="102">
        <v>23.0</v>
      </c>
      <c r="M1773" s="13"/>
    </row>
    <row r="1774">
      <c r="A1774" s="101" t="s">
        <v>4394</v>
      </c>
      <c r="B1774" s="101" t="s">
        <v>4395</v>
      </c>
      <c r="D1774" s="13"/>
      <c r="E1774" s="13"/>
      <c r="F1774" s="13"/>
      <c r="G1774" s="102">
        <v>1.0</v>
      </c>
      <c r="H1774" s="101" t="s">
        <v>2940</v>
      </c>
      <c r="I1774" s="102">
        <v>18.85</v>
      </c>
      <c r="J1774" s="102">
        <v>23.19</v>
      </c>
      <c r="K1774" s="101" t="s">
        <v>2941</v>
      </c>
      <c r="L1774" s="102">
        <v>23.0</v>
      </c>
      <c r="M1774" s="13"/>
    </row>
    <row r="1775">
      <c r="A1775" s="101" t="s">
        <v>4394</v>
      </c>
      <c r="B1775" s="101" t="s">
        <v>4395</v>
      </c>
      <c r="D1775" s="13"/>
      <c r="E1775" s="13"/>
      <c r="F1775" s="13"/>
      <c r="G1775" s="102">
        <v>2.0</v>
      </c>
      <c r="H1775" s="101" t="s">
        <v>2942</v>
      </c>
      <c r="I1775" s="102">
        <v>18.85</v>
      </c>
      <c r="J1775" s="102">
        <v>23.19</v>
      </c>
      <c r="K1775" s="101" t="s">
        <v>2941</v>
      </c>
      <c r="L1775" s="102">
        <v>23.0</v>
      </c>
      <c r="M1775" s="13"/>
    </row>
    <row r="1776">
      <c r="A1776" s="101" t="s">
        <v>4396</v>
      </c>
      <c r="B1776" s="101" t="s">
        <v>4397</v>
      </c>
      <c r="D1776" s="13"/>
      <c r="E1776" s="13"/>
      <c r="F1776" s="13"/>
      <c r="G1776" s="102">
        <v>1.0</v>
      </c>
      <c r="H1776" s="101" t="s">
        <v>2940</v>
      </c>
      <c r="I1776" s="102">
        <v>29.6</v>
      </c>
      <c r="J1776" s="102">
        <v>36.41</v>
      </c>
      <c r="K1776" s="101" t="s">
        <v>2941</v>
      </c>
      <c r="L1776" s="102">
        <v>23.0</v>
      </c>
      <c r="M1776" s="13"/>
    </row>
    <row r="1777">
      <c r="A1777" s="101" t="s">
        <v>4396</v>
      </c>
      <c r="B1777" s="101" t="s">
        <v>4397</v>
      </c>
      <c r="D1777" s="13"/>
      <c r="E1777" s="13"/>
      <c r="F1777" s="13"/>
      <c r="G1777" s="102">
        <v>2.0</v>
      </c>
      <c r="H1777" s="101" t="s">
        <v>2942</v>
      </c>
      <c r="I1777" s="102">
        <v>29.6</v>
      </c>
      <c r="J1777" s="102">
        <v>36.41</v>
      </c>
      <c r="K1777" s="101" t="s">
        <v>2941</v>
      </c>
      <c r="L1777" s="102">
        <v>23.0</v>
      </c>
      <c r="M1777" s="13"/>
    </row>
    <row r="1778">
      <c r="A1778" s="101" t="s">
        <v>4398</v>
      </c>
      <c r="B1778" s="101" t="s">
        <v>4399</v>
      </c>
      <c r="D1778" s="13"/>
      <c r="E1778" s="13"/>
      <c r="F1778" s="13"/>
      <c r="G1778" s="102">
        <v>1.0</v>
      </c>
      <c r="H1778" s="101" t="s">
        <v>2940</v>
      </c>
      <c r="I1778" s="102">
        <v>15.45</v>
      </c>
      <c r="J1778" s="102">
        <v>19.0</v>
      </c>
      <c r="K1778" s="101" t="s">
        <v>2941</v>
      </c>
      <c r="L1778" s="102">
        <v>23.0</v>
      </c>
      <c r="M1778" s="13"/>
    </row>
    <row r="1779">
      <c r="A1779" s="101" t="s">
        <v>4398</v>
      </c>
      <c r="B1779" s="101" t="s">
        <v>4399</v>
      </c>
      <c r="D1779" s="13"/>
      <c r="E1779" s="13"/>
      <c r="F1779" s="13"/>
      <c r="G1779" s="102">
        <v>2.0</v>
      </c>
      <c r="H1779" s="101" t="s">
        <v>2942</v>
      </c>
      <c r="I1779" s="102">
        <v>15.1</v>
      </c>
      <c r="J1779" s="102">
        <v>18.57</v>
      </c>
      <c r="K1779" s="101" t="s">
        <v>2941</v>
      </c>
      <c r="L1779" s="102">
        <v>23.0</v>
      </c>
      <c r="M1779" s="13"/>
    </row>
    <row r="1780">
      <c r="A1780" s="101" t="s">
        <v>4400</v>
      </c>
      <c r="B1780" s="101" t="s">
        <v>4401</v>
      </c>
      <c r="D1780" s="13"/>
      <c r="E1780" s="13"/>
      <c r="F1780" s="13"/>
      <c r="G1780" s="102">
        <v>1.0</v>
      </c>
      <c r="H1780" s="101" t="s">
        <v>2940</v>
      </c>
      <c r="I1780" s="102">
        <v>70.35</v>
      </c>
      <c r="J1780" s="102">
        <v>86.53</v>
      </c>
      <c r="K1780" s="101" t="s">
        <v>2941</v>
      </c>
      <c r="L1780" s="102">
        <v>23.0</v>
      </c>
      <c r="M1780" s="13"/>
    </row>
    <row r="1781">
      <c r="A1781" s="101" t="s">
        <v>4400</v>
      </c>
      <c r="B1781" s="101" t="s">
        <v>4401</v>
      </c>
      <c r="D1781" s="13"/>
      <c r="E1781" s="13"/>
      <c r="F1781" s="13"/>
      <c r="G1781" s="102">
        <v>2.0</v>
      </c>
      <c r="H1781" s="101" t="s">
        <v>2942</v>
      </c>
      <c r="I1781" s="102">
        <v>70.35</v>
      </c>
      <c r="J1781" s="102">
        <v>86.53</v>
      </c>
      <c r="K1781" s="101" t="s">
        <v>2941</v>
      </c>
      <c r="L1781" s="102">
        <v>23.0</v>
      </c>
      <c r="M1781" s="13"/>
    </row>
    <row r="1782">
      <c r="A1782" s="101" t="s">
        <v>4402</v>
      </c>
      <c r="B1782" s="101" t="s">
        <v>4403</v>
      </c>
      <c r="D1782" s="13"/>
      <c r="E1782" s="13"/>
      <c r="F1782" s="13"/>
      <c r="G1782" s="102">
        <v>1.0</v>
      </c>
      <c r="H1782" s="101" t="s">
        <v>2940</v>
      </c>
      <c r="I1782" s="102">
        <v>5.69</v>
      </c>
      <c r="J1782" s="102">
        <v>7.0</v>
      </c>
      <c r="K1782" s="101" t="s">
        <v>2941</v>
      </c>
      <c r="L1782" s="102">
        <v>23.0</v>
      </c>
      <c r="M1782" s="13"/>
    </row>
    <row r="1783">
      <c r="A1783" s="101" t="s">
        <v>4402</v>
      </c>
      <c r="B1783" s="101" t="s">
        <v>4403</v>
      </c>
      <c r="D1783" s="13"/>
      <c r="E1783" s="13"/>
      <c r="F1783" s="13"/>
      <c r="G1783" s="102">
        <v>2.0</v>
      </c>
      <c r="H1783" s="101" t="s">
        <v>2942</v>
      </c>
      <c r="I1783" s="102">
        <v>17.2</v>
      </c>
      <c r="J1783" s="102">
        <v>21.16</v>
      </c>
      <c r="K1783" s="101" t="s">
        <v>2941</v>
      </c>
      <c r="L1783" s="102">
        <v>23.0</v>
      </c>
      <c r="M1783" s="13"/>
    </row>
    <row r="1784">
      <c r="A1784" s="101" t="s">
        <v>4404</v>
      </c>
      <c r="B1784" s="101" t="s">
        <v>4405</v>
      </c>
      <c r="D1784" s="13"/>
      <c r="E1784" s="13"/>
      <c r="F1784" s="13"/>
      <c r="G1784" s="102">
        <v>1.0</v>
      </c>
      <c r="H1784" s="101" t="s">
        <v>2940</v>
      </c>
      <c r="I1784" s="102">
        <v>17.07</v>
      </c>
      <c r="J1784" s="102">
        <v>21.0</v>
      </c>
      <c r="K1784" s="101" t="s">
        <v>2941</v>
      </c>
      <c r="L1784" s="102">
        <v>23.0</v>
      </c>
      <c r="M1784" s="13"/>
    </row>
    <row r="1785">
      <c r="A1785" s="101" t="s">
        <v>4404</v>
      </c>
      <c r="B1785" s="101" t="s">
        <v>4405</v>
      </c>
      <c r="D1785" s="13"/>
      <c r="E1785" s="13"/>
      <c r="F1785" s="13"/>
      <c r="G1785" s="102">
        <v>2.0</v>
      </c>
      <c r="H1785" s="101" t="s">
        <v>2942</v>
      </c>
      <c r="I1785" s="102">
        <v>17.0</v>
      </c>
      <c r="J1785" s="102">
        <v>20.91</v>
      </c>
      <c r="K1785" s="101" t="s">
        <v>2941</v>
      </c>
      <c r="L1785" s="102">
        <v>23.0</v>
      </c>
      <c r="M1785" s="13"/>
    </row>
    <row r="1786">
      <c r="A1786" s="101" t="s">
        <v>4406</v>
      </c>
      <c r="B1786" s="101" t="s">
        <v>4407</v>
      </c>
      <c r="D1786" s="13"/>
      <c r="E1786" s="13"/>
      <c r="F1786" s="13"/>
      <c r="G1786" s="102">
        <v>1.0</v>
      </c>
      <c r="H1786" s="101" t="s">
        <v>2940</v>
      </c>
      <c r="I1786" s="102">
        <v>29.15</v>
      </c>
      <c r="J1786" s="102">
        <v>35.85</v>
      </c>
      <c r="K1786" s="101" t="s">
        <v>2941</v>
      </c>
      <c r="L1786" s="102">
        <v>23.0</v>
      </c>
      <c r="M1786" s="13"/>
    </row>
    <row r="1787">
      <c r="A1787" s="101" t="s">
        <v>4406</v>
      </c>
      <c r="B1787" s="101" t="s">
        <v>4407</v>
      </c>
      <c r="D1787" s="13"/>
      <c r="E1787" s="13"/>
      <c r="F1787" s="13"/>
      <c r="G1787" s="102">
        <v>2.0</v>
      </c>
      <c r="H1787" s="101" t="s">
        <v>2942</v>
      </c>
      <c r="I1787" s="102">
        <v>29.15</v>
      </c>
      <c r="J1787" s="102">
        <v>35.85</v>
      </c>
      <c r="K1787" s="101" t="s">
        <v>2941</v>
      </c>
      <c r="L1787" s="102">
        <v>23.0</v>
      </c>
      <c r="M1787" s="13"/>
    </row>
    <row r="1788">
      <c r="A1788" s="101" t="s">
        <v>4408</v>
      </c>
      <c r="B1788" s="101" t="s">
        <v>4409</v>
      </c>
      <c r="D1788" s="13"/>
      <c r="E1788" s="13"/>
      <c r="F1788" s="13"/>
      <c r="G1788" s="102">
        <v>1.0</v>
      </c>
      <c r="H1788" s="101" t="s">
        <v>2940</v>
      </c>
      <c r="I1788" s="102">
        <v>22.7</v>
      </c>
      <c r="J1788" s="102">
        <v>27.92</v>
      </c>
      <c r="K1788" s="101" t="s">
        <v>2941</v>
      </c>
      <c r="L1788" s="102">
        <v>23.0</v>
      </c>
      <c r="M1788" s="13"/>
    </row>
    <row r="1789">
      <c r="A1789" s="101" t="s">
        <v>4408</v>
      </c>
      <c r="B1789" s="101" t="s">
        <v>4409</v>
      </c>
      <c r="D1789" s="13"/>
      <c r="E1789" s="13"/>
      <c r="F1789" s="13"/>
      <c r="G1789" s="102">
        <v>2.0</v>
      </c>
      <c r="H1789" s="101" t="s">
        <v>2942</v>
      </c>
      <c r="I1789" s="102">
        <v>22.7</v>
      </c>
      <c r="J1789" s="102">
        <v>27.92</v>
      </c>
      <c r="K1789" s="101" t="s">
        <v>2941</v>
      </c>
      <c r="L1789" s="102">
        <v>23.0</v>
      </c>
      <c r="M1789" s="13"/>
    </row>
    <row r="1790">
      <c r="A1790" s="101" t="s">
        <v>4410</v>
      </c>
      <c r="B1790" s="101" t="s">
        <v>4411</v>
      </c>
      <c r="D1790" s="13"/>
      <c r="E1790" s="13"/>
      <c r="F1790" s="13"/>
      <c r="G1790" s="102">
        <v>1.0</v>
      </c>
      <c r="H1790" s="101" t="s">
        <v>2940</v>
      </c>
      <c r="I1790" s="102">
        <v>17.07</v>
      </c>
      <c r="J1790" s="102">
        <v>21.0</v>
      </c>
      <c r="K1790" s="101" t="s">
        <v>2941</v>
      </c>
      <c r="L1790" s="102">
        <v>23.0</v>
      </c>
      <c r="M1790" s="13"/>
    </row>
    <row r="1791">
      <c r="A1791" s="101" t="s">
        <v>4410</v>
      </c>
      <c r="B1791" s="101" t="s">
        <v>4411</v>
      </c>
      <c r="D1791" s="13"/>
      <c r="E1791" s="13"/>
      <c r="F1791" s="13"/>
      <c r="G1791" s="102">
        <v>2.0</v>
      </c>
      <c r="H1791" s="101" t="s">
        <v>2942</v>
      </c>
      <c r="I1791" s="102">
        <v>17.0</v>
      </c>
      <c r="J1791" s="102">
        <v>20.91</v>
      </c>
      <c r="K1791" s="101" t="s">
        <v>2941</v>
      </c>
      <c r="L1791" s="102">
        <v>23.0</v>
      </c>
      <c r="M1791" s="13"/>
    </row>
    <row r="1792">
      <c r="A1792" s="101" t="s">
        <v>250</v>
      </c>
      <c r="B1792" s="101" t="s">
        <v>4412</v>
      </c>
      <c r="D1792" s="13"/>
      <c r="E1792" s="13"/>
      <c r="F1792" s="13"/>
      <c r="G1792" s="102">
        <v>1.0</v>
      </c>
      <c r="H1792" s="101" t="s">
        <v>2940</v>
      </c>
      <c r="I1792" s="102">
        <v>25.2</v>
      </c>
      <c r="J1792" s="102">
        <v>31.0</v>
      </c>
      <c r="K1792" s="101" t="s">
        <v>2941</v>
      </c>
      <c r="L1792" s="102">
        <v>23.0</v>
      </c>
      <c r="M1792" s="13"/>
    </row>
    <row r="1793">
      <c r="A1793" s="101" t="s">
        <v>250</v>
      </c>
      <c r="B1793" s="101" t="s">
        <v>4412</v>
      </c>
      <c r="D1793" s="13"/>
      <c r="E1793" s="13"/>
      <c r="F1793" s="13"/>
      <c r="G1793" s="102">
        <v>2.0</v>
      </c>
      <c r="H1793" s="101" t="s">
        <v>2942</v>
      </c>
      <c r="I1793" s="102">
        <v>20.0</v>
      </c>
      <c r="J1793" s="102">
        <v>24.6</v>
      </c>
      <c r="K1793" s="101" t="s">
        <v>2941</v>
      </c>
      <c r="L1793" s="102">
        <v>23.0</v>
      </c>
      <c r="M1793" s="13"/>
    </row>
    <row r="1794">
      <c r="A1794" s="101" t="s">
        <v>4413</v>
      </c>
      <c r="B1794" s="101" t="s">
        <v>4414</v>
      </c>
      <c r="D1794" s="13"/>
      <c r="E1794" s="13"/>
      <c r="F1794" s="13"/>
      <c r="G1794" s="102">
        <v>1.0</v>
      </c>
      <c r="H1794" s="101" t="s">
        <v>2940</v>
      </c>
      <c r="I1794" s="102">
        <v>27.64</v>
      </c>
      <c r="J1794" s="102">
        <v>34.0</v>
      </c>
      <c r="K1794" s="101" t="s">
        <v>2941</v>
      </c>
      <c r="L1794" s="102">
        <v>23.0</v>
      </c>
      <c r="M1794" s="13"/>
    </row>
    <row r="1795">
      <c r="A1795" s="101" t="s">
        <v>4413</v>
      </c>
      <c r="B1795" s="101" t="s">
        <v>4414</v>
      </c>
      <c r="D1795" s="13"/>
      <c r="E1795" s="13"/>
      <c r="F1795" s="13"/>
      <c r="G1795" s="102">
        <v>2.0</v>
      </c>
      <c r="H1795" s="101" t="s">
        <v>2942</v>
      </c>
      <c r="I1795" s="102">
        <v>22.0</v>
      </c>
      <c r="J1795" s="102">
        <v>27.06</v>
      </c>
      <c r="K1795" s="101" t="s">
        <v>2941</v>
      </c>
      <c r="L1795" s="102">
        <v>23.0</v>
      </c>
      <c r="M1795" s="13"/>
    </row>
    <row r="1796">
      <c r="A1796" s="101" t="s">
        <v>4415</v>
      </c>
      <c r="B1796" s="101" t="s">
        <v>4416</v>
      </c>
      <c r="D1796" s="13"/>
      <c r="E1796" s="13"/>
      <c r="F1796" s="13"/>
      <c r="G1796" s="102">
        <v>1.0</v>
      </c>
      <c r="H1796" s="101" t="s">
        <v>2940</v>
      </c>
      <c r="I1796" s="102">
        <v>53.66</v>
      </c>
      <c r="J1796" s="102">
        <v>66.0</v>
      </c>
      <c r="K1796" s="101" t="s">
        <v>2941</v>
      </c>
      <c r="L1796" s="102">
        <v>23.0</v>
      </c>
      <c r="M1796" s="13"/>
    </row>
    <row r="1797">
      <c r="A1797" s="101" t="s">
        <v>4415</v>
      </c>
      <c r="B1797" s="101" t="s">
        <v>4416</v>
      </c>
      <c r="D1797" s="13"/>
      <c r="E1797" s="13"/>
      <c r="F1797" s="13"/>
      <c r="G1797" s="102">
        <v>2.0</v>
      </c>
      <c r="H1797" s="101" t="s">
        <v>2942</v>
      </c>
      <c r="I1797" s="102">
        <v>53.5</v>
      </c>
      <c r="J1797" s="102">
        <v>65.81</v>
      </c>
      <c r="K1797" s="101" t="s">
        <v>2941</v>
      </c>
      <c r="L1797" s="102">
        <v>23.0</v>
      </c>
      <c r="M1797" s="13"/>
    </row>
    <row r="1798">
      <c r="A1798" s="101" t="s">
        <v>4417</v>
      </c>
      <c r="B1798" s="101" t="s">
        <v>4418</v>
      </c>
      <c r="D1798" s="13"/>
      <c r="E1798" s="13"/>
      <c r="F1798" s="13"/>
      <c r="G1798" s="102">
        <v>1.0</v>
      </c>
      <c r="H1798" s="101" t="s">
        <v>2940</v>
      </c>
      <c r="I1798" s="102">
        <v>39.02</v>
      </c>
      <c r="J1798" s="102">
        <v>48.0</v>
      </c>
      <c r="K1798" s="101" t="s">
        <v>2941</v>
      </c>
      <c r="L1798" s="102">
        <v>23.0</v>
      </c>
      <c r="M1798" s="13"/>
    </row>
    <row r="1799">
      <c r="A1799" s="101" t="s">
        <v>4417</v>
      </c>
      <c r="B1799" s="101" t="s">
        <v>4418</v>
      </c>
      <c r="D1799" s="13"/>
      <c r="E1799" s="13"/>
      <c r="F1799" s="13"/>
      <c r="G1799" s="102">
        <v>2.0</v>
      </c>
      <c r="H1799" s="101" t="s">
        <v>2942</v>
      </c>
      <c r="I1799" s="102">
        <v>31.0</v>
      </c>
      <c r="J1799" s="102">
        <v>38.13</v>
      </c>
      <c r="K1799" s="101" t="s">
        <v>2941</v>
      </c>
      <c r="L1799" s="102">
        <v>23.0</v>
      </c>
      <c r="M1799" s="13"/>
    </row>
    <row r="1800">
      <c r="A1800" s="101" t="s">
        <v>4419</v>
      </c>
      <c r="B1800" s="101" t="s">
        <v>4420</v>
      </c>
      <c r="D1800" s="13"/>
      <c r="E1800" s="13"/>
      <c r="F1800" s="13"/>
      <c r="G1800" s="102">
        <v>1.0</v>
      </c>
      <c r="H1800" s="101" t="s">
        <v>2940</v>
      </c>
      <c r="I1800" s="102">
        <v>34.15</v>
      </c>
      <c r="J1800" s="102">
        <v>42.0</v>
      </c>
      <c r="K1800" s="101" t="s">
        <v>2941</v>
      </c>
      <c r="L1800" s="102">
        <v>23.0</v>
      </c>
      <c r="M1800" s="13"/>
    </row>
    <row r="1801">
      <c r="A1801" s="101" t="s">
        <v>4419</v>
      </c>
      <c r="B1801" s="101" t="s">
        <v>4420</v>
      </c>
      <c r="D1801" s="13"/>
      <c r="E1801" s="13"/>
      <c r="F1801" s="13"/>
      <c r="G1801" s="102">
        <v>2.0</v>
      </c>
      <c r="H1801" s="101" t="s">
        <v>2942</v>
      </c>
      <c r="I1801" s="102">
        <v>34.0</v>
      </c>
      <c r="J1801" s="102">
        <v>41.82</v>
      </c>
      <c r="K1801" s="101" t="s">
        <v>2941</v>
      </c>
      <c r="L1801" s="102">
        <v>23.0</v>
      </c>
      <c r="M1801" s="13"/>
    </row>
    <row r="1802">
      <c r="A1802" s="101" t="s">
        <v>4421</v>
      </c>
      <c r="B1802" s="101" t="s">
        <v>4422</v>
      </c>
      <c r="D1802" s="13"/>
      <c r="E1802" s="13"/>
      <c r="F1802" s="13"/>
      <c r="G1802" s="102">
        <v>1.0</v>
      </c>
      <c r="H1802" s="101" t="s">
        <v>2940</v>
      </c>
      <c r="I1802" s="102">
        <v>53.66</v>
      </c>
      <c r="J1802" s="102">
        <v>66.0</v>
      </c>
      <c r="K1802" s="101" t="s">
        <v>2941</v>
      </c>
      <c r="L1802" s="102">
        <v>23.0</v>
      </c>
      <c r="M1802" s="13"/>
    </row>
    <row r="1803">
      <c r="A1803" s="101" t="s">
        <v>4421</v>
      </c>
      <c r="B1803" s="101" t="s">
        <v>4422</v>
      </c>
      <c r="D1803" s="13"/>
      <c r="E1803" s="13"/>
      <c r="F1803" s="13"/>
      <c r="G1803" s="102">
        <v>2.0</v>
      </c>
      <c r="H1803" s="101" t="s">
        <v>2942</v>
      </c>
      <c r="I1803" s="102">
        <v>53.5</v>
      </c>
      <c r="J1803" s="102">
        <v>65.81</v>
      </c>
      <c r="K1803" s="101" t="s">
        <v>2941</v>
      </c>
      <c r="L1803" s="102">
        <v>23.0</v>
      </c>
      <c r="M1803" s="13"/>
    </row>
    <row r="1804">
      <c r="A1804" s="101" t="s">
        <v>4423</v>
      </c>
      <c r="B1804" s="101" t="s">
        <v>4424</v>
      </c>
      <c r="D1804" s="13"/>
      <c r="E1804" s="13"/>
      <c r="F1804" s="13"/>
      <c r="G1804" s="102">
        <v>1.0</v>
      </c>
      <c r="H1804" s="101" t="s">
        <v>2940</v>
      </c>
      <c r="I1804" s="102">
        <v>51.22</v>
      </c>
      <c r="J1804" s="102">
        <v>63.0</v>
      </c>
      <c r="K1804" s="101" t="s">
        <v>2941</v>
      </c>
      <c r="L1804" s="102">
        <v>23.0</v>
      </c>
      <c r="M1804" s="13"/>
    </row>
    <row r="1805">
      <c r="A1805" s="101" t="s">
        <v>4423</v>
      </c>
      <c r="B1805" s="101" t="s">
        <v>4424</v>
      </c>
      <c r="D1805" s="13"/>
      <c r="E1805" s="13"/>
      <c r="F1805" s="13"/>
      <c r="G1805" s="102">
        <v>2.0</v>
      </c>
      <c r="H1805" s="101" t="s">
        <v>2942</v>
      </c>
      <c r="I1805" s="102">
        <v>50.9</v>
      </c>
      <c r="J1805" s="102">
        <v>62.61</v>
      </c>
      <c r="K1805" s="101" t="s">
        <v>2941</v>
      </c>
      <c r="L1805" s="102">
        <v>23.0</v>
      </c>
      <c r="M1805" s="13"/>
    </row>
    <row r="1806">
      <c r="A1806" s="101" t="s">
        <v>4425</v>
      </c>
      <c r="B1806" s="101" t="s">
        <v>4426</v>
      </c>
      <c r="D1806" s="13"/>
      <c r="E1806" s="13"/>
      <c r="F1806" s="13"/>
      <c r="G1806" s="102">
        <v>1.0</v>
      </c>
      <c r="H1806" s="101" t="s">
        <v>2940</v>
      </c>
      <c r="I1806" s="102">
        <v>39.02</v>
      </c>
      <c r="J1806" s="102">
        <v>48.0</v>
      </c>
      <c r="K1806" s="101" t="s">
        <v>2941</v>
      </c>
      <c r="L1806" s="102">
        <v>23.0</v>
      </c>
      <c r="M1806" s="13"/>
    </row>
    <row r="1807">
      <c r="A1807" s="101" t="s">
        <v>4425</v>
      </c>
      <c r="B1807" s="101" t="s">
        <v>4426</v>
      </c>
      <c r="D1807" s="13"/>
      <c r="E1807" s="13"/>
      <c r="F1807" s="13"/>
      <c r="G1807" s="102">
        <v>2.0</v>
      </c>
      <c r="H1807" s="101" t="s">
        <v>2942</v>
      </c>
      <c r="I1807" s="102">
        <v>31.0</v>
      </c>
      <c r="J1807" s="102">
        <v>38.13</v>
      </c>
      <c r="K1807" s="101" t="s">
        <v>2941</v>
      </c>
      <c r="L1807" s="102">
        <v>23.0</v>
      </c>
      <c r="M1807" s="13"/>
    </row>
    <row r="1808">
      <c r="A1808" s="101" t="s">
        <v>4427</v>
      </c>
      <c r="B1808" s="101" t="s">
        <v>4428</v>
      </c>
      <c r="D1808" s="13"/>
      <c r="E1808" s="13"/>
      <c r="F1808" s="13"/>
      <c r="G1808" s="102">
        <v>1.0</v>
      </c>
      <c r="H1808" s="101" t="s">
        <v>2940</v>
      </c>
      <c r="I1808" s="102">
        <v>37.4</v>
      </c>
      <c r="J1808" s="102">
        <v>46.0</v>
      </c>
      <c r="K1808" s="101" t="s">
        <v>2941</v>
      </c>
      <c r="L1808" s="102">
        <v>23.0</v>
      </c>
      <c r="M1808" s="13"/>
    </row>
    <row r="1809">
      <c r="A1809" s="101" t="s">
        <v>4427</v>
      </c>
      <c r="B1809" s="101" t="s">
        <v>4428</v>
      </c>
      <c r="D1809" s="13"/>
      <c r="E1809" s="13"/>
      <c r="F1809" s="13"/>
      <c r="G1809" s="102">
        <v>2.0</v>
      </c>
      <c r="H1809" s="101" t="s">
        <v>2942</v>
      </c>
      <c r="I1809" s="102">
        <v>30.0</v>
      </c>
      <c r="J1809" s="102">
        <v>36.9</v>
      </c>
      <c r="K1809" s="101" t="s">
        <v>2941</v>
      </c>
      <c r="L1809" s="102">
        <v>23.0</v>
      </c>
      <c r="M1809" s="13"/>
    </row>
    <row r="1810">
      <c r="A1810" s="101" t="s">
        <v>4429</v>
      </c>
      <c r="B1810" s="101" t="s">
        <v>4430</v>
      </c>
      <c r="D1810" s="13"/>
      <c r="E1810" s="13"/>
      <c r="F1810" s="13"/>
      <c r="G1810" s="102">
        <v>1.0</v>
      </c>
      <c r="H1810" s="101" t="s">
        <v>2940</v>
      </c>
      <c r="I1810" s="102">
        <v>140.7</v>
      </c>
      <c r="J1810" s="102">
        <v>173.06</v>
      </c>
      <c r="K1810" s="101" t="s">
        <v>2941</v>
      </c>
      <c r="L1810" s="102">
        <v>23.0</v>
      </c>
      <c r="M1810" s="13"/>
    </row>
    <row r="1811">
      <c r="A1811" s="101" t="s">
        <v>4429</v>
      </c>
      <c r="B1811" s="101" t="s">
        <v>4430</v>
      </c>
      <c r="D1811" s="13"/>
      <c r="E1811" s="13"/>
      <c r="F1811" s="13"/>
      <c r="G1811" s="102">
        <v>2.0</v>
      </c>
      <c r="H1811" s="101" t="s">
        <v>2942</v>
      </c>
      <c r="I1811" s="102">
        <v>140.7</v>
      </c>
      <c r="J1811" s="102">
        <v>173.06</v>
      </c>
      <c r="K1811" s="101" t="s">
        <v>2941</v>
      </c>
      <c r="L1811" s="102">
        <v>23.0</v>
      </c>
      <c r="M1811" s="13"/>
    </row>
    <row r="1812">
      <c r="A1812" s="101" t="s">
        <v>4431</v>
      </c>
      <c r="B1812" s="101" t="s">
        <v>4432</v>
      </c>
      <c r="D1812" s="13"/>
      <c r="E1812" s="13"/>
      <c r="F1812" s="13"/>
      <c r="G1812" s="102">
        <v>1.0</v>
      </c>
      <c r="H1812" s="101" t="s">
        <v>2940</v>
      </c>
      <c r="I1812" s="102">
        <v>140.7</v>
      </c>
      <c r="J1812" s="102">
        <v>173.06</v>
      </c>
      <c r="K1812" s="101" t="s">
        <v>2941</v>
      </c>
      <c r="L1812" s="102">
        <v>23.0</v>
      </c>
      <c r="M1812" s="13"/>
    </row>
    <row r="1813">
      <c r="A1813" s="101" t="s">
        <v>4431</v>
      </c>
      <c r="B1813" s="101" t="s">
        <v>4432</v>
      </c>
      <c r="D1813" s="13"/>
      <c r="E1813" s="13"/>
      <c r="F1813" s="13"/>
      <c r="G1813" s="102">
        <v>2.0</v>
      </c>
      <c r="H1813" s="101" t="s">
        <v>2942</v>
      </c>
      <c r="I1813" s="102">
        <v>140.7</v>
      </c>
      <c r="J1813" s="102">
        <v>173.06</v>
      </c>
      <c r="K1813" s="101" t="s">
        <v>2941</v>
      </c>
      <c r="L1813" s="102">
        <v>23.0</v>
      </c>
      <c r="M1813" s="13"/>
    </row>
    <row r="1814">
      <c r="A1814" s="101" t="s">
        <v>4433</v>
      </c>
      <c r="B1814" s="101" t="s">
        <v>4434</v>
      </c>
      <c r="D1814" s="13"/>
      <c r="E1814" s="13"/>
      <c r="F1814" s="13"/>
      <c r="G1814" s="102">
        <v>1.0</v>
      </c>
      <c r="H1814" s="101" t="s">
        <v>2940</v>
      </c>
      <c r="I1814" s="102">
        <v>30.89</v>
      </c>
      <c r="J1814" s="102">
        <v>37.99</v>
      </c>
      <c r="K1814" s="101" t="s">
        <v>2941</v>
      </c>
      <c r="L1814" s="102">
        <v>23.0</v>
      </c>
      <c r="M1814" s="13"/>
    </row>
    <row r="1815">
      <c r="A1815" s="101" t="s">
        <v>4433</v>
      </c>
      <c r="B1815" s="101" t="s">
        <v>4434</v>
      </c>
      <c r="D1815" s="13"/>
      <c r="E1815" s="13"/>
      <c r="F1815" s="13"/>
      <c r="G1815" s="102">
        <v>2.0</v>
      </c>
      <c r="H1815" s="101" t="s">
        <v>2942</v>
      </c>
      <c r="I1815" s="102">
        <v>30.2</v>
      </c>
      <c r="J1815" s="102">
        <v>37.15</v>
      </c>
      <c r="K1815" s="101" t="s">
        <v>2941</v>
      </c>
      <c r="L1815" s="102">
        <v>23.0</v>
      </c>
      <c r="M1815" s="13"/>
    </row>
    <row r="1816">
      <c r="A1816" s="101" t="s">
        <v>4435</v>
      </c>
      <c r="B1816" s="101" t="s">
        <v>4436</v>
      </c>
      <c r="D1816" s="13"/>
      <c r="E1816" s="13"/>
      <c r="F1816" s="13"/>
      <c r="G1816" s="102">
        <v>1.0</v>
      </c>
      <c r="H1816" s="101" t="s">
        <v>2940</v>
      </c>
      <c r="I1816" s="102">
        <v>37.7</v>
      </c>
      <c r="J1816" s="102">
        <v>46.37</v>
      </c>
      <c r="K1816" s="101" t="s">
        <v>2941</v>
      </c>
      <c r="L1816" s="102">
        <v>23.0</v>
      </c>
      <c r="M1816" s="13"/>
    </row>
    <row r="1817">
      <c r="A1817" s="101" t="s">
        <v>4435</v>
      </c>
      <c r="B1817" s="101" t="s">
        <v>4436</v>
      </c>
      <c r="D1817" s="13"/>
      <c r="E1817" s="13"/>
      <c r="F1817" s="13"/>
      <c r="G1817" s="102">
        <v>2.0</v>
      </c>
      <c r="H1817" s="101" t="s">
        <v>2942</v>
      </c>
      <c r="I1817" s="102">
        <v>37.7</v>
      </c>
      <c r="J1817" s="102">
        <v>46.37</v>
      </c>
      <c r="K1817" s="101" t="s">
        <v>2941</v>
      </c>
      <c r="L1817" s="102">
        <v>23.0</v>
      </c>
      <c r="M1817" s="13"/>
    </row>
    <row r="1818">
      <c r="A1818" s="101" t="s">
        <v>4437</v>
      </c>
      <c r="B1818" s="101" t="s">
        <v>4438</v>
      </c>
      <c r="D1818" s="13"/>
      <c r="E1818" s="13"/>
      <c r="F1818" s="13"/>
      <c r="G1818" s="102">
        <v>1.0</v>
      </c>
      <c r="H1818" s="101" t="s">
        <v>2940</v>
      </c>
      <c r="I1818" s="102">
        <v>59.2</v>
      </c>
      <c r="J1818" s="102">
        <v>72.82</v>
      </c>
      <c r="K1818" s="101" t="s">
        <v>2941</v>
      </c>
      <c r="L1818" s="102">
        <v>23.0</v>
      </c>
      <c r="M1818" s="13"/>
    </row>
    <row r="1819">
      <c r="A1819" s="101" t="s">
        <v>4437</v>
      </c>
      <c r="B1819" s="101" t="s">
        <v>4438</v>
      </c>
      <c r="D1819" s="13"/>
      <c r="E1819" s="13"/>
      <c r="F1819" s="13"/>
      <c r="G1819" s="102">
        <v>2.0</v>
      </c>
      <c r="H1819" s="101" t="s">
        <v>2942</v>
      </c>
      <c r="I1819" s="102">
        <v>59.2</v>
      </c>
      <c r="J1819" s="102">
        <v>72.82</v>
      </c>
      <c r="K1819" s="101" t="s">
        <v>2941</v>
      </c>
      <c r="L1819" s="102">
        <v>23.0</v>
      </c>
      <c r="M1819" s="13"/>
    </row>
    <row r="1820">
      <c r="A1820" s="101" t="s">
        <v>4439</v>
      </c>
      <c r="B1820" s="101" t="s">
        <v>4440</v>
      </c>
      <c r="D1820" s="13"/>
      <c r="E1820" s="13"/>
      <c r="F1820" s="13"/>
      <c r="G1820" s="102">
        <v>1.0</v>
      </c>
      <c r="H1820" s="101" t="s">
        <v>2940</v>
      </c>
      <c r="I1820" s="102">
        <v>140.7</v>
      </c>
      <c r="J1820" s="102">
        <v>173.06</v>
      </c>
      <c r="K1820" s="101" t="s">
        <v>2941</v>
      </c>
      <c r="L1820" s="102">
        <v>23.0</v>
      </c>
      <c r="M1820" s="13"/>
    </row>
    <row r="1821">
      <c r="A1821" s="101" t="s">
        <v>4439</v>
      </c>
      <c r="B1821" s="101" t="s">
        <v>4440</v>
      </c>
      <c r="D1821" s="13"/>
      <c r="E1821" s="13"/>
      <c r="F1821" s="13"/>
      <c r="G1821" s="102">
        <v>2.0</v>
      </c>
      <c r="H1821" s="101" t="s">
        <v>2942</v>
      </c>
      <c r="I1821" s="102">
        <v>140.7</v>
      </c>
      <c r="J1821" s="102">
        <v>173.06</v>
      </c>
      <c r="K1821" s="101" t="s">
        <v>2941</v>
      </c>
      <c r="L1821" s="102">
        <v>23.0</v>
      </c>
      <c r="M1821" s="13"/>
    </row>
    <row r="1822">
      <c r="A1822" s="101" t="s">
        <v>4441</v>
      </c>
      <c r="B1822" s="101" t="s">
        <v>4442</v>
      </c>
      <c r="D1822" s="13"/>
      <c r="E1822" s="13"/>
      <c r="F1822" s="13"/>
      <c r="G1822" s="102">
        <v>1.0</v>
      </c>
      <c r="H1822" s="101" t="s">
        <v>2940</v>
      </c>
      <c r="I1822" s="102">
        <v>47.97</v>
      </c>
      <c r="J1822" s="102">
        <v>59.0</v>
      </c>
      <c r="K1822" s="101" t="s">
        <v>2941</v>
      </c>
      <c r="L1822" s="102">
        <v>23.0</v>
      </c>
      <c r="M1822" s="13"/>
    </row>
    <row r="1823">
      <c r="A1823" s="101" t="s">
        <v>4441</v>
      </c>
      <c r="B1823" s="101" t="s">
        <v>4442</v>
      </c>
      <c r="D1823" s="13"/>
      <c r="E1823" s="13"/>
      <c r="F1823" s="13"/>
      <c r="G1823" s="102">
        <v>2.0</v>
      </c>
      <c r="H1823" s="101" t="s">
        <v>2942</v>
      </c>
      <c r="I1823" s="102">
        <v>48.0</v>
      </c>
      <c r="J1823" s="102">
        <v>59.04</v>
      </c>
      <c r="K1823" s="101" t="s">
        <v>2941</v>
      </c>
      <c r="L1823" s="102">
        <v>23.0</v>
      </c>
      <c r="M1823" s="13"/>
    </row>
    <row r="1824">
      <c r="A1824" s="101" t="s">
        <v>4443</v>
      </c>
      <c r="B1824" s="101" t="s">
        <v>4444</v>
      </c>
      <c r="D1824" s="13"/>
      <c r="E1824" s="13"/>
      <c r="F1824" s="13"/>
      <c r="G1824" s="102">
        <v>1.0</v>
      </c>
      <c r="H1824" s="101" t="s">
        <v>2940</v>
      </c>
      <c r="I1824" s="102">
        <v>45.53</v>
      </c>
      <c r="J1824" s="102">
        <v>56.0</v>
      </c>
      <c r="K1824" s="101" t="s">
        <v>2941</v>
      </c>
      <c r="L1824" s="102">
        <v>23.0</v>
      </c>
      <c r="M1824" s="13"/>
    </row>
    <row r="1825">
      <c r="A1825" s="101" t="s">
        <v>4443</v>
      </c>
      <c r="B1825" s="101" t="s">
        <v>4444</v>
      </c>
      <c r="D1825" s="13"/>
      <c r="E1825" s="13"/>
      <c r="F1825" s="13"/>
      <c r="G1825" s="102">
        <v>2.0</v>
      </c>
      <c r="H1825" s="101" t="s">
        <v>2942</v>
      </c>
      <c r="I1825" s="102">
        <v>45.4</v>
      </c>
      <c r="J1825" s="102">
        <v>55.84</v>
      </c>
      <c r="K1825" s="101" t="s">
        <v>2941</v>
      </c>
      <c r="L1825" s="102">
        <v>23.0</v>
      </c>
      <c r="M1825" s="13"/>
    </row>
    <row r="1826">
      <c r="A1826" s="101" t="s">
        <v>4445</v>
      </c>
      <c r="B1826" s="101" t="s">
        <v>4446</v>
      </c>
      <c r="D1826" s="13"/>
      <c r="E1826" s="13"/>
      <c r="F1826" s="13"/>
      <c r="G1826" s="102">
        <v>1.0</v>
      </c>
      <c r="H1826" s="101" t="s">
        <v>2940</v>
      </c>
      <c r="I1826" s="102">
        <v>34.15</v>
      </c>
      <c r="J1826" s="102">
        <v>42.0</v>
      </c>
      <c r="K1826" s="101" t="s">
        <v>2941</v>
      </c>
      <c r="L1826" s="102">
        <v>23.0</v>
      </c>
      <c r="M1826" s="13"/>
    </row>
    <row r="1827">
      <c r="A1827" s="101" t="s">
        <v>4445</v>
      </c>
      <c r="B1827" s="101" t="s">
        <v>4446</v>
      </c>
      <c r="D1827" s="13"/>
      <c r="E1827" s="13"/>
      <c r="F1827" s="13"/>
      <c r="G1827" s="102">
        <v>2.0</v>
      </c>
      <c r="H1827" s="101" t="s">
        <v>2942</v>
      </c>
      <c r="I1827" s="102">
        <v>34.0</v>
      </c>
      <c r="J1827" s="102">
        <v>41.82</v>
      </c>
      <c r="K1827" s="101" t="s">
        <v>2941</v>
      </c>
      <c r="L1827" s="102">
        <v>23.0</v>
      </c>
      <c r="M1827" s="13"/>
    </row>
    <row r="1828">
      <c r="A1828" s="101" t="s">
        <v>4447</v>
      </c>
      <c r="B1828" s="101" t="s">
        <v>4448</v>
      </c>
      <c r="D1828" s="13"/>
      <c r="E1828" s="13"/>
      <c r="F1828" s="13"/>
      <c r="G1828" s="102">
        <v>1.0</v>
      </c>
      <c r="H1828" s="101" t="s">
        <v>2940</v>
      </c>
      <c r="I1828" s="102">
        <v>45.53</v>
      </c>
      <c r="J1828" s="102">
        <v>56.0</v>
      </c>
      <c r="K1828" s="101" t="s">
        <v>2941</v>
      </c>
      <c r="L1828" s="102">
        <v>23.0</v>
      </c>
      <c r="M1828" s="13"/>
    </row>
    <row r="1829">
      <c r="A1829" s="101" t="s">
        <v>4447</v>
      </c>
      <c r="B1829" s="101" t="s">
        <v>4448</v>
      </c>
      <c r="D1829" s="13"/>
      <c r="E1829" s="13"/>
      <c r="F1829" s="13"/>
      <c r="G1829" s="102">
        <v>2.0</v>
      </c>
      <c r="H1829" s="101" t="s">
        <v>2942</v>
      </c>
      <c r="I1829" s="102">
        <v>45.4</v>
      </c>
      <c r="J1829" s="102">
        <v>55.84</v>
      </c>
      <c r="K1829" s="101" t="s">
        <v>2941</v>
      </c>
      <c r="L1829" s="102">
        <v>23.0</v>
      </c>
      <c r="M1829" s="13"/>
    </row>
    <row r="1830">
      <c r="A1830" s="101" t="s">
        <v>4449</v>
      </c>
      <c r="B1830" s="101" t="s">
        <v>4450</v>
      </c>
      <c r="D1830" s="13"/>
      <c r="E1830" s="13"/>
      <c r="F1830" s="13"/>
      <c r="G1830" s="102">
        <v>1.0</v>
      </c>
      <c r="H1830" s="101" t="s">
        <v>2940</v>
      </c>
      <c r="I1830" s="102">
        <v>31.3</v>
      </c>
      <c r="J1830" s="102">
        <v>38.5</v>
      </c>
      <c r="K1830" s="101" t="s">
        <v>2941</v>
      </c>
      <c r="L1830" s="102">
        <v>23.0</v>
      </c>
      <c r="M1830" s="13"/>
    </row>
    <row r="1831">
      <c r="A1831" s="101" t="s">
        <v>4449</v>
      </c>
      <c r="B1831" s="101" t="s">
        <v>4450</v>
      </c>
      <c r="D1831" s="13"/>
      <c r="E1831" s="13"/>
      <c r="F1831" s="13"/>
      <c r="G1831" s="102">
        <v>2.0</v>
      </c>
      <c r="H1831" s="101" t="s">
        <v>2942</v>
      </c>
      <c r="I1831" s="102">
        <v>25.0</v>
      </c>
      <c r="J1831" s="102">
        <v>30.75</v>
      </c>
      <c r="K1831" s="101" t="s">
        <v>2941</v>
      </c>
      <c r="L1831" s="102">
        <v>23.0</v>
      </c>
      <c r="M1831" s="13"/>
    </row>
    <row r="1832">
      <c r="A1832" s="101" t="s">
        <v>4451</v>
      </c>
      <c r="B1832" s="101" t="s">
        <v>4452</v>
      </c>
      <c r="D1832" s="13"/>
      <c r="E1832" s="13"/>
      <c r="F1832" s="13"/>
      <c r="G1832" s="102">
        <v>1.0</v>
      </c>
      <c r="H1832" s="101" t="s">
        <v>2940</v>
      </c>
      <c r="I1832" s="102">
        <v>34.15</v>
      </c>
      <c r="J1832" s="102">
        <v>42.0</v>
      </c>
      <c r="K1832" s="101" t="s">
        <v>2941</v>
      </c>
      <c r="L1832" s="102">
        <v>23.0</v>
      </c>
      <c r="M1832" s="13"/>
    </row>
    <row r="1833">
      <c r="A1833" s="101" t="s">
        <v>4451</v>
      </c>
      <c r="B1833" s="101" t="s">
        <v>4452</v>
      </c>
      <c r="D1833" s="13"/>
      <c r="E1833" s="13"/>
      <c r="F1833" s="13"/>
      <c r="G1833" s="102">
        <v>2.0</v>
      </c>
      <c r="H1833" s="101" t="s">
        <v>2942</v>
      </c>
      <c r="I1833" s="102">
        <v>27.0</v>
      </c>
      <c r="J1833" s="102">
        <v>33.21</v>
      </c>
      <c r="K1833" s="101" t="s">
        <v>2941</v>
      </c>
      <c r="L1833" s="102">
        <v>23.0</v>
      </c>
      <c r="M1833" s="13"/>
    </row>
    <row r="1834">
      <c r="A1834" s="101" t="s">
        <v>4453</v>
      </c>
      <c r="B1834" s="101" t="s">
        <v>4454</v>
      </c>
      <c r="D1834" s="13"/>
      <c r="E1834" s="13"/>
      <c r="F1834" s="13"/>
      <c r="G1834" s="102">
        <v>1.0</v>
      </c>
      <c r="H1834" s="101" t="s">
        <v>2940</v>
      </c>
      <c r="I1834" s="102">
        <v>36.26</v>
      </c>
      <c r="J1834" s="102">
        <v>44.6</v>
      </c>
      <c r="K1834" s="101" t="s">
        <v>2941</v>
      </c>
      <c r="L1834" s="102">
        <v>23.0</v>
      </c>
      <c r="M1834" s="13"/>
    </row>
    <row r="1835">
      <c r="A1835" s="101" t="s">
        <v>4453</v>
      </c>
      <c r="B1835" s="101" t="s">
        <v>4454</v>
      </c>
      <c r="D1835" s="13"/>
      <c r="E1835" s="13"/>
      <c r="F1835" s="13"/>
      <c r="G1835" s="102">
        <v>2.0</v>
      </c>
      <c r="H1835" s="101" t="s">
        <v>2942</v>
      </c>
      <c r="I1835" s="102">
        <v>29.0</v>
      </c>
      <c r="J1835" s="102">
        <v>35.67</v>
      </c>
      <c r="K1835" s="101" t="s">
        <v>2941</v>
      </c>
      <c r="L1835" s="102">
        <v>23.0</v>
      </c>
      <c r="M1835" s="13"/>
    </row>
    <row r="1836">
      <c r="A1836" s="101" t="s">
        <v>4455</v>
      </c>
      <c r="B1836" s="101" t="s">
        <v>4456</v>
      </c>
      <c r="D1836" s="13"/>
      <c r="E1836" s="13"/>
      <c r="F1836" s="13"/>
      <c r="G1836" s="102">
        <v>1.0</v>
      </c>
      <c r="H1836" s="101" t="s">
        <v>2940</v>
      </c>
      <c r="I1836" s="102">
        <v>80.49</v>
      </c>
      <c r="J1836" s="102">
        <v>99.0</v>
      </c>
      <c r="K1836" s="101" t="s">
        <v>2941</v>
      </c>
      <c r="L1836" s="102">
        <v>23.0</v>
      </c>
      <c r="M1836" s="13"/>
    </row>
    <row r="1837">
      <c r="A1837" s="101" t="s">
        <v>4455</v>
      </c>
      <c r="B1837" s="101" t="s">
        <v>4456</v>
      </c>
      <c r="D1837" s="13"/>
      <c r="E1837" s="13"/>
      <c r="F1837" s="13"/>
      <c r="G1837" s="102">
        <v>2.0</v>
      </c>
      <c r="H1837" s="101" t="s">
        <v>2942</v>
      </c>
      <c r="I1837" s="102">
        <v>80.25</v>
      </c>
      <c r="J1837" s="102">
        <v>98.71</v>
      </c>
      <c r="K1837" s="101" t="s">
        <v>2941</v>
      </c>
      <c r="L1837" s="102">
        <v>23.0</v>
      </c>
      <c r="M1837" s="13"/>
    </row>
    <row r="1838">
      <c r="A1838" s="101" t="s">
        <v>4457</v>
      </c>
      <c r="B1838" s="101" t="s">
        <v>4458</v>
      </c>
      <c r="D1838" s="13"/>
      <c r="E1838" s="13"/>
      <c r="F1838" s="13"/>
      <c r="G1838" s="102">
        <v>1.0</v>
      </c>
      <c r="H1838" s="101" t="s">
        <v>2940</v>
      </c>
      <c r="I1838" s="102">
        <v>76.42</v>
      </c>
      <c r="J1838" s="102">
        <v>94.0</v>
      </c>
      <c r="K1838" s="101" t="s">
        <v>2941</v>
      </c>
      <c r="L1838" s="102">
        <v>23.0</v>
      </c>
      <c r="M1838" s="13"/>
    </row>
    <row r="1839">
      <c r="A1839" s="101" t="s">
        <v>4457</v>
      </c>
      <c r="B1839" s="101" t="s">
        <v>4458</v>
      </c>
      <c r="D1839" s="13"/>
      <c r="E1839" s="13"/>
      <c r="F1839" s="13"/>
      <c r="G1839" s="102">
        <v>2.0</v>
      </c>
      <c r="H1839" s="101" t="s">
        <v>2942</v>
      </c>
      <c r="I1839" s="102">
        <v>76.35</v>
      </c>
      <c r="J1839" s="102">
        <v>93.91</v>
      </c>
      <c r="K1839" s="101" t="s">
        <v>2941</v>
      </c>
      <c r="L1839" s="102">
        <v>23.0</v>
      </c>
      <c r="M1839" s="13"/>
    </row>
    <row r="1840">
      <c r="A1840" s="101" t="s">
        <v>4459</v>
      </c>
      <c r="B1840" s="101" t="s">
        <v>4460</v>
      </c>
      <c r="D1840" s="13"/>
      <c r="E1840" s="13"/>
      <c r="F1840" s="13"/>
      <c r="G1840" s="102">
        <v>1.0</v>
      </c>
      <c r="H1840" s="101" t="s">
        <v>2940</v>
      </c>
      <c r="I1840" s="102">
        <v>59.35</v>
      </c>
      <c r="J1840" s="102">
        <v>73.0</v>
      </c>
      <c r="K1840" s="101" t="s">
        <v>2941</v>
      </c>
      <c r="L1840" s="102">
        <v>23.0</v>
      </c>
      <c r="M1840" s="13"/>
    </row>
    <row r="1841">
      <c r="A1841" s="101" t="s">
        <v>4459</v>
      </c>
      <c r="B1841" s="101" t="s">
        <v>4460</v>
      </c>
      <c r="D1841" s="13"/>
      <c r="E1841" s="13"/>
      <c r="F1841" s="13"/>
      <c r="G1841" s="102">
        <v>2.0</v>
      </c>
      <c r="H1841" s="101" t="s">
        <v>2942</v>
      </c>
      <c r="I1841" s="102">
        <v>59.25</v>
      </c>
      <c r="J1841" s="102">
        <v>72.88</v>
      </c>
      <c r="K1841" s="101" t="s">
        <v>2941</v>
      </c>
      <c r="L1841" s="102">
        <v>23.0</v>
      </c>
      <c r="M1841" s="13"/>
    </row>
    <row r="1842">
      <c r="A1842" s="101" t="s">
        <v>4461</v>
      </c>
      <c r="B1842" s="101" t="s">
        <v>4462</v>
      </c>
      <c r="D1842" s="13"/>
      <c r="E1842" s="13"/>
      <c r="F1842" s="13"/>
      <c r="G1842" s="102">
        <v>1.0</v>
      </c>
      <c r="H1842" s="101" t="s">
        <v>2940</v>
      </c>
      <c r="I1842" s="102">
        <v>80.49</v>
      </c>
      <c r="J1842" s="102">
        <v>99.0</v>
      </c>
      <c r="K1842" s="101" t="s">
        <v>2941</v>
      </c>
      <c r="L1842" s="102">
        <v>23.0</v>
      </c>
      <c r="M1842" s="13"/>
    </row>
    <row r="1843">
      <c r="A1843" s="101" t="s">
        <v>4461</v>
      </c>
      <c r="B1843" s="101" t="s">
        <v>4462</v>
      </c>
      <c r="D1843" s="13"/>
      <c r="E1843" s="13"/>
      <c r="F1843" s="13"/>
      <c r="G1843" s="102">
        <v>2.0</v>
      </c>
      <c r="H1843" s="101" t="s">
        <v>2942</v>
      </c>
      <c r="I1843" s="102">
        <v>80.25</v>
      </c>
      <c r="J1843" s="102">
        <v>98.71</v>
      </c>
      <c r="K1843" s="101" t="s">
        <v>2941</v>
      </c>
      <c r="L1843" s="102">
        <v>23.0</v>
      </c>
      <c r="M1843" s="13"/>
    </row>
    <row r="1844">
      <c r="A1844" s="101" t="s">
        <v>4463</v>
      </c>
      <c r="B1844" s="101" t="s">
        <v>4464</v>
      </c>
      <c r="D1844" s="13"/>
      <c r="E1844" s="13"/>
      <c r="F1844" s="13"/>
      <c r="G1844" s="102">
        <v>1.0</v>
      </c>
      <c r="H1844" s="101" t="s">
        <v>2940</v>
      </c>
      <c r="I1844" s="102">
        <v>59.35</v>
      </c>
      <c r="J1844" s="102">
        <v>73.0</v>
      </c>
      <c r="K1844" s="101" t="s">
        <v>2941</v>
      </c>
      <c r="L1844" s="102">
        <v>23.0</v>
      </c>
      <c r="M1844" s="13"/>
    </row>
    <row r="1845">
      <c r="A1845" s="101" t="s">
        <v>4463</v>
      </c>
      <c r="B1845" s="101" t="s">
        <v>4464</v>
      </c>
      <c r="D1845" s="13"/>
      <c r="E1845" s="13"/>
      <c r="F1845" s="13"/>
      <c r="G1845" s="102">
        <v>2.0</v>
      </c>
      <c r="H1845" s="101" t="s">
        <v>2942</v>
      </c>
      <c r="I1845" s="102">
        <v>59.25</v>
      </c>
      <c r="J1845" s="102">
        <v>72.88</v>
      </c>
      <c r="K1845" s="101" t="s">
        <v>2941</v>
      </c>
      <c r="L1845" s="102">
        <v>23.0</v>
      </c>
      <c r="M1845" s="13"/>
    </row>
    <row r="1846">
      <c r="A1846" s="101" t="s">
        <v>4465</v>
      </c>
      <c r="B1846" s="101" t="s">
        <v>4466</v>
      </c>
      <c r="D1846" s="13"/>
      <c r="E1846" s="13"/>
      <c r="F1846" s="13"/>
      <c r="G1846" s="102">
        <v>1.0</v>
      </c>
      <c r="H1846" s="101" t="s">
        <v>2940</v>
      </c>
      <c r="I1846" s="102">
        <v>74.8</v>
      </c>
      <c r="J1846" s="102">
        <v>92.0</v>
      </c>
      <c r="K1846" s="101" t="s">
        <v>2941</v>
      </c>
      <c r="L1846" s="102">
        <v>23.0</v>
      </c>
      <c r="M1846" s="13"/>
    </row>
    <row r="1847">
      <c r="A1847" s="101" t="s">
        <v>4465</v>
      </c>
      <c r="B1847" s="101" t="s">
        <v>4466</v>
      </c>
      <c r="D1847" s="13"/>
      <c r="E1847" s="13"/>
      <c r="F1847" s="13"/>
      <c r="G1847" s="102">
        <v>2.0</v>
      </c>
      <c r="H1847" s="101" t="s">
        <v>2942</v>
      </c>
      <c r="I1847" s="102">
        <v>74.79</v>
      </c>
      <c r="J1847" s="102">
        <v>91.99</v>
      </c>
      <c r="K1847" s="101" t="s">
        <v>2941</v>
      </c>
      <c r="L1847" s="102">
        <v>23.0</v>
      </c>
      <c r="M1847" s="13"/>
    </row>
    <row r="1848">
      <c r="A1848" s="101" t="s">
        <v>4467</v>
      </c>
      <c r="B1848" s="101" t="s">
        <v>4468</v>
      </c>
      <c r="D1848" s="13"/>
      <c r="E1848" s="13"/>
      <c r="F1848" s="13"/>
      <c r="G1848" s="102">
        <v>1.0</v>
      </c>
      <c r="H1848" s="101" t="s">
        <v>2940</v>
      </c>
      <c r="I1848" s="102">
        <v>66.67</v>
      </c>
      <c r="J1848" s="102">
        <v>82.0</v>
      </c>
      <c r="K1848" s="101" t="s">
        <v>2941</v>
      </c>
      <c r="L1848" s="102">
        <v>23.0</v>
      </c>
      <c r="M1848" s="13"/>
    </row>
    <row r="1849">
      <c r="A1849" s="101" t="s">
        <v>4467</v>
      </c>
      <c r="B1849" s="101" t="s">
        <v>4468</v>
      </c>
      <c r="D1849" s="13"/>
      <c r="E1849" s="13"/>
      <c r="F1849" s="13"/>
      <c r="G1849" s="102">
        <v>2.0</v>
      </c>
      <c r="H1849" s="101" t="s">
        <v>2942</v>
      </c>
      <c r="I1849" s="102">
        <v>65.87</v>
      </c>
      <c r="J1849" s="102">
        <v>81.02</v>
      </c>
      <c r="K1849" s="101" t="s">
        <v>2941</v>
      </c>
      <c r="L1849" s="102">
        <v>23.0</v>
      </c>
      <c r="M1849" s="13"/>
    </row>
    <row r="1850">
      <c r="A1850" s="101" t="s">
        <v>4469</v>
      </c>
      <c r="B1850" s="101" t="s">
        <v>4470</v>
      </c>
      <c r="D1850" s="13"/>
      <c r="E1850" s="13"/>
      <c r="F1850" s="13"/>
      <c r="G1850" s="102">
        <v>1.0</v>
      </c>
      <c r="H1850" s="101" t="s">
        <v>2940</v>
      </c>
      <c r="I1850" s="102">
        <v>37.4</v>
      </c>
      <c r="J1850" s="102">
        <v>46.0</v>
      </c>
      <c r="K1850" s="101" t="s">
        <v>2941</v>
      </c>
      <c r="L1850" s="102">
        <v>23.0</v>
      </c>
      <c r="M1850" s="13"/>
    </row>
    <row r="1851">
      <c r="A1851" s="101" t="s">
        <v>4469</v>
      </c>
      <c r="B1851" s="101" t="s">
        <v>4470</v>
      </c>
      <c r="D1851" s="13"/>
      <c r="E1851" s="13"/>
      <c r="F1851" s="13"/>
      <c r="G1851" s="102">
        <v>2.0</v>
      </c>
      <c r="H1851" s="101" t="s">
        <v>2942</v>
      </c>
      <c r="I1851" s="102">
        <v>30.0</v>
      </c>
      <c r="J1851" s="102">
        <v>36.9</v>
      </c>
      <c r="K1851" s="101" t="s">
        <v>2941</v>
      </c>
      <c r="L1851" s="102">
        <v>23.0</v>
      </c>
      <c r="M1851" s="13"/>
    </row>
    <row r="1852">
      <c r="A1852" s="101" t="s">
        <v>4471</v>
      </c>
      <c r="B1852" s="101" t="s">
        <v>4472</v>
      </c>
      <c r="D1852" s="13"/>
      <c r="E1852" s="13"/>
      <c r="F1852" s="13"/>
      <c r="G1852" s="102">
        <v>1.0</v>
      </c>
      <c r="H1852" s="101" t="s">
        <v>2940</v>
      </c>
      <c r="I1852" s="102">
        <v>68.29</v>
      </c>
      <c r="J1852" s="102">
        <v>84.0</v>
      </c>
      <c r="K1852" s="101" t="s">
        <v>2941</v>
      </c>
      <c r="L1852" s="102">
        <v>23.0</v>
      </c>
      <c r="M1852" s="13"/>
    </row>
    <row r="1853">
      <c r="A1853" s="101" t="s">
        <v>4471</v>
      </c>
      <c r="B1853" s="101" t="s">
        <v>4472</v>
      </c>
      <c r="D1853" s="13"/>
      <c r="E1853" s="13"/>
      <c r="F1853" s="13"/>
      <c r="G1853" s="102">
        <v>2.0</v>
      </c>
      <c r="H1853" s="101" t="s">
        <v>2942</v>
      </c>
      <c r="I1853" s="102">
        <v>68.1</v>
      </c>
      <c r="J1853" s="102">
        <v>83.76</v>
      </c>
      <c r="K1853" s="101" t="s">
        <v>2941</v>
      </c>
      <c r="L1853" s="102">
        <v>23.0</v>
      </c>
      <c r="M1853" s="13"/>
    </row>
    <row r="1854">
      <c r="A1854" s="101" t="s">
        <v>4473</v>
      </c>
      <c r="B1854" s="101" t="s">
        <v>4474</v>
      </c>
      <c r="D1854" s="13"/>
      <c r="E1854" s="13"/>
      <c r="F1854" s="13"/>
      <c r="G1854" s="102">
        <v>1.0</v>
      </c>
      <c r="H1854" s="101" t="s">
        <v>2940</v>
      </c>
      <c r="I1854" s="102">
        <v>51.22</v>
      </c>
      <c r="J1854" s="102">
        <v>63.0</v>
      </c>
      <c r="K1854" s="101" t="s">
        <v>2941</v>
      </c>
      <c r="L1854" s="102">
        <v>23.0</v>
      </c>
      <c r="M1854" s="13"/>
    </row>
    <row r="1855">
      <c r="A1855" s="101" t="s">
        <v>4473</v>
      </c>
      <c r="B1855" s="101" t="s">
        <v>4474</v>
      </c>
      <c r="D1855" s="13"/>
      <c r="E1855" s="13"/>
      <c r="F1855" s="13"/>
      <c r="G1855" s="102">
        <v>2.0</v>
      </c>
      <c r="H1855" s="101" t="s">
        <v>2942</v>
      </c>
      <c r="I1855" s="102">
        <v>51.0</v>
      </c>
      <c r="J1855" s="102">
        <v>62.73</v>
      </c>
      <c r="K1855" s="101" t="s">
        <v>2941</v>
      </c>
      <c r="L1855" s="102">
        <v>23.0</v>
      </c>
      <c r="M1855" s="13"/>
    </row>
    <row r="1856">
      <c r="A1856" s="101" t="s">
        <v>4475</v>
      </c>
      <c r="B1856" s="101" t="s">
        <v>4476</v>
      </c>
      <c r="D1856" s="13"/>
      <c r="E1856" s="13"/>
      <c r="F1856" s="13"/>
      <c r="G1856" s="102">
        <v>1.0</v>
      </c>
      <c r="H1856" s="101" t="s">
        <v>2940</v>
      </c>
      <c r="I1856" s="102">
        <v>76.42</v>
      </c>
      <c r="J1856" s="102">
        <v>94.0</v>
      </c>
      <c r="K1856" s="101" t="s">
        <v>2941</v>
      </c>
      <c r="L1856" s="102">
        <v>23.0</v>
      </c>
      <c r="M1856" s="13"/>
    </row>
    <row r="1857">
      <c r="A1857" s="101" t="s">
        <v>4475</v>
      </c>
      <c r="B1857" s="101" t="s">
        <v>4476</v>
      </c>
      <c r="D1857" s="13"/>
      <c r="E1857" s="13"/>
      <c r="F1857" s="13"/>
      <c r="G1857" s="102">
        <v>2.0</v>
      </c>
      <c r="H1857" s="101" t="s">
        <v>2942</v>
      </c>
      <c r="I1857" s="102">
        <v>68.1</v>
      </c>
      <c r="J1857" s="102">
        <v>83.76</v>
      </c>
      <c r="K1857" s="101" t="s">
        <v>2941</v>
      </c>
      <c r="L1857" s="102">
        <v>23.0</v>
      </c>
      <c r="M1857" s="13"/>
    </row>
    <row r="1858">
      <c r="A1858" s="101" t="s">
        <v>4477</v>
      </c>
      <c r="B1858" s="101" t="s">
        <v>4478</v>
      </c>
      <c r="D1858" s="13"/>
      <c r="E1858" s="13"/>
      <c r="F1858" s="13"/>
      <c r="G1858" s="102">
        <v>1.0</v>
      </c>
      <c r="H1858" s="101" t="s">
        <v>2940</v>
      </c>
      <c r="I1858" s="102">
        <v>51.22</v>
      </c>
      <c r="J1858" s="102">
        <v>63.0</v>
      </c>
      <c r="K1858" s="101" t="s">
        <v>2941</v>
      </c>
      <c r="L1858" s="102">
        <v>23.0</v>
      </c>
      <c r="M1858" s="13"/>
    </row>
    <row r="1859">
      <c r="A1859" s="101" t="s">
        <v>4477</v>
      </c>
      <c r="B1859" s="101" t="s">
        <v>4478</v>
      </c>
      <c r="D1859" s="13"/>
      <c r="E1859" s="13"/>
      <c r="F1859" s="13"/>
      <c r="G1859" s="102">
        <v>2.0</v>
      </c>
      <c r="H1859" s="101" t="s">
        <v>2942</v>
      </c>
      <c r="I1859" s="102">
        <v>51.0</v>
      </c>
      <c r="J1859" s="102">
        <v>62.73</v>
      </c>
      <c r="K1859" s="101" t="s">
        <v>2941</v>
      </c>
      <c r="L1859" s="102">
        <v>23.0</v>
      </c>
      <c r="M1859" s="13"/>
    </row>
    <row r="1860">
      <c r="A1860" s="101" t="s">
        <v>4479</v>
      </c>
      <c r="B1860" s="101" t="s">
        <v>4480</v>
      </c>
      <c r="D1860" s="13"/>
      <c r="E1860" s="13"/>
      <c r="F1860" s="13"/>
      <c r="G1860" s="102">
        <v>1.0</v>
      </c>
      <c r="H1860" s="101" t="s">
        <v>2940</v>
      </c>
      <c r="I1860" s="102">
        <v>17.2</v>
      </c>
      <c r="J1860" s="102">
        <v>21.16</v>
      </c>
      <c r="K1860" s="101" t="s">
        <v>2941</v>
      </c>
      <c r="L1860" s="102">
        <v>23.0</v>
      </c>
      <c r="M1860" s="13"/>
    </row>
    <row r="1861">
      <c r="A1861" s="101" t="s">
        <v>4479</v>
      </c>
      <c r="B1861" s="101" t="s">
        <v>4480</v>
      </c>
      <c r="D1861" s="13"/>
      <c r="E1861" s="13"/>
      <c r="F1861" s="13"/>
      <c r="G1861" s="102">
        <v>2.0</v>
      </c>
      <c r="H1861" s="101" t="s">
        <v>2942</v>
      </c>
      <c r="I1861" s="102">
        <v>17.2</v>
      </c>
      <c r="J1861" s="102">
        <v>21.16</v>
      </c>
      <c r="K1861" s="101" t="s">
        <v>2941</v>
      </c>
      <c r="L1861" s="102">
        <v>23.0</v>
      </c>
      <c r="M1861" s="13"/>
    </row>
    <row r="1862">
      <c r="A1862" s="101" t="s">
        <v>4481</v>
      </c>
      <c r="B1862" s="101" t="s">
        <v>4482</v>
      </c>
      <c r="D1862" s="13"/>
      <c r="E1862" s="13"/>
      <c r="F1862" s="13"/>
      <c r="G1862" s="102">
        <v>1.0</v>
      </c>
      <c r="H1862" s="101" t="s">
        <v>2940</v>
      </c>
      <c r="I1862" s="102">
        <v>28.46</v>
      </c>
      <c r="J1862" s="102">
        <v>35.01</v>
      </c>
      <c r="K1862" s="101" t="s">
        <v>2941</v>
      </c>
      <c r="L1862" s="102">
        <v>23.0</v>
      </c>
      <c r="M1862" s="13"/>
    </row>
    <row r="1863">
      <c r="A1863" s="101" t="s">
        <v>4481</v>
      </c>
      <c r="B1863" s="101" t="s">
        <v>4482</v>
      </c>
      <c r="D1863" s="13"/>
      <c r="E1863" s="13"/>
      <c r="F1863" s="13"/>
      <c r="G1863" s="102">
        <v>2.0</v>
      </c>
      <c r="H1863" s="101" t="s">
        <v>2942</v>
      </c>
      <c r="I1863" s="102">
        <v>27.95</v>
      </c>
      <c r="J1863" s="102">
        <v>34.38</v>
      </c>
      <c r="K1863" s="101" t="s">
        <v>2941</v>
      </c>
      <c r="L1863" s="102">
        <v>23.0</v>
      </c>
      <c r="M1863" s="13"/>
    </row>
    <row r="1864">
      <c r="A1864" s="101" t="s">
        <v>4483</v>
      </c>
      <c r="B1864" s="101" t="s">
        <v>4484</v>
      </c>
      <c r="D1864" s="13"/>
      <c r="E1864" s="13"/>
      <c r="F1864" s="13"/>
      <c r="G1864" s="102">
        <v>1.0</v>
      </c>
      <c r="H1864" s="101" t="s">
        <v>2940</v>
      </c>
      <c r="I1864" s="102">
        <v>22.76</v>
      </c>
      <c r="J1864" s="102">
        <v>27.99</v>
      </c>
      <c r="K1864" s="101" t="s">
        <v>2941</v>
      </c>
      <c r="L1864" s="102">
        <v>23.0</v>
      </c>
      <c r="M1864" s="13"/>
    </row>
    <row r="1865">
      <c r="A1865" s="101" t="s">
        <v>4483</v>
      </c>
      <c r="B1865" s="101" t="s">
        <v>4484</v>
      </c>
      <c r="D1865" s="13"/>
      <c r="E1865" s="13"/>
      <c r="F1865" s="13"/>
      <c r="G1865" s="102">
        <v>2.0</v>
      </c>
      <c r="H1865" s="101" t="s">
        <v>2942</v>
      </c>
      <c r="I1865" s="102">
        <v>22.25</v>
      </c>
      <c r="J1865" s="102">
        <v>27.37</v>
      </c>
      <c r="K1865" s="101" t="s">
        <v>2941</v>
      </c>
      <c r="L1865" s="102">
        <v>23.0</v>
      </c>
      <c r="M1865" s="13"/>
    </row>
    <row r="1866">
      <c r="A1866" s="101" t="s">
        <v>4485</v>
      </c>
      <c r="B1866" s="101" t="s">
        <v>4486</v>
      </c>
      <c r="D1866" s="13"/>
      <c r="E1866" s="13"/>
      <c r="F1866" s="13"/>
      <c r="G1866" s="102">
        <v>1.0</v>
      </c>
      <c r="H1866" s="101" t="s">
        <v>2940</v>
      </c>
      <c r="I1866" s="102">
        <v>34.96</v>
      </c>
      <c r="J1866" s="102">
        <v>43.0</v>
      </c>
      <c r="K1866" s="101" t="s">
        <v>2941</v>
      </c>
      <c r="L1866" s="102">
        <v>23.0</v>
      </c>
      <c r="M1866" s="13"/>
    </row>
    <row r="1867">
      <c r="A1867" s="101" t="s">
        <v>4485</v>
      </c>
      <c r="B1867" s="101" t="s">
        <v>4486</v>
      </c>
      <c r="D1867" s="13"/>
      <c r="E1867" s="13"/>
      <c r="F1867" s="13"/>
      <c r="G1867" s="102">
        <v>2.0</v>
      </c>
      <c r="H1867" s="101" t="s">
        <v>2942</v>
      </c>
      <c r="I1867" s="102">
        <v>34.4</v>
      </c>
      <c r="J1867" s="102">
        <v>42.31</v>
      </c>
      <c r="K1867" s="101" t="s">
        <v>2941</v>
      </c>
      <c r="L1867" s="102">
        <v>23.0</v>
      </c>
      <c r="M1867" s="13"/>
    </row>
    <row r="1868">
      <c r="A1868" s="101" t="s">
        <v>4487</v>
      </c>
      <c r="B1868" s="101" t="s">
        <v>4488</v>
      </c>
      <c r="D1868" s="13"/>
      <c r="E1868" s="13"/>
      <c r="F1868" s="13"/>
      <c r="G1868" s="102">
        <v>1.0</v>
      </c>
      <c r="H1868" s="101" t="s">
        <v>2940</v>
      </c>
      <c r="I1868" s="102">
        <v>28.46</v>
      </c>
      <c r="J1868" s="102">
        <v>35.01</v>
      </c>
      <c r="K1868" s="101" t="s">
        <v>2941</v>
      </c>
      <c r="L1868" s="102">
        <v>23.0</v>
      </c>
      <c r="M1868" s="13"/>
    </row>
    <row r="1869">
      <c r="A1869" s="101" t="s">
        <v>4487</v>
      </c>
      <c r="B1869" s="101" t="s">
        <v>4488</v>
      </c>
      <c r="D1869" s="13"/>
      <c r="E1869" s="13"/>
      <c r="F1869" s="13"/>
      <c r="G1869" s="102">
        <v>2.0</v>
      </c>
      <c r="H1869" s="101" t="s">
        <v>2942</v>
      </c>
      <c r="I1869" s="102">
        <v>27.95</v>
      </c>
      <c r="J1869" s="102">
        <v>34.38</v>
      </c>
      <c r="K1869" s="101" t="s">
        <v>2941</v>
      </c>
      <c r="L1869" s="102">
        <v>23.0</v>
      </c>
      <c r="M1869" s="13"/>
    </row>
    <row r="1870">
      <c r="A1870" s="101" t="s">
        <v>4489</v>
      </c>
      <c r="B1870" s="101" t="s">
        <v>4490</v>
      </c>
      <c r="D1870" s="13"/>
      <c r="E1870" s="13"/>
      <c r="F1870" s="13"/>
      <c r="G1870" s="102">
        <v>1.0</v>
      </c>
      <c r="H1870" s="101" t="s">
        <v>2940</v>
      </c>
      <c r="I1870" s="102">
        <v>22.76</v>
      </c>
      <c r="J1870" s="102">
        <v>27.99</v>
      </c>
      <c r="K1870" s="101" t="s">
        <v>2941</v>
      </c>
      <c r="L1870" s="102">
        <v>23.0</v>
      </c>
      <c r="M1870" s="13"/>
    </row>
    <row r="1871">
      <c r="A1871" s="101" t="s">
        <v>4489</v>
      </c>
      <c r="B1871" s="101" t="s">
        <v>4490</v>
      </c>
      <c r="D1871" s="13"/>
      <c r="E1871" s="13"/>
      <c r="F1871" s="13"/>
      <c r="G1871" s="102">
        <v>2.0</v>
      </c>
      <c r="H1871" s="101" t="s">
        <v>2942</v>
      </c>
      <c r="I1871" s="102">
        <v>22.25</v>
      </c>
      <c r="J1871" s="102">
        <v>27.37</v>
      </c>
      <c r="K1871" s="101" t="s">
        <v>2941</v>
      </c>
      <c r="L1871" s="102">
        <v>23.0</v>
      </c>
      <c r="M1871" s="13"/>
    </row>
    <row r="1872">
      <c r="A1872" s="101" t="s">
        <v>4491</v>
      </c>
      <c r="B1872" s="101">
        <v>485.0</v>
      </c>
      <c r="C1872" s="13"/>
      <c r="D1872" s="13"/>
      <c r="E1872" s="13"/>
      <c r="F1872" s="13"/>
      <c r="G1872" s="102">
        <v>1.0</v>
      </c>
      <c r="H1872" s="101" t="s">
        <v>2940</v>
      </c>
      <c r="I1872" s="102">
        <v>26.42</v>
      </c>
      <c r="J1872" s="102">
        <v>32.5</v>
      </c>
      <c r="K1872" s="101" t="s">
        <v>2941</v>
      </c>
      <c r="L1872" s="102">
        <v>23.0</v>
      </c>
      <c r="M1872" s="13"/>
    </row>
    <row r="1873">
      <c r="A1873" s="101" t="s">
        <v>4491</v>
      </c>
      <c r="B1873" s="101">
        <v>485.0</v>
      </c>
      <c r="C1873" s="13"/>
      <c r="D1873" s="13"/>
      <c r="E1873" s="13"/>
      <c r="F1873" s="13"/>
      <c r="G1873" s="102">
        <v>2.0</v>
      </c>
      <c r="H1873" s="101" t="s">
        <v>2942</v>
      </c>
      <c r="I1873" s="102">
        <v>26.13</v>
      </c>
      <c r="J1873" s="102">
        <v>32.14</v>
      </c>
      <c r="K1873" s="101" t="s">
        <v>2941</v>
      </c>
      <c r="L1873" s="102">
        <v>23.0</v>
      </c>
      <c r="M1873" s="13"/>
    </row>
    <row r="1874">
      <c r="A1874" s="101" t="s">
        <v>4492</v>
      </c>
      <c r="B1874" s="101" t="s">
        <v>4493</v>
      </c>
      <c r="D1874" s="13"/>
      <c r="E1874" s="13"/>
      <c r="F1874" s="13"/>
      <c r="G1874" s="102">
        <v>1.0</v>
      </c>
      <c r="H1874" s="101" t="s">
        <v>2940</v>
      </c>
      <c r="I1874" s="102">
        <v>21.95</v>
      </c>
      <c r="J1874" s="102">
        <v>27.0</v>
      </c>
      <c r="K1874" s="101" t="s">
        <v>2941</v>
      </c>
      <c r="L1874" s="102">
        <v>23.0</v>
      </c>
      <c r="M1874" s="13"/>
    </row>
    <row r="1875">
      <c r="A1875" s="101" t="s">
        <v>4492</v>
      </c>
      <c r="B1875" s="101" t="s">
        <v>4493</v>
      </c>
      <c r="D1875" s="13"/>
      <c r="E1875" s="13"/>
      <c r="F1875" s="13"/>
      <c r="G1875" s="102">
        <v>2.0</v>
      </c>
      <c r="H1875" s="101" t="s">
        <v>2942</v>
      </c>
      <c r="I1875" s="102">
        <v>21.96</v>
      </c>
      <c r="J1875" s="102">
        <v>27.01</v>
      </c>
      <c r="K1875" s="101" t="s">
        <v>2941</v>
      </c>
      <c r="L1875" s="102">
        <v>23.0</v>
      </c>
      <c r="M1875" s="13"/>
    </row>
    <row r="1876">
      <c r="A1876" s="101" t="s">
        <v>4494</v>
      </c>
      <c r="B1876" s="101" t="s">
        <v>4495</v>
      </c>
      <c r="D1876" s="13"/>
      <c r="E1876" s="13"/>
      <c r="F1876" s="13"/>
      <c r="G1876" s="102">
        <v>1.0</v>
      </c>
      <c r="H1876" s="101" t="s">
        <v>2940</v>
      </c>
      <c r="I1876" s="102">
        <v>28.46</v>
      </c>
      <c r="J1876" s="102">
        <v>35.0</v>
      </c>
      <c r="K1876" s="101" t="s">
        <v>2941</v>
      </c>
      <c r="L1876" s="102">
        <v>23.0</v>
      </c>
      <c r="M1876" s="13"/>
    </row>
    <row r="1877">
      <c r="A1877" s="101" t="s">
        <v>4494</v>
      </c>
      <c r="B1877" s="101" t="s">
        <v>4495</v>
      </c>
      <c r="D1877" s="13"/>
      <c r="E1877" s="13"/>
      <c r="F1877" s="13"/>
      <c r="G1877" s="102">
        <v>2.0</v>
      </c>
      <c r="H1877" s="101" t="s">
        <v>2942</v>
      </c>
      <c r="I1877" s="102">
        <v>22.8</v>
      </c>
      <c r="J1877" s="102">
        <v>28.04</v>
      </c>
      <c r="K1877" s="101" t="s">
        <v>2941</v>
      </c>
      <c r="L1877" s="102">
        <v>23.0</v>
      </c>
      <c r="M1877" s="13"/>
    </row>
    <row r="1878">
      <c r="A1878" s="101" t="s">
        <v>4496</v>
      </c>
      <c r="B1878" s="101" t="s">
        <v>4497</v>
      </c>
      <c r="D1878" s="13"/>
      <c r="E1878" s="13"/>
      <c r="F1878" s="13"/>
      <c r="G1878" s="102">
        <v>1.0</v>
      </c>
      <c r="H1878" s="101" t="s">
        <v>2940</v>
      </c>
      <c r="I1878" s="102">
        <v>56.1</v>
      </c>
      <c r="J1878" s="102">
        <v>69.0</v>
      </c>
      <c r="K1878" s="101" t="s">
        <v>2941</v>
      </c>
      <c r="L1878" s="102">
        <v>23.0</v>
      </c>
      <c r="M1878" s="13"/>
    </row>
    <row r="1879">
      <c r="A1879" s="101" t="s">
        <v>4496</v>
      </c>
      <c r="B1879" s="101" t="s">
        <v>4497</v>
      </c>
      <c r="D1879" s="13"/>
      <c r="E1879" s="13"/>
      <c r="F1879" s="13"/>
      <c r="G1879" s="102">
        <v>2.0</v>
      </c>
      <c r="H1879" s="101" t="s">
        <v>2942</v>
      </c>
      <c r="I1879" s="102">
        <v>55.9</v>
      </c>
      <c r="J1879" s="102">
        <v>68.76</v>
      </c>
      <c r="K1879" s="101" t="s">
        <v>2941</v>
      </c>
      <c r="L1879" s="102">
        <v>23.0</v>
      </c>
      <c r="M1879" s="13"/>
    </row>
    <row r="1880">
      <c r="A1880" s="101" t="s">
        <v>4498</v>
      </c>
      <c r="B1880" s="101" t="s">
        <v>4499</v>
      </c>
      <c r="D1880" s="13"/>
      <c r="E1880" s="13"/>
      <c r="F1880" s="13"/>
      <c r="G1880" s="102">
        <v>1.0</v>
      </c>
      <c r="H1880" s="101" t="s">
        <v>2940</v>
      </c>
      <c r="I1880" s="102">
        <v>37.97</v>
      </c>
      <c r="J1880" s="102">
        <v>46.7</v>
      </c>
      <c r="K1880" s="101" t="s">
        <v>2941</v>
      </c>
      <c r="L1880" s="102">
        <v>23.0</v>
      </c>
      <c r="M1880" s="13"/>
    </row>
    <row r="1881">
      <c r="A1881" s="101" t="s">
        <v>4498</v>
      </c>
      <c r="B1881" s="101" t="s">
        <v>4499</v>
      </c>
      <c r="D1881" s="13"/>
      <c r="E1881" s="13"/>
      <c r="F1881" s="13"/>
      <c r="G1881" s="102">
        <v>2.0</v>
      </c>
      <c r="H1881" s="101" t="s">
        <v>2942</v>
      </c>
      <c r="I1881" s="102">
        <v>30.0</v>
      </c>
      <c r="J1881" s="102">
        <v>36.9</v>
      </c>
      <c r="K1881" s="101" t="s">
        <v>2941</v>
      </c>
      <c r="L1881" s="102">
        <v>23.0</v>
      </c>
      <c r="M1881" s="13"/>
    </row>
    <row r="1882">
      <c r="A1882" s="101" t="s">
        <v>4500</v>
      </c>
      <c r="B1882" s="101" t="s">
        <v>4501</v>
      </c>
      <c r="D1882" s="13"/>
      <c r="E1882" s="13"/>
      <c r="F1882" s="13"/>
      <c r="G1882" s="102">
        <v>1.0</v>
      </c>
      <c r="H1882" s="101" t="s">
        <v>2940</v>
      </c>
      <c r="I1882" s="102">
        <v>69.11</v>
      </c>
      <c r="J1882" s="102">
        <v>85.01</v>
      </c>
      <c r="K1882" s="101" t="s">
        <v>2941</v>
      </c>
      <c r="L1882" s="102">
        <v>23.0</v>
      </c>
      <c r="M1882" s="13"/>
    </row>
    <row r="1883">
      <c r="A1883" s="101" t="s">
        <v>4500</v>
      </c>
      <c r="B1883" s="101" t="s">
        <v>4501</v>
      </c>
      <c r="D1883" s="13"/>
      <c r="E1883" s="13"/>
      <c r="F1883" s="13"/>
      <c r="G1883" s="102">
        <v>2.0</v>
      </c>
      <c r="H1883" s="101" t="s">
        <v>2942</v>
      </c>
      <c r="I1883" s="102">
        <v>68.8</v>
      </c>
      <c r="J1883" s="102">
        <v>84.62</v>
      </c>
      <c r="K1883" s="101" t="s">
        <v>2941</v>
      </c>
      <c r="L1883" s="102">
        <v>23.0</v>
      </c>
      <c r="M1883" s="13"/>
    </row>
    <row r="1884">
      <c r="A1884" s="101" t="s">
        <v>4502</v>
      </c>
      <c r="B1884" s="101" t="s">
        <v>4503</v>
      </c>
      <c r="D1884" s="13"/>
      <c r="E1884" s="13"/>
      <c r="F1884" s="13"/>
      <c r="G1884" s="102">
        <v>1.0</v>
      </c>
      <c r="H1884" s="101" t="s">
        <v>2940</v>
      </c>
      <c r="I1884" s="102">
        <v>37.97</v>
      </c>
      <c r="J1884" s="102">
        <v>46.7</v>
      </c>
      <c r="K1884" s="101" t="s">
        <v>2941</v>
      </c>
      <c r="L1884" s="102">
        <v>23.0</v>
      </c>
      <c r="M1884" s="13"/>
    </row>
    <row r="1885">
      <c r="A1885" s="101" t="s">
        <v>4502</v>
      </c>
      <c r="B1885" s="101" t="s">
        <v>4503</v>
      </c>
      <c r="D1885" s="13"/>
      <c r="E1885" s="13"/>
      <c r="F1885" s="13"/>
      <c r="G1885" s="102">
        <v>2.0</v>
      </c>
      <c r="H1885" s="101" t="s">
        <v>2942</v>
      </c>
      <c r="I1885" s="102">
        <v>30.0</v>
      </c>
      <c r="J1885" s="102">
        <v>36.9</v>
      </c>
      <c r="K1885" s="101" t="s">
        <v>2941</v>
      </c>
      <c r="L1885" s="102">
        <v>23.0</v>
      </c>
      <c r="M1885" s="13"/>
    </row>
    <row r="1886">
      <c r="A1886" s="101" t="s">
        <v>4504</v>
      </c>
      <c r="B1886" s="101" t="s">
        <v>4505</v>
      </c>
      <c r="D1886" s="13"/>
      <c r="E1886" s="13"/>
      <c r="F1886" s="13"/>
      <c r="G1886" s="102">
        <v>1.0</v>
      </c>
      <c r="H1886" s="101" t="s">
        <v>2940</v>
      </c>
      <c r="I1886" s="102">
        <v>44.72</v>
      </c>
      <c r="J1886" s="102">
        <v>55.01</v>
      </c>
      <c r="K1886" s="101" t="s">
        <v>2941</v>
      </c>
      <c r="L1886" s="102">
        <v>23.0</v>
      </c>
      <c r="M1886" s="13"/>
    </row>
    <row r="1887">
      <c r="A1887" s="101" t="s">
        <v>4504</v>
      </c>
      <c r="B1887" s="101" t="s">
        <v>4505</v>
      </c>
      <c r="D1887" s="13"/>
      <c r="E1887" s="13"/>
      <c r="F1887" s="13"/>
      <c r="G1887" s="102">
        <v>2.0</v>
      </c>
      <c r="H1887" s="101" t="s">
        <v>2942</v>
      </c>
      <c r="I1887" s="102">
        <v>44.5</v>
      </c>
      <c r="J1887" s="102">
        <v>54.74</v>
      </c>
      <c r="K1887" s="101" t="s">
        <v>2941</v>
      </c>
      <c r="L1887" s="102">
        <v>23.0</v>
      </c>
      <c r="M1887" s="13"/>
    </row>
    <row r="1888">
      <c r="A1888" s="101" t="s">
        <v>4506</v>
      </c>
      <c r="B1888" s="101">
        <v>45.0</v>
      </c>
      <c r="C1888" s="13"/>
      <c r="D1888" s="13"/>
      <c r="E1888" s="13"/>
      <c r="F1888" s="13"/>
      <c r="G1888" s="102">
        <v>1.0</v>
      </c>
      <c r="H1888" s="101" t="s">
        <v>2940</v>
      </c>
      <c r="I1888" s="102">
        <v>61.79</v>
      </c>
      <c r="J1888" s="102">
        <v>76.0</v>
      </c>
      <c r="K1888" s="101" t="s">
        <v>2941</v>
      </c>
      <c r="L1888" s="102">
        <v>23.0</v>
      </c>
      <c r="M1888" s="13"/>
    </row>
    <row r="1889">
      <c r="A1889" s="101" t="s">
        <v>4506</v>
      </c>
      <c r="B1889" s="101">
        <v>45.0</v>
      </c>
      <c r="C1889" s="13"/>
      <c r="D1889" s="13"/>
      <c r="E1889" s="13"/>
      <c r="F1889" s="13"/>
      <c r="G1889" s="102">
        <v>2.0</v>
      </c>
      <c r="H1889" s="101" t="s">
        <v>2942</v>
      </c>
      <c r="I1889" s="102">
        <v>61.86</v>
      </c>
      <c r="J1889" s="102">
        <v>76.09</v>
      </c>
      <c r="K1889" s="101" t="s">
        <v>2941</v>
      </c>
      <c r="L1889" s="102">
        <v>23.0</v>
      </c>
      <c r="M1889" s="13"/>
    </row>
    <row r="1890">
      <c r="A1890" s="101" t="s">
        <v>4507</v>
      </c>
      <c r="B1890" s="101" t="s">
        <v>4508</v>
      </c>
      <c r="D1890" s="13"/>
      <c r="E1890" s="13"/>
      <c r="F1890" s="13"/>
      <c r="G1890" s="102">
        <v>1.0</v>
      </c>
      <c r="H1890" s="101" t="s">
        <v>2940</v>
      </c>
      <c r="I1890" s="102">
        <v>40.33</v>
      </c>
      <c r="J1890" s="102">
        <v>49.6</v>
      </c>
      <c r="K1890" s="101" t="s">
        <v>2941</v>
      </c>
      <c r="L1890" s="102">
        <v>23.0</v>
      </c>
      <c r="M1890" s="13"/>
    </row>
    <row r="1891">
      <c r="A1891" s="101" t="s">
        <v>4507</v>
      </c>
      <c r="B1891" s="101" t="s">
        <v>4508</v>
      </c>
      <c r="D1891" s="13"/>
      <c r="E1891" s="13"/>
      <c r="F1891" s="13"/>
      <c r="G1891" s="102">
        <v>2.0</v>
      </c>
      <c r="H1891" s="101" t="s">
        <v>2942</v>
      </c>
      <c r="I1891" s="102">
        <v>32.3</v>
      </c>
      <c r="J1891" s="102">
        <v>39.73</v>
      </c>
      <c r="K1891" s="101" t="s">
        <v>2941</v>
      </c>
      <c r="L1891" s="102">
        <v>23.0</v>
      </c>
      <c r="M1891" s="13"/>
    </row>
    <row r="1892">
      <c r="A1892" s="101" t="s">
        <v>4509</v>
      </c>
      <c r="B1892" s="101" t="s">
        <v>4510</v>
      </c>
      <c r="D1892" s="13"/>
      <c r="E1892" s="13"/>
      <c r="F1892" s="13"/>
      <c r="G1892" s="102">
        <v>1.0</v>
      </c>
      <c r="H1892" s="101" t="s">
        <v>2940</v>
      </c>
      <c r="I1892" s="102">
        <v>53.66</v>
      </c>
      <c r="J1892" s="102">
        <v>66.0</v>
      </c>
      <c r="K1892" s="101" t="s">
        <v>2941</v>
      </c>
      <c r="L1892" s="102">
        <v>23.0</v>
      </c>
      <c r="M1892" s="13"/>
    </row>
    <row r="1893">
      <c r="A1893" s="101" t="s">
        <v>4509</v>
      </c>
      <c r="B1893" s="101" t="s">
        <v>4510</v>
      </c>
      <c r="D1893" s="13"/>
      <c r="E1893" s="13"/>
      <c r="F1893" s="13"/>
      <c r="G1893" s="102">
        <v>2.0</v>
      </c>
      <c r="H1893" s="101" t="s">
        <v>2942</v>
      </c>
      <c r="I1893" s="102">
        <v>53.28</v>
      </c>
      <c r="J1893" s="102">
        <v>65.53</v>
      </c>
      <c r="K1893" s="101" t="s">
        <v>2941</v>
      </c>
      <c r="L1893" s="102">
        <v>23.0</v>
      </c>
      <c r="M1893" s="13"/>
    </row>
    <row r="1894">
      <c r="A1894" s="101" t="s">
        <v>4511</v>
      </c>
      <c r="B1894" s="101" t="s">
        <v>4512</v>
      </c>
      <c r="D1894" s="13"/>
      <c r="E1894" s="13"/>
      <c r="F1894" s="13"/>
      <c r="G1894" s="102">
        <v>1.0</v>
      </c>
      <c r="H1894" s="101" t="s">
        <v>2940</v>
      </c>
      <c r="I1894" s="102">
        <v>55.77</v>
      </c>
      <c r="J1894" s="102">
        <v>68.6</v>
      </c>
      <c r="K1894" s="101" t="s">
        <v>2941</v>
      </c>
      <c r="L1894" s="102">
        <v>23.0</v>
      </c>
      <c r="M1894" s="13"/>
    </row>
    <row r="1895">
      <c r="A1895" s="101" t="s">
        <v>4511</v>
      </c>
      <c r="B1895" s="101" t="s">
        <v>4512</v>
      </c>
      <c r="D1895" s="13"/>
      <c r="E1895" s="13"/>
      <c r="F1895" s="13"/>
      <c r="G1895" s="102">
        <v>2.0</v>
      </c>
      <c r="H1895" s="101" t="s">
        <v>2942</v>
      </c>
      <c r="I1895" s="102">
        <v>44.6</v>
      </c>
      <c r="J1895" s="102">
        <v>54.86</v>
      </c>
      <c r="K1895" s="101" t="s">
        <v>2941</v>
      </c>
      <c r="L1895" s="102">
        <v>23.0</v>
      </c>
      <c r="M1895" s="13"/>
    </row>
    <row r="1896">
      <c r="A1896" s="101" t="s">
        <v>4513</v>
      </c>
      <c r="B1896" s="101" t="s">
        <v>4514</v>
      </c>
      <c r="D1896" s="13"/>
      <c r="E1896" s="13"/>
      <c r="F1896" s="13"/>
      <c r="G1896" s="102">
        <v>1.0</v>
      </c>
      <c r="H1896" s="101" t="s">
        <v>2940</v>
      </c>
      <c r="I1896" s="102">
        <v>83.74</v>
      </c>
      <c r="J1896" s="102">
        <v>103.0</v>
      </c>
      <c r="K1896" s="101" t="s">
        <v>2941</v>
      </c>
      <c r="L1896" s="102">
        <v>23.0</v>
      </c>
      <c r="M1896" s="13"/>
    </row>
    <row r="1897">
      <c r="A1897" s="101" t="s">
        <v>4513</v>
      </c>
      <c r="B1897" s="101" t="s">
        <v>4514</v>
      </c>
      <c r="D1897" s="13"/>
      <c r="E1897" s="13"/>
      <c r="F1897" s="13"/>
      <c r="G1897" s="102">
        <v>2.0</v>
      </c>
      <c r="H1897" s="101" t="s">
        <v>2942</v>
      </c>
      <c r="I1897" s="102">
        <v>83.85</v>
      </c>
      <c r="J1897" s="102">
        <v>103.14</v>
      </c>
      <c r="K1897" s="101" t="s">
        <v>2941</v>
      </c>
      <c r="L1897" s="102">
        <v>23.0</v>
      </c>
      <c r="M1897" s="13"/>
    </row>
    <row r="1898">
      <c r="A1898" s="101" t="s">
        <v>4515</v>
      </c>
      <c r="B1898" s="101" t="s">
        <v>4516</v>
      </c>
      <c r="D1898" s="13"/>
      <c r="E1898" s="13"/>
      <c r="F1898" s="13"/>
      <c r="G1898" s="102">
        <v>1.0</v>
      </c>
      <c r="H1898" s="101" t="s">
        <v>2940</v>
      </c>
      <c r="I1898" s="102">
        <v>66.67</v>
      </c>
      <c r="J1898" s="102">
        <v>82.0</v>
      </c>
      <c r="K1898" s="101" t="s">
        <v>2941</v>
      </c>
      <c r="L1898" s="102">
        <v>23.0</v>
      </c>
      <c r="M1898" s="13"/>
    </row>
    <row r="1899">
      <c r="A1899" s="101" t="s">
        <v>4515</v>
      </c>
      <c r="B1899" s="101" t="s">
        <v>4516</v>
      </c>
      <c r="D1899" s="13"/>
      <c r="E1899" s="13"/>
      <c r="F1899" s="13"/>
      <c r="G1899" s="102">
        <v>2.0</v>
      </c>
      <c r="H1899" s="101" t="s">
        <v>2942</v>
      </c>
      <c r="I1899" s="102">
        <v>66.75</v>
      </c>
      <c r="J1899" s="102">
        <v>82.1</v>
      </c>
      <c r="K1899" s="101" t="s">
        <v>2941</v>
      </c>
      <c r="L1899" s="102">
        <v>23.0</v>
      </c>
      <c r="M1899" s="13"/>
    </row>
    <row r="1900">
      <c r="A1900" s="101" t="s">
        <v>4517</v>
      </c>
      <c r="B1900" s="101" t="s">
        <v>4518</v>
      </c>
      <c r="D1900" s="13"/>
      <c r="E1900" s="13"/>
      <c r="F1900" s="13"/>
      <c r="G1900" s="102">
        <v>1.0</v>
      </c>
      <c r="H1900" s="101" t="s">
        <v>2940</v>
      </c>
      <c r="I1900" s="102">
        <v>103.25</v>
      </c>
      <c r="J1900" s="102">
        <v>127.0</v>
      </c>
      <c r="K1900" s="101" t="s">
        <v>2941</v>
      </c>
      <c r="L1900" s="102">
        <v>23.0</v>
      </c>
      <c r="M1900" s="13"/>
    </row>
    <row r="1901">
      <c r="A1901" s="101" t="s">
        <v>4517</v>
      </c>
      <c r="B1901" s="101" t="s">
        <v>4518</v>
      </c>
      <c r="D1901" s="13"/>
      <c r="E1901" s="13"/>
      <c r="F1901" s="13"/>
      <c r="G1901" s="102">
        <v>2.0</v>
      </c>
      <c r="H1901" s="101" t="s">
        <v>2942</v>
      </c>
      <c r="I1901" s="102">
        <v>103.2</v>
      </c>
      <c r="J1901" s="102">
        <v>126.94</v>
      </c>
      <c r="K1901" s="101" t="s">
        <v>2941</v>
      </c>
      <c r="L1901" s="102">
        <v>23.0</v>
      </c>
      <c r="M1901" s="13"/>
    </row>
    <row r="1902">
      <c r="A1902" s="101" t="s">
        <v>4519</v>
      </c>
      <c r="B1902" s="101" t="s">
        <v>4520</v>
      </c>
      <c r="D1902" s="13"/>
      <c r="E1902" s="13"/>
      <c r="F1902" s="13"/>
      <c r="G1902" s="102">
        <v>1.0</v>
      </c>
      <c r="H1902" s="101" t="s">
        <v>2940</v>
      </c>
      <c r="I1902" s="102">
        <v>83.74</v>
      </c>
      <c r="J1902" s="102">
        <v>103.0</v>
      </c>
      <c r="K1902" s="101" t="s">
        <v>2941</v>
      </c>
      <c r="L1902" s="102">
        <v>23.0</v>
      </c>
      <c r="M1902" s="13"/>
    </row>
    <row r="1903">
      <c r="A1903" s="101" t="s">
        <v>4519</v>
      </c>
      <c r="B1903" s="101" t="s">
        <v>4520</v>
      </c>
      <c r="D1903" s="13"/>
      <c r="E1903" s="13"/>
      <c r="F1903" s="13"/>
      <c r="G1903" s="102">
        <v>2.0</v>
      </c>
      <c r="H1903" s="101" t="s">
        <v>2942</v>
      </c>
      <c r="I1903" s="102">
        <v>83.85</v>
      </c>
      <c r="J1903" s="102">
        <v>103.14</v>
      </c>
      <c r="K1903" s="101" t="s">
        <v>2941</v>
      </c>
      <c r="L1903" s="102">
        <v>23.0</v>
      </c>
      <c r="M1903" s="13"/>
    </row>
    <row r="1904">
      <c r="A1904" s="101" t="s">
        <v>4521</v>
      </c>
      <c r="B1904" s="101" t="s">
        <v>4522</v>
      </c>
      <c r="D1904" s="13"/>
      <c r="E1904" s="13"/>
      <c r="F1904" s="13"/>
      <c r="G1904" s="102">
        <v>1.0</v>
      </c>
      <c r="H1904" s="101" t="s">
        <v>2940</v>
      </c>
      <c r="I1904" s="102">
        <v>56.91</v>
      </c>
      <c r="J1904" s="102">
        <v>70.0</v>
      </c>
      <c r="K1904" s="101" t="s">
        <v>2941</v>
      </c>
      <c r="L1904" s="102">
        <v>23.0</v>
      </c>
      <c r="M1904" s="13"/>
    </row>
    <row r="1905">
      <c r="A1905" s="101" t="s">
        <v>4521</v>
      </c>
      <c r="B1905" s="101" t="s">
        <v>4522</v>
      </c>
      <c r="D1905" s="13"/>
      <c r="E1905" s="13"/>
      <c r="F1905" s="13"/>
      <c r="G1905" s="102">
        <v>2.0</v>
      </c>
      <c r="H1905" s="101" t="s">
        <v>2942</v>
      </c>
      <c r="I1905" s="102">
        <v>45.0</v>
      </c>
      <c r="J1905" s="102">
        <v>55.35</v>
      </c>
      <c r="K1905" s="101" t="s">
        <v>2941</v>
      </c>
      <c r="L1905" s="102">
        <v>23.0</v>
      </c>
      <c r="M1905" s="13"/>
    </row>
    <row r="1906">
      <c r="A1906" s="101" t="s">
        <v>4523</v>
      </c>
      <c r="B1906" s="101" t="s">
        <v>4524</v>
      </c>
      <c r="D1906" s="13"/>
      <c r="E1906" s="13"/>
      <c r="F1906" s="13"/>
      <c r="G1906" s="102">
        <v>1.0</v>
      </c>
      <c r="H1906" s="101" t="s">
        <v>2940</v>
      </c>
      <c r="I1906" s="102">
        <v>65.85</v>
      </c>
      <c r="J1906" s="102">
        <v>81.0</v>
      </c>
      <c r="K1906" s="101" t="s">
        <v>2941</v>
      </c>
      <c r="L1906" s="102">
        <v>23.0</v>
      </c>
      <c r="M1906" s="13"/>
    </row>
    <row r="1907">
      <c r="A1907" s="101" t="s">
        <v>4523</v>
      </c>
      <c r="B1907" s="101" t="s">
        <v>4524</v>
      </c>
      <c r="D1907" s="13"/>
      <c r="E1907" s="13"/>
      <c r="F1907" s="13"/>
      <c r="G1907" s="102">
        <v>2.0</v>
      </c>
      <c r="H1907" s="101" t="s">
        <v>2942</v>
      </c>
      <c r="I1907" s="102">
        <v>65.87</v>
      </c>
      <c r="J1907" s="102">
        <v>81.02</v>
      </c>
      <c r="K1907" s="101" t="s">
        <v>2941</v>
      </c>
      <c r="L1907" s="102">
        <v>23.0</v>
      </c>
      <c r="M1907" s="13"/>
    </row>
    <row r="1908">
      <c r="A1908" s="101" t="s">
        <v>4525</v>
      </c>
      <c r="B1908" s="101" t="s">
        <v>4526</v>
      </c>
      <c r="D1908" s="13"/>
      <c r="E1908" s="13"/>
      <c r="F1908" s="13"/>
      <c r="G1908" s="102">
        <v>1.0</v>
      </c>
      <c r="H1908" s="101" t="s">
        <v>2940</v>
      </c>
      <c r="I1908" s="102">
        <v>81.3</v>
      </c>
      <c r="J1908" s="102">
        <v>100.0</v>
      </c>
      <c r="K1908" s="101" t="s">
        <v>2941</v>
      </c>
      <c r="L1908" s="102">
        <v>23.0</v>
      </c>
      <c r="M1908" s="13"/>
    </row>
    <row r="1909">
      <c r="A1909" s="101" t="s">
        <v>4525</v>
      </c>
      <c r="B1909" s="101" t="s">
        <v>4526</v>
      </c>
      <c r="D1909" s="13"/>
      <c r="E1909" s="13"/>
      <c r="F1909" s="13"/>
      <c r="G1909" s="102">
        <v>2.0</v>
      </c>
      <c r="H1909" s="101" t="s">
        <v>2942</v>
      </c>
      <c r="I1909" s="102">
        <v>79.92</v>
      </c>
      <c r="J1909" s="102">
        <v>98.3</v>
      </c>
      <c r="K1909" s="101" t="s">
        <v>2941</v>
      </c>
      <c r="L1909" s="102">
        <v>23.0</v>
      </c>
      <c r="M1909" s="13"/>
    </row>
    <row r="1910">
      <c r="A1910" s="101" t="s">
        <v>4527</v>
      </c>
      <c r="B1910" s="101" t="s">
        <v>4528</v>
      </c>
      <c r="D1910" s="13"/>
      <c r="E1910" s="13"/>
      <c r="F1910" s="13"/>
      <c r="G1910" s="102">
        <v>1.0</v>
      </c>
      <c r="H1910" s="101" t="s">
        <v>2940</v>
      </c>
      <c r="I1910" s="102">
        <v>17.32</v>
      </c>
      <c r="J1910" s="102">
        <v>21.3</v>
      </c>
      <c r="K1910" s="101" t="s">
        <v>2941</v>
      </c>
      <c r="L1910" s="102">
        <v>23.0</v>
      </c>
      <c r="M1910" s="13"/>
    </row>
    <row r="1911">
      <c r="A1911" s="101" t="s">
        <v>4527</v>
      </c>
      <c r="B1911" s="101" t="s">
        <v>4528</v>
      </c>
      <c r="D1911" s="13"/>
      <c r="E1911" s="13"/>
      <c r="F1911" s="13"/>
      <c r="G1911" s="102">
        <v>2.0</v>
      </c>
      <c r="H1911" s="101" t="s">
        <v>2942</v>
      </c>
      <c r="I1911" s="102">
        <v>13.9</v>
      </c>
      <c r="J1911" s="102">
        <v>17.1</v>
      </c>
      <c r="K1911" s="101" t="s">
        <v>2941</v>
      </c>
      <c r="L1911" s="102">
        <v>23.0</v>
      </c>
      <c r="M1911" s="13"/>
    </row>
    <row r="1912">
      <c r="A1912" s="101" t="s">
        <v>4529</v>
      </c>
      <c r="B1912" s="101" t="s">
        <v>4530</v>
      </c>
      <c r="D1912" s="13"/>
      <c r="E1912" s="13"/>
      <c r="F1912" s="13"/>
      <c r="G1912" s="102">
        <v>1.0</v>
      </c>
      <c r="H1912" s="101" t="s">
        <v>2940</v>
      </c>
      <c r="I1912" s="102">
        <v>26.75</v>
      </c>
      <c r="J1912" s="102">
        <v>32.9</v>
      </c>
      <c r="K1912" s="101" t="s">
        <v>2941</v>
      </c>
      <c r="L1912" s="102">
        <v>23.0</v>
      </c>
      <c r="M1912" s="13"/>
    </row>
    <row r="1913">
      <c r="A1913" s="101" t="s">
        <v>4529</v>
      </c>
      <c r="B1913" s="101" t="s">
        <v>4530</v>
      </c>
      <c r="D1913" s="13"/>
      <c r="E1913" s="13"/>
      <c r="F1913" s="13"/>
      <c r="G1913" s="102">
        <v>2.0</v>
      </c>
      <c r="H1913" s="101" t="s">
        <v>2942</v>
      </c>
      <c r="I1913" s="102">
        <v>21.4</v>
      </c>
      <c r="J1913" s="102">
        <v>26.32</v>
      </c>
      <c r="K1913" s="101" t="s">
        <v>2941</v>
      </c>
      <c r="L1913" s="102">
        <v>23.0</v>
      </c>
      <c r="M1913" s="13"/>
    </row>
    <row r="1914">
      <c r="A1914" s="101" t="s">
        <v>4531</v>
      </c>
      <c r="B1914" s="101">
        <v>354.0</v>
      </c>
      <c r="C1914" s="13"/>
      <c r="D1914" s="13"/>
      <c r="E1914" s="13"/>
      <c r="F1914" s="13"/>
      <c r="G1914" s="102">
        <v>1.0</v>
      </c>
      <c r="H1914" s="101" t="s">
        <v>2940</v>
      </c>
      <c r="I1914" s="102">
        <v>22.76</v>
      </c>
      <c r="J1914" s="102">
        <v>27.99</v>
      </c>
      <c r="K1914" s="101" t="s">
        <v>2941</v>
      </c>
      <c r="L1914" s="102">
        <v>23.0</v>
      </c>
      <c r="M1914" s="13"/>
    </row>
    <row r="1915">
      <c r="A1915" s="101" t="s">
        <v>4531</v>
      </c>
      <c r="B1915" s="101">
        <v>354.0</v>
      </c>
      <c r="C1915" s="13"/>
      <c r="D1915" s="13"/>
      <c r="E1915" s="13"/>
      <c r="F1915" s="13"/>
      <c r="G1915" s="102">
        <v>2.0</v>
      </c>
      <c r="H1915" s="101" t="s">
        <v>2942</v>
      </c>
      <c r="I1915" s="102">
        <v>22.8</v>
      </c>
      <c r="J1915" s="102">
        <v>28.04</v>
      </c>
      <c r="K1915" s="101" t="s">
        <v>2941</v>
      </c>
      <c r="L1915" s="102">
        <v>23.0</v>
      </c>
      <c r="M1915" s="13"/>
    </row>
    <row r="1916">
      <c r="A1916" s="101" t="s">
        <v>4532</v>
      </c>
      <c r="B1916" s="101" t="s">
        <v>4533</v>
      </c>
      <c r="D1916" s="13"/>
      <c r="E1916" s="13"/>
      <c r="F1916" s="13"/>
      <c r="G1916" s="102">
        <v>1.0</v>
      </c>
      <c r="H1916" s="101" t="s">
        <v>2940</v>
      </c>
      <c r="I1916" s="102">
        <v>34.63</v>
      </c>
      <c r="J1916" s="102">
        <v>42.59</v>
      </c>
      <c r="K1916" s="101" t="s">
        <v>2941</v>
      </c>
      <c r="L1916" s="102">
        <v>23.0</v>
      </c>
      <c r="M1916" s="13"/>
    </row>
    <row r="1917">
      <c r="A1917" s="101" t="s">
        <v>4532</v>
      </c>
      <c r="B1917" s="101" t="s">
        <v>4533</v>
      </c>
      <c r="D1917" s="13"/>
      <c r="E1917" s="13"/>
      <c r="F1917" s="13"/>
      <c r="G1917" s="102">
        <v>2.0</v>
      </c>
      <c r="H1917" s="101" t="s">
        <v>2942</v>
      </c>
      <c r="I1917" s="102">
        <v>27.7</v>
      </c>
      <c r="J1917" s="102">
        <v>34.07</v>
      </c>
      <c r="K1917" s="101" t="s">
        <v>2941</v>
      </c>
      <c r="L1917" s="102">
        <v>23.0</v>
      </c>
      <c r="M1917" s="13"/>
    </row>
    <row r="1918">
      <c r="A1918" s="101" t="s">
        <v>4534</v>
      </c>
      <c r="B1918" s="101" t="s">
        <v>4535</v>
      </c>
      <c r="D1918" s="13"/>
      <c r="E1918" s="13"/>
      <c r="F1918" s="13"/>
      <c r="G1918" s="102">
        <v>1.0</v>
      </c>
      <c r="H1918" s="101" t="s">
        <v>2940</v>
      </c>
      <c r="I1918" s="102">
        <v>53.5</v>
      </c>
      <c r="J1918" s="102">
        <v>65.81</v>
      </c>
      <c r="K1918" s="101" t="s">
        <v>2941</v>
      </c>
      <c r="L1918" s="102">
        <v>23.0</v>
      </c>
      <c r="M1918" s="13"/>
    </row>
    <row r="1919">
      <c r="A1919" s="101" t="s">
        <v>4534</v>
      </c>
      <c r="B1919" s="101" t="s">
        <v>4535</v>
      </c>
      <c r="D1919" s="13"/>
      <c r="E1919" s="13"/>
      <c r="F1919" s="13"/>
      <c r="G1919" s="102">
        <v>2.0</v>
      </c>
      <c r="H1919" s="101" t="s">
        <v>2942</v>
      </c>
      <c r="I1919" s="102">
        <v>42.8</v>
      </c>
      <c r="J1919" s="102">
        <v>52.64</v>
      </c>
      <c r="K1919" s="101" t="s">
        <v>2941</v>
      </c>
      <c r="L1919" s="102">
        <v>23.0</v>
      </c>
      <c r="M1919" s="13"/>
    </row>
    <row r="1920">
      <c r="A1920" s="101" t="s">
        <v>4536</v>
      </c>
      <c r="B1920" s="101" t="s">
        <v>4537</v>
      </c>
      <c r="D1920" s="13"/>
      <c r="E1920" s="13"/>
      <c r="F1920" s="13"/>
      <c r="G1920" s="102">
        <v>1.0</v>
      </c>
      <c r="H1920" s="101" t="s">
        <v>2940</v>
      </c>
      <c r="I1920" s="102">
        <v>40.98</v>
      </c>
      <c r="J1920" s="102">
        <v>50.41</v>
      </c>
      <c r="K1920" s="101" t="s">
        <v>2941</v>
      </c>
      <c r="L1920" s="102">
        <v>23.0</v>
      </c>
      <c r="M1920" s="13"/>
    </row>
    <row r="1921">
      <c r="A1921" s="101" t="s">
        <v>4536</v>
      </c>
      <c r="B1921" s="101" t="s">
        <v>4537</v>
      </c>
      <c r="D1921" s="13"/>
      <c r="E1921" s="13"/>
      <c r="F1921" s="13"/>
      <c r="G1921" s="102">
        <v>2.0</v>
      </c>
      <c r="H1921" s="101" t="s">
        <v>2942</v>
      </c>
      <c r="I1921" s="102">
        <v>32.8</v>
      </c>
      <c r="J1921" s="102">
        <v>40.34</v>
      </c>
      <c r="K1921" s="101" t="s">
        <v>2941</v>
      </c>
      <c r="L1921" s="102">
        <v>23.0</v>
      </c>
      <c r="M1921" s="13"/>
    </row>
    <row r="1922">
      <c r="A1922" s="101" t="s">
        <v>4538</v>
      </c>
      <c r="B1922" s="101" t="s">
        <v>4539</v>
      </c>
      <c r="D1922" s="13"/>
      <c r="E1922" s="13"/>
      <c r="F1922" s="13"/>
      <c r="G1922" s="102">
        <v>1.0</v>
      </c>
      <c r="H1922" s="101" t="s">
        <v>2940</v>
      </c>
      <c r="I1922" s="102">
        <v>51.95</v>
      </c>
      <c r="J1922" s="102">
        <v>63.9</v>
      </c>
      <c r="K1922" s="101" t="s">
        <v>2941</v>
      </c>
      <c r="L1922" s="102">
        <v>23.0</v>
      </c>
      <c r="M1922" s="13"/>
    </row>
    <row r="1923">
      <c r="A1923" s="101" t="s">
        <v>4538</v>
      </c>
      <c r="B1923" s="101" t="s">
        <v>4539</v>
      </c>
      <c r="D1923" s="13"/>
      <c r="E1923" s="13"/>
      <c r="F1923" s="13"/>
      <c r="G1923" s="102">
        <v>2.0</v>
      </c>
      <c r="H1923" s="101" t="s">
        <v>2942</v>
      </c>
      <c r="I1923" s="102">
        <v>41.6</v>
      </c>
      <c r="J1923" s="102">
        <v>51.17</v>
      </c>
      <c r="K1923" s="101" t="s">
        <v>2941</v>
      </c>
      <c r="L1923" s="102">
        <v>23.0</v>
      </c>
      <c r="M1923" s="13"/>
    </row>
    <row r="1924">
      <c r="A1924" s="101" t="s">
        <v>4540</v>
      </c>
      <c r="B1924" s="101" t="s">
        <v>4541</v>
      </c>
      <c r="D1924" s="13"/>
      <c r="E1924" s="13"/>
      <c r="F1924" s="13"/>
      <c r="G1924" s="102">
        <v>1.0</v>
      </c>
      <c r="H1924" s="101" t="s">
        <v>2940</v>
      </c>
      <c r="I1924" s="102">
        <v>89.1</v>
      </c>
      <c r="J1924" s="102">
        <v>109.59</v>
      </c>
      <c r="K1924" s="101" t="s">
        <v>2941</v>
      </c>
      <c r="L1924" s="102">
        <v>23.0</v>
      </c>
      <c r="M1924" s="13"/>
    </row>
    <row r="1925">
      <c r="A1925" s="101" t="s">
        <v>4540</v>
      </c>
      <c r="B1925" s="101" t="s">
        <v>4541</v>
      </c>
      <c r="D1925" s="13"/>
      <c r="E1925" s="13"/>
      <c r="F1925" s="13"/>
      <c r="G1925" s="102">
        <v>2.0</v>
      </c>
      <c r="H1925" s="101" t="s">
        <v>2942</v>
      </c>
      <c r="I1925" s="102">
        <v>89.1</v>
      </c>
      <c r="J1925" s="102">
        <v>109.59</v>
      </c>
      <c r="K1925" s="101" t="s">
        <v>2941</v>
      </c>
      <c r="L1925" s="102">
        <v>23.0</v>
      </c>
      <c r="M1925" s="13"/>
    </row>
    <row r="1926">
      <c r="A1926" s="101" t="s">
        <v>4542</v>
      </c>
      <c r="B1926" s="101" t="s">
        <v>4543</v>
      </c>
      <c r="D1926" s="13"/>
      <c r="E1926" s="13"/>
      <c r="F1926" s="13"/>
      <c r="G1926" s="102">
        <v>1.0</v>
      </c>
      <c r="H1926" s="101" t="s">
        <v>2940</v>
      </c>
      <c r="I1926" s="102">
        <v>61.46</v>
      </c>
      <c r="J1926" s="102">
        <v>75.6</v>
      </c>
      <c r="K1926" s="101" t="s">
        <v>2941</v>
      </c>
      <c r="L1926" s="102">
        <v>23.0</v>
      </c>
      <c r="M1926" s="13"/>
    </row>
    <row r="1927">
      <c r="A1927" s="101" t="s">
        <v>4542</v>
      </c>
      <c r="B1927" s="101" t="s">
        <v>4543</v>
      </c>
      <c r="D1927" s="13"/>
      <c r="E1927" s="13"/>
      <c r="F1927" s="13"/>
      <c r="G1927" s="102">
        <v>2.0</v>
      </c>
      <c r="H1927" s="101" t="s">
        <v>2942</v>
      </c>
      <c r="I1927" s="102">
        <v>49.2</v>
      </c>
      <c r="J1927" s="102">
        <v>60.52</v>
      </c>
      <c r="K1927" s="101" t="s">
        <v>2941</v>
      </c>
      <c r="L1927" s="102">
        <v>23.0</v>
      </c>
      <c r="M1927" s="13"/>
    </row>
    <row r="1928">
      <c r="A1928" s="101" t="s">
        <v>4544</v>
      </c>
      <c r="B1928" s="101" t="s">
        <v>4545</v>
      </c>
      <c r="D1928" s="13"/>
      <c r="E1928" s="13"/>
      <c r="F1928" s="13"/>
      <c r="G1928" s="102">
        <v>1.0</v>
      </c>
      <c r="H1928" s="101" t="s">
        <v>2940</v>
      </c>
      <c r="I1928" s="102">
        <v>11.87</v>
      </c>
      <c r="J1928" s="102">
        <v>14.6</v>
      </c>
      <c r="K1928" s="101" t="s">
        <v>2941</v>
      </c>
      <c r="L1928" s="102">
        <v>23.0</v>
      </c>
      <c r="M1928" s="13"/>
    </row>
    <row r="1929">
      <c r="A1929" s="101" t="s">
        <v>4544</v>
      </c>
      <c r="B1929" s="101" t="s">
        <v>4545</v>
      </c>
      <c r="D1929" s="13"/>
      <c r="E1929" s="13"/>
      <c r="F1929" s="13"/>
      <c r="G1929" s="102">
        <v>2.0</v>
      </c>
      <c r="H1929" s="101" t="s">
        <v>2942</v>
      </c>
      <c r="I1929" s="102">
        <v>9.5</v>
      </c>
      <c r="J1929" s="102">
        <v>11.69</v>
      </c>
      <c r="K1929" s="101" t="s">
        <v>2941</v>
      </c>
      <c r="L1929" s="102">
        <v>23.0</v>
      </c>
      <c r="M1929" s="13"/>
    </row>
    <row r="1930">
      <c r="A1930" s="101" t="s">
        <v>4546</v>
      </c>
      <c r="B1930" s="101" t="s">
        <v>4547</v>
      </c>
      <c r="D1930" s="13"/>
      <c r="E1930" s="13"/>
      <c r="F1930" s="13"/>
      <c r="G1930" s="102">
        <v>1.0</v>
      </c>
      <c r="H1930" s="101" t="s">
        <v>2940</v>
      </c>
      <c r="I1930" s="102">
        <v>15.9</v>
      </c>
      <c r="J1930" s="102">
        <v>19.56</v>
      </c>
      <c r="K1930" s="101" t="s">
        <v>2941</v>
      </c>
      <c r="L1930" s="102">
        <v>23.0</v>
      </c>
      <c r="M1930" s="13"/>
    </row>
    <row r="1931">
      <c r="A1931" s="101" t="s">
        <v>4546</v>
      </c>
      <c r="B1931" s="101" t="s">
        <v>4547</v>
      </c>
      <c r="D1931" s="13"/>
      <c r="E1931" s="13"/>
      <c r="F1931" s="13"/>
      <c r="G1931" s="102">
        <v>2.0</v>
      </c>
      <c r="H1931" s="101" t="s">
        <v>2942</v>
      </c>
      <c r="I1931" s="102">
        <v>15.9</v>
      </c>
      <c r="J1931" s="102">
        <v>19.56</v>
      </c>
      <c r="K1931" s="101" t="s">
        <v>2941</v>
      </c>
      <c r="L1931" s="102">
        <v>23.0</v>
      </c>
      <c r="M1931" s="13"/>
    </row>
    <row r="1932">
      <c r="A1932" s="101" t="s">
        <v>4548</v>
      </c>
      <c r="B1932" s="101" t="s">
        <v>4549</v>
      </c>
      <c r="D1932" s="13"/>
      <c r="E1932" s="13"/>
      <c r="F1932" s="13"/>
      <c r="G1932" s="102">
        <v>1.0</v>
      </c>
      <c r="H1932" s="101" t="s">
        <v>2940</v>
      </c>
      <c r="I1932" s="102">
        <v>23.82</v>
      </c>
      <c r="J1932" s="102">
        <v>29.3</v>
      </c>
      <c r="K1932" s="101" t="s">
        <v>2941</v>
      </c>
      <c r="L1932" s="102">
        <v>23.0</v>
      </c>
      <c r="M1932" s="13"/>
    </row>
    <row r="1933">
      <c r="A1933" s="101" t="s">
        <v>4548</v>
      </c>
      <c r="B1933" s="101" t="s">
        <v>4549</v>
      </c>
      <c r="D1933" s="13"/>
      <c r="E1933" s="13"/>
      <c r="F1933" s="13"/>
      <c r="G1933" s="102">
        <v>2.0</v>
      </c>
      <c r="H1933" s="101" t="s">
        <v>2942</v>
      </c>
      <c r="I1933" s="102">
        <v>19.1</v>
      </c>
      <c r="J1933" s="102">
        <v>23.49</v>
      </c>
      <c r="K1933" s="101" t="s">
        <v>2941</v>
      </c>
      <c r="L1933" s="102">
        <v>23.0</v>
      </c>
      <c r="M1933" s="13"/>
    </row>
    <row r="1934">
      <c r="A1934" s="101" t="s">
        <v>4550</v>
      </c>
      <c r="B1934" s="101" t="s">
        <v>4551</v>
      </c>
      <c r="D1934" s="13"/>
      <c r="E1934" s="13"/>
      <c r="F1934" s="13"/>
      <c r="G1934" s="102">
        <v>1.0</v>
      </c>
      <c r="H1934" s="101" t="s">
        <v>2940</v>
      </c>
      <c r="I1934" s="102">
        <v>35.69</v>
      </c>
      <c r="J1934" s="102">
        <v>43.9</v>
      </c>
      <c r="K1934" s="101" t="s">
        <v>2941</v>
      </c>
      <c r="L1934" s="102">
        <v>23.0</v>
      </c>
      <c r="M1934" s="13"/>
    </row>
    <row r="1935">
      <c r="A1935" s="101" t="s">
        <v>4550</v>
      </c>
      <c r="B1935" s="101" t="s">
        <v>4551</v>
      </c>
      <c r="D1935" s="13"/>
      <c r="E1935" s="13"/>
      <c r="F1935" s="13"/>
      <c r="G1935" s="102">
        <v>2.0</v>
      </c>
      <c r="H1935" s="101" t="s">
        <v>2942</v>
      </c>
      <c r="I1935" s="102">
        <v>28.6</v>
      </c>
      <c r="J1935" s="102">
        <v>35.18</v>
      </c>
      <c r="K1935" s="101" t="s">
        <v>2941</v>
      </c>
      <c r="L1935" s="102">
        <v>23.0</v>
      </c>
      <c r="M1935" s="13"/>
    </row>
    <row r="1936">
      <c r="A1936" s="101" t="s">
        <v>4552</v>
      </c>
      <c r="B1936" s="101" t="s">
        <v>4553</v>
      </c>
      <c r="D1936" s="13"/>
      <c r="E1936" s="13"/>
      <c r="F1936" s="13"/>
      <c r="G1936" s="102">
        <v>1.0</v>
      </c>
      <c r="H1936" s="101" t="s">
        <v>2940</v>
      </c>
      <c r="I1936" s="102">
        <v>11.79</v>
      </c>
      <c r="J1936" s="102">
        <v>14.5</v>
      </c>
      <c r="K1936" s="101" t="s">
        <v>2941</v>
      </c>
      <c r="L1936" s="102">
        <v>23.0</v>
      </c>
      <c r="M1936" s="13"/>
    </row>
    <row r="1937">
      <c r="A1937" s="101" t="s">
        <v>4552</v>
      </c>
      <c r="B1937" s="101" t="s">
        <v>4553</v>
      </c>
      <c r="D1937" s="13"/>
      <c r="E1937" s="13"/>
      <c r="F1937" s="13"/>
      <c r="G1937" s="102">
        <v>2.0</v>
      </c>
      <c r="H1937" s="101" t="s">
        <v>2942</v>
      </c>
      <c r="I1937" s="102">
        <v>9.4</v>
      </c>
      <c r="J1937" s="102">
        <v>11.56</v>
      </c>
      <c r="K1937" s="101" t="s">
        <v>2941</v>
      </c>
      <c r="L1937" s="102">
        <v>23.0</v>
      </c>
      <c r="M1937" s="13"/>
    </row>
    <row r="1938">
      <c r="A1938" s="101" t="s">
        <v>4554</v>
      </c>
      <c r="B1938" s="101" t="s">
        <v>4555</v>
      </c>
      <c r="D1938" s="13"/>
      <c r="E1938" s="13"/>
      <c r="F1938" s="13"/>
      <c r="G1938" s="102">
        <v>1.0</v>
      </c>
      <c r="H1938" s="101" t="s">
        <v>2940</v>
      </c>
      <c r="I1938" s="102">
        <v>12.6</v>
      </c>
      <c r="J1938" s="102">
        <v>15.5</v>
      </c>
      <c r="K1938" s="101" t="s">
        <v>2941</v>
      </c>
      <c r="L1938" s="102">
        <v>23.0</v>
      </c>
      <c r="M1938" s="13"/>
    </row>
    <row r="1939">
      <c r="A1939" s="101" t="s">
        <v>4554</v>
      </c>
      <c r="B1939" s="101" t="s">
        <v>4555</v>
      </c>
      <c r="D1939" s="13"/>
      <c r="E1939" s="13"/>
      <c r="F1939" s="13"/>
      <c r="G1939" s="102">
        <v>2.0</v>
      </c>
      <c r="H1939" s="101" t="s">
        <v>2942</v>
      </c>
      <c r="I1939" s="102">
        <v>10.1</v>
      </c>
      <c r="J1939" s="102">
        <v>12.42</v>
      </c>
      <c r="K1939" s="101" t="s">
        <v>2941</v>
      </c>
      <c r="L1939" s="102">
        <v>23.0</v>
      </c>
      <c r="M1939" s="13"/>
    </row>
    <row r="1940">
      <c r="A1940" s="101" t="s">
        <v>4556</v>
      </c>
      <c r="B1940" s="101" t="s">
        <v>4557</v>
      </c>
      <c r="D1940" s="13"/>
      <c r="E1940" s="13"/>
      <c r="F1940" s="13"/>
      <c r="G1940" s="102">
        <v>1.0</v>
      </c>
      <c r="H1940" s="101" t="s">
        <v>2940</v>
      </c>
      <c r="I1940" s="102">
        <v>23.58</v>
      </c>
      <c r="J1940" s="102">
        <v>29.0</v>
      </c>
      <c r="K1940" s="101" t="s">
        <v>2941</v>
      </c>
      <c r="L1940" s="102">
        <v>23.0</v>
      </c>
      <c r="M1940" s="13"/>
    </row>
    <row r="1941">
      <c r="A1941" s="101" t="s">
        <v>4556</v>
      </c>
      <c r="B1941" s="101" t="s">
        <v>4557</v>
      </c>
      <c r="D1941" s="13"/>
      <c r="E1941" s="13"/>
      <c r="F1941" s="13"/>
      <c r="G1941" s="102">
        <v>2.0</v>
      </c>
      <c r="H1941" s="101" t="s">
        <v>2942</v>
      </c>
      <c r="I1941" s="102">
        <v>18.9</v>
      </c>
      <c r="J1941" s="102">
        <v>23.25</v>
      </c>
      <c r="K1941" s="101" t="s">
        <v>2941</v>
      </c>
      <c r="L1941" s="102">
        <v>23.0</v>
      </c>
      <c r="M1941" s="13"/>
    </row>
    <row r="1942">
      <c r="A1942" s="101" t="s">
        <v>4558</v>
      </c>
      <c r="B1942" s="101" t="s">
        <v>4559</v>
      </c>
      <c r="D1942" s="13"/>
      <c r="E1942" s="13"/>
      <c r="F1942" s="13"/>
      <c r="G1942" s="102">
        <v>1.0</v>
      </c>
      <c r="H1942" s="101" t="s">
        <v>2940</v>
      </c>
      <c r="I1942" s="102">
        <v>25.2</v>
      </c>
      <c r="J1942" s="102">
        <v>31.0</v>
      </c>
      <c r="K1942" s="101" t="s">
        <v>2941</v>
      </c>
      <c r="L1942" s="102">
        <v>23.0</v>
      </c>
      <c r="M1942" s="13"/>
    </row>
    <row r="1943">
      <c r="A1943" s="101" t="s">
        <v>4558</v>
      </c>
      <c r="B1943" s="101" t="s">
        <v>4559</v>
      </c>
      <c r="D1943" s="13"/>
      <c r="E1943" s="13"/>
      <c r="F1943" s="13"/>
      <c r="G1943" s="102">
        <v>2.0</v>
      </c>
      <c r="H1943" s="101" t="s">
        <v>2942</v>
      </c>
      <c r="I1943" s="102">
        <v>20.2</v>
      </c>
      <c r="J1943" s="102">
        <v>24.85</v>
      </c>
      <c r="K1943" s="101" t="s">
        <v>2941</v>
      </c>
      <c r="L1943" s="102">
        <v>23.0</v>
      </c>
      <c r="M1943" s="13"/>
    </row>
    <row r="1944">
      <c r="A1944" s="101" t="s">
        <v>4560</v>
      </c>
      <c r="B1944" s="101" t="s">
        <v>4561</v>
      </c>
      <c r="D1944" s="13"/>
      <c r="E1944" s="13"/>
      <c r="F1944" s="13"/>
      <c r="G1944" s="102">
        <v>1.0</v>
      </c>
      <c r="H1944" s="101" t="s">
        <v>2940</v>
      </c>
      <c r="I1944" s="102">
        <v>35.37</v>
      </c>
      <c r="J1944" s="102">
        <v>43.51</v>
      </c>
      <c r="K1944" s="101" t="s">
        <v>2941</v>
      </c>
      <c r="L1944" s="102">
        <v>23.0</v>
      </c>
      <c r="M1944" s="13"/>
    </row>
    <row r="1945">
      <c r="A1945" s="101" t="s">
        <v>4560</v>
      </c>
      <c r="B1945" s="101" t="s">
        <v>4561</v>
      </c>
      <c r="D1945" s="13"/>
      <c r="E1945" s="13"/>
      <c r="F1945" s="13"/>
      <c r="G1945" s="102">
        <v>2.0</v>
      </c>
      <c r="H1945" s="101" t="s">
        <v>2942</v>
      </c>
      <c r="I1945" s="102">
        <v>28.3</v>
      </c>
      <c r="J1945" s="102">
        <v>34.81</v>
      </c>
      <c r="K1945" s="101" t="s">
        <v>2941</v>
      </c>
      <c r="L1945" s="102">
        <v>23.0</v>
      </c>
      <c r="M1945" s="13"/>
    </row>
    <row r="1946">
      <c r="A1946" s="101" t="s">
        <v>4562</v>
      </c>
      <c r="B1946" s="101" t="s">
        <v>4563</v>
      </c>
      <c r="D1946" s="13"/>
      <c r="E1946" s="13"/>
      <c r="F1946" s="13"/>
      <c r="G1946" s="102">
        <v>1.0</v>
      </c>
      <c r="H1946" s="101" t="s">
        <v>2940</v>
      </c>
      <c r="I1946" s="102">
        <v>37.8</v>
      </c>
      <c r="J1946" s="102">
        <v>46.49</v>
      </c>
      <c r="K1946" s="101" t="s">
        <v>2941</v>
      </c>
      <c r="L1946" s="102">
        <v>23.0</v>
      </c>
      <c r="M1946" s="13"/>
    </row>
    <row r="1947">
      <c r="A1947" s="101" t="s">
        <v>4562</v>
      </c>
      <c r="B1947" s="101" t="s">
        <v>4563</v>
      </c>
      <c r="D1947" s="13"/>
      <c r="E1947" s="13"/>
      <c r="F1947" s="13"/>
      <c r="G1947" s="102">
        <v>2.0</v>
      </c>
      <c r="H1947" s="101" t="s">
        <v>2942</v>
      </c>
      <c r="I1947" s="102">
        <v>30.2</v>
      </c>
      <c r="J1947" s="102">
        <v>37.15</v>
      </c>
      <c r="K1947" s="101" t="s">
        <v>2941</v>
      </c>
      <c r="L1947" s="102">
        <v>23.0</v>
      </c>
      <c r="M1947" s="13"/>
    </row>
    <row r="1948">
      <c r="A1948" s="101" t="s">
        <v>4564</v>
      </c>
      <c r="B1948" s="101" t="s">
        <v>4565</v>
      </c>
      <c r="D1948" s="13"/>
      <c r="E1948" s="13"/>
      <c r="F1948" s="13"/>
      <c r="G1948" s="102">
        <v>1.0</v>
      </c>
      <c r="H1948" s="101" t="s">
        <v>2940</v>
      </c>
      <c r="I1948" s="102">
        <v>18.7</v>
      </c>
      <c r="J1948" s="102">
        <v>23.0</v>
      </c>
      <c r="K1948" s="101" t="s">
        <v>2941</v>
      </c>
      <c r="L1948" s="102">
        <v>23.0</v>
      </c>
      <c r="M1948" s="13"/>
    </row>
    <row r="1949">
      <c r="A1949" s="101" t="s">
        <v>4564</v>
      </c>
      <c r="B1949" s="101" t="s">
        <v>4565</v>
      </c>
      <c r="D1949" s="13"/>
      <c r="E1949" s="13"/>
      <c r="F1949" s="13"/>
      <c r="G1949" s="102">
        <v>2.0</v>
      </c>
      <c r="H1949" s="101" t="s">
        <v>2942</v>
      </c>
      <c r="I1949" s="102">
        <v>15.0</v>
      </c>
      <c r="J1949" s="102">
        <v>18.45</v>
      </c>
      <c r="K1949" s="101" t="s">
        <v>2941</v>
      </c>
      <c r="L1949" s="102">
        <v>23.0</v>
      </c>
      <c r="M1949" s="13"/>
    </row>
    <row r="1950">
      <c r="A1950" s="101" t="s">
        <v>4566</v>
      </c>
      <c r="B1950" s="101" t="s">
        <v>4567</v>
      </c>
      <c r="D1950" s="13"/>
      <c r="E1950" s="13"/>
      <c r="F1950" s="13"/>
      <c r="G1950" s="102">
        <v>1.0</v>
      </c>
      <c r="H1950" s="101" t="s">
        <v>2940</v>
      </c>
      <c r="I1950" s="102">
        <v>37.56</v>
      </c>
      <c r="J1950" s="102">
        <v>46.2</v>
      </c>
      <c r="K1950" s="101" t="s">
        <v>2941</v>
      </c>
      <c r="L1950" s="102">
        <v>23.0</v>
      </c>
      <c r="M1950" s="13"/>
    </row>
    <row r="1951">
      <c r="A1951" s="101" t="s">
        <v>4566</v>
      </c>
      <c r="B1951" s="101" t="s">
        <v>4567</v>
      </c>
      <c r="D1951" s="13"/>
      <c r="E1951" s="13"/>
      <c r="F1951" s="13"/>
      <c r="G1951" s="102">
        <v>2.0</v>
      </c>
      <c r="H1951" s="101" t="s">
        <v>2942</v>
      </c>
      <c r="I1951" s="102">
        <v>30.0</v>
      </c>
      <c r="J1951" s="102">
        <v>36.9</v>
      </c>
      <c r="K1951" s="101" t="s">
        <v>2941</v>
      </c>
      <c r="L1951" s="102">
        <v>23.0</v>
      </c>
      <c r="M1951" s="13"/>
    </row>
    <row r="1952">
      <c r="A1952" s="101" t="s">
        <v>4568</v>
      </c>
      <c r="B1952" s="101" t="s">
        <v>4569</v>
      </c>
      <c r="D1952" s="13"/>
      <c r="E1952" s="13"/>
      <c r="F1952" s="13"/>
      <c r="G1952" s="102">
        <v>1.0</v>
      </c>
      <c r="H1952" s="101" t="s">
        <v>2940</v>
      </c>
      <c r="I1952" s="102">
        <v>56.26</v>
      </c>
      <c r="J1952" s="102">
        <v>69.2</v>
      </c>
      <c r="K1952" s="101" t="s">
        <v>2941</v>
      </c>
      <c r="L1952" s="102">
        <v>23.0</v>
      </c>
      <c r="M1952" s="13"/>
    </row>
    <row r="1953">
      <c r="A1953" s="101" t="s">
        <v>4568</v>
      </c>
      <c r="B1953" s="101" t="s">
        <v>4569</v>
      </c>
      <c r="D1953" s="13"/>
      <c r="E1953" s="13"/>
      <c r="F1953" s="13"/>
      <c r="G1953" s="102">
        <v>2.0</v>
      </c>
      <c r="H1953" s="101" t="s">
        <v>2942</v>
      </c>
      <c r="I1953" s="102">
        <v>45.0</v>
      </c>
      <c r="J1953" s="102">
        <v>55.35</v>
      </c>
      <c r="K1953" s="101" t="s">
        <v>2941</v>
      </c>
      <c r="L1953" s="102">
        <v>23.0</v>
      </c>
      <c r="M1953" s="13"/>
    </row>
    <row r="1954">
      <c r="A1954" s="101" t="s">
        <v>4570</v>
      </c>
      <c r="B1954" s="101" t="s">
        <v>4571</v>
      </c>
      <c r="D1954" s="13"/>
      <c r="E1954" s="13"/>
      <c r="F1954" s="13"/>
      <c r="G1954" s="102">
        <v>1.0</v>
      </c>
      <c r="H1954" s="101" t="s">
        <v>2940</v>
      </c>
      <c r="I1954" s="102">
        <v>23.01</v>
      </c>
      <c r="J1954" s="102">
        <v>28.3</v>
      </c>
      <c r="K1954" s="101" t="s">
        <v>2941</v>
      </c>
      <c r="L1954" s="102">
        <v>23.0</v>
      </c>
      <c r="M1954" s="13"/>
    </row>
    <row r="1955">
      <c r="A1955" s="101" t="s">
        <v>4570</v>
      </c>
      <c r="B1955" s="101" t="s">
        <v>4571</v>
      </c>
      <c r="D1955" s="13"/>
      <c r="E1955" s="13"/>
      <c r="F1955" s="13"/>
      <c r="G1955" s="102">
        <v>2.0</v>
      </c>
      <c r="H1955" s="101" t="s">
        <v>2942</v>
      </c>
      <c r="I1955" s="102">
        <v>18.4</v>
      </c>
      <c r="J1955" s="102">
        <v>22.63</v>
      </c>
      <c r="K1955" s="101" t="s">
        <v>2941</v>
      </c>
      <c r="L1955" s="102">
        <v>23.0</v>
      </c>
      <c r="M1955" s="13"/>
    </row>
    <row r="1956">
      <c r="A1956" s="101" t="s">
        <v>4572</v>
      </c>
      <c r="B1956" s="101" t="s">
        <v>4573</v>
      </c>
      <c r="D1956" s="13"/>
      <c r="E1956" s="13"/>
      <c r="F1956" s="13"/>
      <c r="G1956" s="102">
        <v>1.0</v>
      </c>
      <c r="H1956" s="101" t="s">
        <v>2940</v>
      </c>
      <c r="I1956" s="102">
        <v>20.33</v>
      </c>
      <c r="J1956" s="102">
        <v>25.01</v>
      </c>
      <c r="K1956" s="101" t="s">
        <v>2941</v>
      </c>
      <c r="L1956" s="102">
        <v>23.0</v>
      </c>
      <c r="M1956" s="13"/>
    </row>
    <row r="1957">
      <c r="A1957" s="101" t="s">
        <v>4572</v>
      </c>
      <c r="B1957" s="101" t="s">
        <v>4573</v>
      </c>
      <c r="D1957" s="13"/>
      <c r="E1957" s="13"/>
      <c r="F1957" s="13"/>
      <c r="G1957" s="102">
        <v>2.0</v>
      </c>
      <c r="H1957" s="101" t="s">
        <v>2942</v>
      </c>
      <c r="I1957" s="102">
        <v>19.16</v>
      </c>
      <c r="J1957" s="102">
        <v>23.57</v>
      </c>
      <c r="K1957" s="101" t="s">
        <v>2941</v>
      </c>
      <c r="L1957" s="102">
        <v>23.0</v>
      </c>
      <c r="M1957" s="13"/>
    </row>
    <row r="1958">
      <c r="A1958" s="101" t="s">
        <v>4574</v>
      </c>
      <c r="B1958" s="101" t="s">
        <v>4575</v>
      </c>
      <c r="D1958" s="13"/>
      <c r="E1958" s="13"/>
      <c r="F1958" s="13"/>
      <c r="G1958" s="102">
        <v>1.0</v>
      </c>
      <c r="H1958" s="101" t="s">
        <v>2940</v>
      </c>
      <c r="I1958" s="102">
        <v>46.1</v>
      </c>
      <c r="J1958" s="102">
        <v>56.7</v>
      </c>
      <c r="K1958" s="101" t="s">
        <v>2941</v>
      </c>
      <c r="L1958" s="102">
        <v>23.0</v>
      </c>
      <c r="M1958" s="13"/>
    </row>
    <row r="1959">
      <c r="A1959" s="101" t="s">
        <v>4574</v>
      </c>
      <c r="B1959" s="101" t="s">
        <v>4575</v>
      </c>
      <c r="D1959" s="13"/>
      <c r="E1959" s="13"/>
      <c r="F1959" s="13"/>
      <c r="G1959" s="102">
        <v>2.0</v>
      </c>
      <c r="H1959" s="101" t="s">
        <v>2942</v>
      </c>
      <c r="I1959" s="102">
        <v>36.9</v>
      </c>
      <c r="J1959" s="102">
        <v>45.39</v>
      </c>
      <c r="K1959" s="101" t="s">
        <v>2941</v>
      </c>
      <c r="L1959" s="102">
        <v>23.0</v>
      </c>
      <c r="M1959" s="13"/>
    </row>
    <row r="1960">
      <c r="A1960" s="101" t="s">
        <v>4576</v>
      </c>
      <c r="B1960" s="101" t="s">
        <v>4577</v>
      </c>
      <c r="D1960" s="13"/>
      <c r="E1960" s="13"/>
      <c r="F1960" s="13"/>
      <c r="G1960" s="102">
        <v>1.0</v>
      </c>
      <c r="H1960" s="101" t="s">
        <v>2940</v>
      </c>
      <c r="I1960" s="102">
        <v>69.02</v>
      </c>
      <c r="J1960" s="102">
        <v>84.89</v>
      </c>
      <c r="K1960" s="101" t="s">
        <v>2941</v>
      </c>
      <c r="L1960" s="102">
        <v>23.0</v>
      </c>
      <c r="M1960" s="13"/>
    </row>
    <row r="1961">
      <c r="A1961" s="101" t="s">
        <v>4576</v>
      </c>
      <c r="B1961" s="101" t="s">
        <v>4577</v>
      </c>
      <c r="D1961" s="13"/>
      <c r="E1961" s="13"/>
      <c r="F1961" s="13"/>
      <c r="G1961" s="102">
        <v>2.0</v>
      </c>
      <c r="H1961" s="101" t="s">
        <v>2942</v>
      </c>
      <c r="I1961" s="102">
        <v>55.2</v>
      </c>
      <c r="J1961" s="102">
        <v>67.9</v>
      </c>
      <c r="K1961" s="101" t="s">
        <v>2941</v>
      </c>
      <c r="L1961" s="102">
        <v>23.0</v>
      </c>
      <c r="M1961" s="13"/>
    </row>
    <row r="1962">
      <c r="A1962" s="101" t="s">
        <v>4578</v>
      </c>
      <c r="B1962" s="101" t="s">
        <v>4579</v>
      </c>
      <c r="D1962" s="13"/>
      <c r="E1962" s="13"/>
      <c r="F1962" s="13"/>
      <c r="G1962" s="102">
        <v>1.0</v>
      </c>
      <c r="H1962" s="101" t="s">
        <v>2940</v>
      </c>
      <c r="I1962" s="102">
        <v>25.12</v>
      </c>
      <c r="J1962" s="102">
        <v>30.9</v>
      </c>
      <c r="K1962" s="101" t="s">
        <v>2941</v>
      </c>
      <c r="L1962" s="102">
        <v>23.0</v>
      </c>
      <c r="M1962" s="13"/>
    </row>
    <row r="1963">
      <c r="A1963" s="101" t="s">
        <v>4578</v>
      </c>
      <c r="B1963" s="101" t="s">
        <v>4579</v>
      </c>
      <c r="D1963" s="13"/>
      <c r="E1963" s="13"/>
      <c r="F1963" s="13"/>
      <c r="G1963" s="102">
        <v>2.0</v>
      </c>
      <c r="H1963" s="101" t="s">
        <v>2942</v>
      </c>
      <c r="I1963" s="102">
        <v>20.1</v>
      </c>
      <c r="J1963" s="102">
        <v>24.72</v>
      </c>
      <c r="K1963" s="101" t="s">
        <v>2941</v>
      </c>
      <c r="L1963" s="102">
        <v>23.0</v>
      </c>
      <c r="M1963" s="13"/>
    </row>
    <row r="1964">
      <c r="A1964" s="101" t="s">
        <v>4580</v>
      </c>
      <c r="B1964" s="101" t="s">
        <v>4581</v>
      </c>
      <c r="D1964" s="13"/>
      <c r="E1964" s="13"/>
      <c r="F1964" s="13"/>
      <c r="G1964" s="102">
        <v>1.0</v>
      </c>
      <c r="H1964" s="101" t="s">
        <v>2940</v>
      </c>
      <c r="I1964" s="102">
        <v>0.0</v>
      </c>
      <c r="J1964" s="102">
        <v>0.0</v>
      </c>
      <c r="K1964" s="101" t="s">
        <v>2941</v>
      </c>
      <c r="L1964" s="102">
        <v>23.0</v>
      </c>
      <c r="M1964" s="13"/>
    </row>
    <row r="1965">
      <c r="A1965" s="101" t="s">
        <v>4580</v>
      </c>
      <c r="B1965" s="101" t="s">
        <v>4581</v>
      </c>
      <c r="D1965" s="13"/>
      <c r="E1965" s="13"/>
      <c r="F1965" s="13"/>
      <c r="G1965" s="102">
        <v>2.0</v>
      </c>
      <c r="H1965" s="101" t="s">
        <v>2942</v>
      </c>
      <c r="I1965" s="102">
        <v>0.0</v>
      </c>
      <c r="J1965" s="102">
        <v>0.0</v>
      </c>
      <c r="K1965" s="101" t="s">
        <v>2941</v>
      </c>
      <c r="L1965" s="102">
        <v>23.0</v>
      </c>
      <c r="M1965" s="13"/>
    </row>
    <row r="1966">
      <c r="A1966" s="101" t="s">
        <v>4582</v>
      </c>
      <c r="B1966" s="101">
        <v>2033.0</v>
      </c>
      <c r="C1966" s="13"/>
      <c r="D1966" s="13"/>
      <c r="E1966" s="13"/>
      <c r="F1966" s="13"/>
      <c r="G1966" s="102">
        <v>1.0</v>
      </c>
      <c r="H1966" s="101" t="s">
        <v>2940</v>
      </c>
      <c r="I1966" s="102">
        <v>55.77</v>
      </c>
      <c r="J1966" s="102">
        <v>68.6</v>
      </c>
      <c r="K1966" s="101" t="s">
        <v>2941</v>
      </c>
      <c r="L1966" s="102">
        <v>23.0</v>
      </c>
      <c r="M1966" s="13"/>
    </row>
    <row r="1967">
      <c r="A1967" s="101" t="s">
        <v>4582</v>
      </c>
      <c r="B1967" s="101">
        <v>2033.0</v>
      </c>
      <c r="C1967" s="13"/>
      <c r="D1967" s="13"/>
      <c r="E1967" s="13"/>
      <c r="F1967" s="13"/>
      <c r="G1967" s="102">
        <v>2.0</v>
      </c>
      <c r="H1967" s="101" t="s">
        <v>2942</v>
      </c>
      <c r="I1967" s="102">
        <v>55.8</v>
      </c>
      <c r="J1967" s="102">
        <v>68.63</v>
      </c>
      <c r="K1967" s="101" t="s">
        <v>2941</v>
      </c>
      <c r="L1967" s="102">
        <v>23.0</v>
      </c>
      <c r="M1967" s="13"/>
    </row>
    <row r="1968">
      <c r="A1968" s="101" t="s">
        <v>4583</v>
      </c>
      <c r="B1968" s="101" t="s">
        <v>4584</v>
      </c>
      <c r="D1968" s="13"/>
      <c r="E1968" s="13"/>
      <c r="F1968" s="13"/>
      <c r="G1968" s="102">
        <v>1.0</v>
      </c>
      <c r="H1968" s="101" t="s">
        <v>2940</v>
      </c>
      <c r="I1968" s="102">
        <v>0.0</v>
      </c>
      <c r="J1968" s="102">
        <v>0.0</v>
      </c>
      <c r="K1968" s="101" t="s">
        <v>2941</v>
      </c>
      <c r="L1968" s="102">
        <v>23.0</v>
      </c>
      <c r="M1968" s="13"/>
    </row>
    <row r="1969">
      <c r="A1969" s="101" t="s">
        <v>4583</v>
      </c>
      <c r="B1969" s="101" t="s">
        <v>4584</v>
      </c>
      <c r="D1969" s="13"/>
      <c r="E1969" s="13"/>
      <c r="F1969" s="13"/>
      <c r="G1969" s="102">
        <v>2.0</v>
      </c>
      <c r="H1969" s="101" t="s">
        <v>2942</v>
      </c>
      <c r="I1969" s="102">
        <v>0.0</v>
      </c>
      <c r="J1969" s="102">
        <v>0.0</v>
      </c>
      <c r="K1969" s="101" t="s">
        <v>2941</v>
      </c>
      <c r="L1969" s="102">
        <v>23.0</v>
      </c>
      <c r="M1969" s="13"/>
    </row>
    <row r="1970">
      <c r="A1970" s="101" t="s">
        <v>4585</v>
      </c>
      <c r="B1970" s="101">
        <v>338.0</v>
      </c>
      <c r="C1970" s="13"/>
      <c r="D1970" s="13"/>
      <c r="E1970" s="13"/>
      <c r="F1970" s="13"/>
      <c r="G1970" s="102">
        <v>1.0</v>
      </c>
      <c r="H1970" s="101" t="s">
        <v>2940</v>
      </c>
      <c r="I1970" s="102">
        <v>61.87</v>
      </c>
      <c r="J1970" s="102">
        <v>76.1</v>
      </c>
      <c r="K1970" s="101" t="s">
        <v>2941</v>
      </c>
      <c r="L1970" s="102">
        <v>23.0</v>
      </c>
      <c r="M1970" s="13"/>
    </row>
    <row r="1971">
      <c r="A1971" s="101" t="s">
        <v>4585</v>
      </c>
      <c r="B1971" s="101">
        <v>338.0</v>
      </c>
      <c r="C1971" s="13"/>
      <c r="D1971" s="13"/>
      <c r="E1971" s="13"/>
      <c r="F1971" s="13"/>
      <c r="G1971" s="102">
        <v>2.0</v>
      </c>
      <c r="H1971" s="101" t="s">
        <v>2942</v>
      </c>
      <c r="I1971" s="102">
        <v>61.9</v>
      </c>
      <c r="J1971" s="102">
        <v>76.14</v>
      </c>
      <c r="K1971" s="101" t="s">
        <v>2941</v>
      </c>
      <c r="L1971" s="102">
        <v>23.0</v>
      </c>
      <c r="M1971" s="13"/>
    </row>
    <row r="1972">
      <c r="A1972" s="101" t="s">
        <v>4586</v>
      </c>
      <c r="B1972" s="101" t="s">
        <v>4587</v>
      </c>
      <c r="D1972" s="13"/>
      <c r="E1972" s="13"/>
      <c r="F1972" s="13"/>
      <c r="G1972" s="102">
        <v>1.0</v>
      </c>
      <c r="H1972" s="101" t="s">
        <v>2940</v>
      </c>
      <c r="I1972" s="102">
        <v>134.55</v>
      </c>
      <c r="J1972" s="102">
        <v>165.5</v>
      </c>
      <c r="K1972" s="101" t="s">
        <v>2941</v>
      </c>
      <c r="L1972" s="102">
        <v>23.0</v>
      </c>
      <c r="M1972" s="13"/>
    </row>
    <row r="1973">
      <c r="A1973" s="101" t="s">
        <v>4586</v>
      </c>
      <c r="B1973" s="101" t="s">
        <v>4587</v>
      </c>
      <c r="D1973" s="13"/>
      <c r="E1973" s="13"/>
      <c r="F1973" s="13"/>
      <c r="G1973" s="102">
        <v>2.0</v>
      </c>
      <c r="H1973" s="101" t="s">
        <v>2942</v>
      </c>
      <c r="I1973" s="102">
        <v>107.6</v>
      </c>
      <c r="J1973" s="102">
        <v>132.35</v>
      </c>
      <c r="K1973" s="101" t="s">
        <v>2941</v>
      </c>
      <c r="L1973" s="102">
        <v>23.0</v>
      </c>
      <c r="M1973" s="13"/>
    </row>
    <row r="1974">
      <c r="A1974" s="101" t="s">
        <v>4588</v>
      </c>
      <c r="B1974" s="101" t="s">
        <v>4589</v>
      </c>
      <c r="D1974" s="13"/>
      <c r="E1974" s="13"/>
      <c r="F1974" s="13"/>
      <c r="G1974" s="102">
        <v>1.0</v>
      </c>
      <c r="H1974" s="101" t="s">
        <v>2940</v>
      </c>
      <c r="I1974" s="102">
        <v>269.11</v>
      </c>
      <c r="J1974" s="102">
        <v>331.01</v>
      </c>
      <c r="K1974" s="101" t="s">
        <v>2941</v>
      </c>
      <c r="L1974" s="102">
        <v>23.0</v>
      </c>
      <c r="M1974" s="13"/>
    </row>
    <row r="1975">
      <c r="A1975" s="101" t="s">
        <v>4588</v>
      </c>
      <c r="B1975" s="101" t="s">
        <v>4589</v>
      </c>
      <c r="D1975" s="13"/>
      <c r="E1975" s="13"/>
      <c r="F1975" s="13"/>
      <c r="G1975" s="102">
        <v>2.0</v>
      </c>
      <c r="H1975" s="101" t="s">
        <v>2942</v>
      </c>
      <c r="I1975" s="102">
        <v>215.3</v>
      </c>
      <c r="J1975" s="102">
        <v>264.82</v>
      </c>
      <c r="K1975" s="101" t="s">
        <v>2941</v>
      </c>
      <c r="L1975" s="102">
        <v>23.0</v>
      </c>
      <c r="M1975" s="13"/>
    </row>
    <row r="1976">
      <c r="A1976" s="101" t="s">
        <v>4590</v>
      </c>
      <c r="B1976" s="101" t="s">
        <v>4591</v>
      </c>
      <c r="D1976" s="13"/>
      <c r="E1976" s="13"/>
      <c r="F1976" s="13"/>
      <c r="G1976" s="102">
        <v>1.0</v>
      </c>
      <c r="H1976" s="101" t="s">
        <v>2940</v>
      </c>
      <c r="I1976" s="102">
        <v>403.66</v>
      </c>
      <c r="J1976" s="102">
        <v>496.5</v>
      </c>
      <c r="K1976" s="101" t="s">
        <v>2941</v>
      </c>
      <c r="L1976" s="102">
        <v>23.0</v>
      </c>
      <c r="M1976" s="13"/>
    </row>
    <row r="1977">
      <c r="A1977" s="101" t="s">
        <v>4590</v>
      </c>
      <c r="B1977" s="101" t="s">
        <v>4591</v>
      </c>
      <c r="D1977" s="13"/>
      <c r="E1977" s="13"/>
      <c r="F1977" s="13"/>
      <c r="G1977" s="102">
        <v>2.0</v>
      </c>
      <c r="H1977" s="101" t="s">
        <v>2942</v>
      </c>
      <c r="I1977" s="102">
        <v>322.9</v>
      </c>
      <c r="J1977" s="102">
        <v>397.17</v>
      </c>
      <c r="K1977" s="101" t="s">
        <v>2941</v>
      </c>
      <c r="L1977" s="102">
        <v>23.0</v>
      </c>
      <c r="M1977" s="13"/>
    </row>
    <row r="1978">
      <c r="A1978" s="101" t="s">
        <v>4592</v>
      </c>
      <c r="B1978" s="101">
        <v>1325.0</v>
      </c>
      <c r="C1978" s="13"/>
      <c r="D1978" s="13"/>
      <c r="E1978" s="13"/>
      <c r="F1978" s="13"/>
      <c r="G1978" s="102">
        <v>1.0</v>
      </c>
      <c r="H1978" s="101" t="s">
        <v>2940</v>
      </c>
      <c r="I1978" s="102">
        <v>81.79</v>
      </c>
      <c r="J1978" s="102">
        <v>100.6</v>
      </c>
      <c r="K1978" s="101" t="s">
        <v>2941</v>
      </c>
      <c r="L1978" s="102">
        <v>23.0</v>
      </c>
      <c r="M1978" s="13"/>
    </row>
    <row r="1979">
      <c r="A1979" s="101" t="s">
        <v>4592</v>
      </c>
      <c r="B1979" s="101">
        <v>1325.0</v>
      </c>
      <c r="C1979" s="13"/>
      <c r="D1979" s="13"/>
      <c r="E1979" s="13"/>
      <c r="F1979" s="13"/>
      <c r="G1979" s="102">
        <v>2.0</v>
      </c>
      <c r="H1979" s="101" t="s">
        <v>2942</v>
      </c>
      <c r="I1979" s="102">
        <v>81.8</v>
      </c>
      <c r="J1979" s="102">
        <v>100.61</v>
      </c>
      <c r="K1979" s="101" t="s">
        <v>2941</v>
      </c>
      <c r="L1979" s="102">
        <v>23.0</v>
      </c>
      <c r="M1979" s="13"/>
    </row>
    <row r="1980">
      <c r="A1980" s="101" t="s">
        <v>4593</v>
      </c>
      <c r="B1980" s="101">
        <v>1423.0</v>
      </c>
      <c r="C1980" s="13"/>
      <c r="D1980" s="13"/>
      <c r="E1980" s="13"/>
      <c r="F1980" s="13"/>
      <c r="G1980" s="102">
        <v>1.0</v>
      </c>
      <c r="H1980" s="101" t="s">
        <v>2940</v>
      </c>
      <c r="I1980" s="102">
        <v>245.53</v>
      </c>
      <c r="J1980" s="102">
        <v>302.0</v>
      </c>
      <c r="K1980" s="101" t="s">
        <v>2941</v>
      </c>
      <c r="L1980" s="102">
        <v>23.0</v>
      </c>
      <c r="M1980" s="13"/>
    </row>
    <row r="1981">
      <c r="A1981" s="101" t="s">
        <v>4593</v>
      </c>
      <c r="B1981" s="101">
        <v>1423.0</v>
      </c>
      <c r="C1981" s="13"/>
      <c r="D1981" s="13"/>
      <c r="E1981" s="13"/>
      <c r="F1981" s="13"/>
      <c r="G1981" s="102">
        <v>2.0</v>
      </c>
      <c r="H1981" s="101" t="s">
        <v>2942</v>
      </c>
      <c r="I1981" s="102">
        <v>245.4</v>
      </c>
      <c r="J1981" s="102">
        <v>301.84</v>
      </c>
      <c r="K1981" s="101" t="s">
        <v>2941</v>
      </c>
      <c r="L1981" s="102">
        <v>23.0</v>
      </c>
      <c r="M1981" s="13"/>
    </row>
    <row r="1982">
      <c r="A1982" s="101" t="s">
        <v>4594</v>
      </c>
      <c r="B1982" s="101" t="s">
        <v>4595</v>
      </c>
      <c r="D1982" s="13"/>
      <c r="E1982" s="13"/>
      <c r="F1982" s="13"/>
      <c r="G1982" s="102">
        <v>1.0</v>
      </c>
      <c r="H1982" s="101" t="s">
        <v>2940</v>
      </c>
      <c r="I1982" s="102">
        <v>219.59</v>
      </c>
      <c r="J1982" s="102">
        <v>270.1</v>
      </c>
      <c r="K1982" s="101" t="s">
        <v>2941</v>
      </c>
      <c r="L1982" s="102">
        <v>23.0</v>
      </c>
      <c r="M1982" s="13"/>
    </row>
    <row r="1983">
      <c r="A1983" s="101" t="s">
        <v>4594</v>
      </c>
      <c r="B1983" s="101" t="s">
        <v>4595</v>
      </c>
      <c r="D1983" s="13"/>
      <c r="E1983" s="13"/>
      <c r="F1983" s="13"/>
      <c r="G1983" s="102">
        <v>2.0</v>
      </c>
      <c r="H1983" s="101" t="s">
        <v>2942</v>
      </c>
      <c r="I1983" s="102">
        <v>175.7</v>
      </c>
      <c r="J1983" s="102">
        <v>216.11</v>
      </c>
      <c r="K1983" s="101" t="s">
        <v>2941</v>
      </c>
      <c r="L1983" s="102">
        <v>23.0</v>
      </c>
      <c r="M1983" s="13"/>
    </row>
    <row r="1984">
      <c r="A1984" s="101" t="s">
        <v>4596</v>
      </c>
      <c r="B1984" s="101" t="s">
        <v>4597</v>
      </c>
      <c r="D1984" s="13"/>
      <c r="E1984" s="13"/>
      <c r="F1984" s="13"/>
      <c r="G1984" s="102">
        <v>1.0</v>
      </c>
      <c r="H1984" s="101" t="s">
        <v>2940</v>
      </c>
      <c r="I1984" s="102">
        <v>26.1</v>
      </c>
      <c r="J1984" s="102">
        <v>32.1</v>
      </c>
      <c r="K1984" s="101" t="s">
        <v>2941</v>
      </c>
      <c r="L1984" s="102">
        <v>23.0</v>
      </c>
      <c r="M1984" s="13"/>
    </row>
    <row r="1985">
      <c r="A1985" s="101" t="s">
        <v>4596</v>
      </c>
      <c r="B1985" s="101" t="s">
        <v>4597</v>
      </c>
      <c r="D1985" s="13"/>
      <c r="E1985" s="13"/>
      <c r="F1985" s="13"/>
      <c r="G1985" s="102">
        <v>2.0</v>
      </c>
      <c r="H1985" s="101" t="s">
        <v>2942</v>
      </c>
      <c r="I1985" s="102">
        <v>20.9</v>
      </c>
      <c r="J1985" s="102">
        <v>25.71</v>
      </c>
      <c r="K1985" s="101" t="s">
        <v>2941</v>
      </c>
      <c r="L1985" s="102">
        <v>23.0</v>
      </c>
      <c r="M1985" s="13"/>
    </row>
    <row r="1986">
      <c r="A1986" s="101" t="s">
        <v>4598</v>
      </c>
      <c r="B1986" s="101" t="s">
        <v>4599</v>
      </c>
      <c r="D1986" s="13"/>
      <c r="E1986" s="13"/>
      <c r="F1986" s="13"/>
      <c r="G1986" s="102">
        <v>1.0</v>
      </c>
      <c r="H1986" s="101" t="s">
        <v>2940</v>
      </c>
      <c r="I1986" s="102">
        <v>37.4</v>
      </c>
      <c r="J1986" s="102">
        <v>46.0</v>
      </c>
      <c r="K1986" s="101" t="s">
        <v>2941</v>
      </c>
      <c r="L1986" s="102">
        <v>23.0</v>
      </c>
      <c r="M1986" s="13"/>
    </row>
    <row r="1987">
      <c r="A1987" s="101" t="s">
        <v>4598</v>
      </c>
      <c r="B1987" s="101" t="s">
        <v>4599</v>
      </c>
      <c r="D1987" s="13"/>
      <c r="E1987" s="13"/>
      <c r="F1987" s="13"/>
      <c r="G1987" s="102">
        <v>2.0</v>
      </c>
      <c r="H1987" s="101" t="s">
        <v>2942</v>
      </c>
      <c r="I1987" s="102">
        <v>37.22</v>
      </c>
      <c r="J1987" s="102">
        <v>45.78</v>
      </c>
      <c r="K1987" s="101" t="s">
        <v>2941</v>
      </c>
      <c r="L1987" s="102">
        <v>23.0</v>
      </c>
      <c r="M1987" s="13"/>
    </row>
    <row r="1988">
      <c r="A1988" s="101" t="s">
        <v>4600</v>
      </c>
      <c r="B1988" s="101" t="s">
        <v>4601</v>
      </c>
      <c r="D1988" s="13"/>
      <c r="E1988" s="13"/>
      <c r="F1988" s="13"/>
      <c r="G1988" s="102">
        <v>1.0</v>
      </c>
      <c r="H1988" s="101" t="s">
        <v>2940</v>
      </c>
      <c r="I1988" s="102">
        <v>52.2</v>
      </c>
      <c r="J1988" s="102">
        <v>64.21</v>
      </c>
      <c r="K1988" s="101" t="s">
        <v>2941</v>
      </c>
      <c r="L1988" s="102">
        <v>23.0</v>
      </c>
      <c r="M1988" s="13"/>
    </row>
    <row r="1989">
      <c r="A1989" s="101" t="s">
        <v>4600</v>
      </c>
      <c r="B1989" s="101" t="s">
        <v>4601</v>
      </c>
      <c r="D1989" s="13"/>
      <c r="E1989" s="13"/>
      <c r="F1989" s="13"/>
      <c r="G1989" s="102">
        <v>2.0</v>
      </c>
      <c r="H1989" s="101" t="s">
        <v>2942</v>
      </c>
      <c r="I1989" s="102">
        <v>41.8</v>
      </c>
      <c r="J1989" s="102">
        <v>51.41</v>
      </c>
      <c r="K1989" s="101" t="s">
        <v>2941</v>
      </c>
      <c r="L1989" s="102">
        <v>23.0</v>
      </c>
      <c r="M1989" s="13"/>
    </row>
    <row r="1990">
      <c r="A1990" s="101" t="s">
        <v>4602</v>
      </c>
      <c r="B1990" s="101" t="s">
        <v>4603</v>
      </c>
      <c r="D1990" s="13"/>
      <c r="E1990" s="13"/>
      <c r="F1990" s="13"/>
      <c r="G1990" s="102">
        <v>1.0</v>
      </c>
      <c r="H1990" s="101" t="s">
        <v>2940</v>
      </c>
      <c r="I1990" s="102">
        <v>22.31</v>
      </c>
      <c r="J1990" s="102">
        <v>27.44</v>
      </c>
      <c r="K1990" s="101" t="s">
        <v>2941</v>
      </c>
      <c r="L1990" s="102">
        <v>23.0</v>
      </c>
      <c r="M1990" s="13"/>
    </row>
    <row r="1991">
      <c r="A1991" s="101" t="s">
        <v>4602</v>
      </c>
      <c r="B1991" s="101" t="s">
        <v>4603</v>
      </c>
      <c r="D1991" s="13"/>
      <c r="E1991" s="13"/>
      <c r="F1991" s="13"/>
      <c r="G1991" s="102">
        <v>2.0</v>
      </c>
      <c r="H1991" s="101" t="s">
        <v>2942</v>
      </c>
      <c r="I1991" s="102">
        <v>22.31</v>
      </c>
      <c r="J1991" s="102">
        <v>27.44</v>
      </c>
      <c r="K1991" s="101" t="s">
        <v>2941</v>
      </c>
      <c r="L1991" s="102">
        <v>23.0</v>
      </c>
      <c r="M1991" s="13"/>
    </row>
    <row r="1992">
      <c r="A1992" s="101" t="s">
        <v>4604</v>
      </c>
      <c r="B1992" s="101">
        <v>704.0</v>
      </c>
      <c r="C1992" s="13"/>
      <c r="D1992" s="13"/>
      <c r="E1992" s="13"/>
      <c r="F1992" s="13"/>
      <c r="G1992" s="102">
        <v>1.0</v>
      </c>
      <c r="H1992" s="101" t="s">
        <v>2940</v>
      </c>
      <c r="I1992" s="102">
        <v>28.6</v>
      </c>
      <c r="J1992" s="102">
        <v>35.18</v>
      </c>
      <c r="K1992" s="101" t="s">
        <v>2941</v>
      </c>
      <c r="L1992" s="102">
        <v>23.0</v>
      </c>
      <c r="M1992" s="13"/>
    </row>
    <row r="1993">
      <c r="A1993" s="101" t="s">
        <v>4604</v>
      </c>
      <c r="B1993" s="101">
        <v>704.0</v>
      </c>
      <c r="C1993" s="13"/>
      <c r="D1993" s="13"/>
      <c r="E1993" s="13"/>
      <c r="F1993" s="13"/>
      <c r="G1993" s="102">
        <v>2.0</v>
      </c>
      <c r="H1993" s="101" t="s">
        <v>2942</v>
      </c>
      <c r="I1993" s="102">
        <v>28.6</v>
      </c>
      <c r="J1993" s="102">
        <v>35.18</v>
      </c>
      <c r="K1993" s="101" t="s">
        <v>2941</v>
      </c>
      <c r="L1993" s="102">
        <v>23.0</v>
      </c>
      <c r="M1993" s="13"/>
    </row>
    <row r="1994">
      <c r="A1994" s="101" t="s">
        <v>4605</v>
      </c>
      <c r="B1994" s="101" t="s">
        <v>4606</v>
      </c>
      <c r="D1994" s="13"/>
      <c r="E1994" s="13"/>
      <c r="F1994" s="13"/>
      <c r="G1994" s="102">
        <v>1.0</v>
      </c>
      <c r="H1994" s="101" t="s">
        <v>2940</v>
      </c>
      <c r="I1994" s="102">
        <v>74.8</v>
      </c>
      <c r="J1994" s="102">
        <v>92.0</v>
      </c>
      <c r="K1994" s="101" t="s">
        <v>2941</v>
      </c>
      <c r="L1994" s="102">
        <v>23.0</v>
      </c>
      <c r="M1994" s="13"/>
    </row>
    <row r="1995">
      <c r="A1995" s="101" t="s">
        <v>4605</v>
      </c>
      <c r="B1995" s="101" t="s">
        <v>4606</v>
      </c>
      <c r="D1995" s="13"/>
      <c r="E1995" s="13"/>
      <c r="F1995" s="13"/>
      <c r="G1995" s="102">
        <v>2.0</v>
      </c>
      <c r="H1995" s="101" t="s">
        <v>2942</v>
      </c>
      <c r="I1995" s="102">
        <v>74.44</v>
      </c>
      <c r="J1995" s="102">
        <v>91.56</v>
      </c>
      <c r="K1995" s="101" t="s">
        <v>2941</v>
      </c>
      <c r="L1995" s="102">
        <v>23.0</v>
      </c>
      <c r="M1995" s="13"/>
    </row>
    <row r="1996">
      <c r="A1996" s="101" t="s">
        <v>4607</v>
      </c>
      <c r="B1996" s="101" t="s">
        <v>4608</v>
      </c>
      <c r="D1996" s="13"/>
      <c r="E1996" s="13"/>
      <c r="F1996" s="13"/>
      <c r="G1996" s="102">
        <v>1.0</v>
      </c>
      <c r="H1996" s="101" t="s">
        <v>2940</v>
      </c>
      <c r="I1996" s="102">
        <v>78.21</v>
      </c>
      <c r="J1996" s="102">
        <v>96.2</v>
      </c>
      <c r="K1996" s="101" t="s">
        <v>2941</v>
      </c>
      <c r="L1996" s="102">
        <v>23.0</v>
      </c>
      <c r="M1996" s="13"/>
    </row>
    <row r="1997">
      <c r="A1997" s="101" t="s">
        <v>4607</v>
      </c>
      <c r="B1997" s="101" t="s">
        <v>4608</v>
      </c>
      <c r="D1997" s="13"/>
      <c r="E1997" s="13"/>
      <c r="F1997" s="13"/>
      <c r="G1997" s="102">
        <v>2.0</v>
      </c>
      <c r="H1997" s="101" t="s">
        <v>2942</v>
      </c>
      <c r="I1997" s="102">
        <v>62.6</v>
      </c>
      <c r="J1997" s="102">
        <v>77.0</v>
      </c>
      <c r="K1997" s="101" t="s">
        <v>2941</v>
      </c>
      <c r="L1997" s="102">
        <v>23.0</v>
      </c>
      <c r="M1997" s="13"/>
    </row>
    <row r="1998">
      <c r="A1998" s="101" t="s">
        <v>4609</v>
      </c>
      <c r="B1998" s="101" t="s">
        <v>4610</v>
      </c>
      <c r="D1998" s="13"/>
      <c r="E1998" s="13"/>
      <c r="F1998" s="13"/>
      <c r="G1998" s="102">
        <v>1.0</v>
      </c>
      <c r="H1998" s="101" t="s">
        <v>2940</v>
      </c>
      <c r="I1998" s="102">
        <v>112.2</v>
      </c>
      <c r="J1998" s="102">
        <v>138.01</v>
      </c>
      <c r="K1998" s="101" t="s">
        <v>2941</v>
      </c>
      <c r="L1998" s="102">
        <v>23.0</v>
      </c>
      <c r="M1998" s="13"/>
    </row>
    <row r="1999">
      <c r="A1999" s="101" t="s">
        <v>4609</v>
      </c>
      <c r="B1999" s="101" t="s">
        <v>4610</v>
      </c>
      <c r="D1999" s="13"/>
      <c r="E1999" s="13"/>
      <c r="F1999" s="13"/>
      <c r="G1999" s="102">
        <v>2.0</v>
      </c>
      <c r="H1999" s="101" t="s">
        <v>2942</v>
      </c>
      <c r="I1999" s="102">
        <v>111.66</v>
      </c>
      <c r="J1999" s="102">
        <v>137.34</v>
      </c>
      <c r="K1999" s="101" t="s">
        <v>2941</v>
      </c>
      <c r="L1999" s="102">
        <v>23.0</v>
      </c>
      <c r="M1999" s="13"/>
    </row>
    <row r="2000">
      <c r="A2000" s="101" t="s">
        <v>4611</v>
      </c>
      <c r="B2000" s="101" t="s">
        <v>4612</v>
      </c>
      <c r="D2000" s="13"/>
      <c r="E2000" s="13"/>
      <c r="F2000" s="13"/>
      <c r="G2000" s="102">
        <v>1.0</v>
      </c>
      <c r="H2000" s="101" t="s">
        <v>2940</v>
      </c>
      <c r="I2000" s="102">
        <v>127.64</v>
      </c>
      <c r="J2000" s="102">
        <v>157.0</v>
      </c>
      <c r="K2000" s="101" t="s">
        <v>2941</v>
      </c>
      <c r="L2000" s="102">
        <v>23.0</v>
      </c>
      <c r="M2000" s="13"/>
    </row>
    <row r="2001">
      <c r="A2001" s="101" t="s">
        <v>4611</v>
      </c>
      <c r="B2001" s="101" t="s">
        <v>4612</v>
      </c>
      <c r="D2001" s="13"/>
      <c r="E2001" s="13"/>
      <c r="F2001" s="13"/>
      <c r="G2001" s="102">
        <v>2.0</v>
      </c>
      <c r="H2001" s="101" t="s">
        <v>2942</v>
      </c>
      <c r="I2001" s="102">
        <v>102.1</v>
      </c>
      <c r="J2001" s="102">
        <v>125.58</v>
      </c>
      <c r="K2001" s="101" t="s">
        <v>2941</v>
      </c>
      <c r="L2001" s="102">
        <v>23.0</v>
      </c>
      <c r="M2001" s="13"/>
    </row>
    <row r="2002">
      <c r="A2002" s="101" t="s">
        <v>4613</v>
      </c>
      <c r="B2002" s="101" t="s">
        <v>4614</v>
      </c>
      <c r="E2002" s="13"/>
      <c r="F2002" s="13"/>
      <c r="G2002" s="102">
        <v>1.0</v>
      </c>
      <c r="H2002" s="101" t="s">
        <v>2940</v>
      </c>
      <c r="I2002" s="102">
        <v>186.55</v>
      </c>
      <c r="J2002" s="102">
        <v>229.46</v>
      </c>
      <c r="K2002" s="101" t="s">
        <v>2941</v>
      </c>
      <c r="L2002" s="102">
        <v>23.0</v>
      </c>
      <c r="M2002" s="13"/>
    </row>
    <row r="2003">
      <c r="A2003" s="101" t="s">
        <v>4613</v>
      </c>
      <c r="B2003" s="101" t="s">
        <v>4614</v>
      </c>
      <c r="E2003" s="13"/>
      <c r="F2003" s="13"/>
      <c r="G2003" s="102">
        <v>2.0</v>
      </c>
      <c r="H2003" s="101" t="s">
        <v>2942</v>
      </c>
      <c r="I2003" s="102">
        <v>186.55</v>
      </c>
      <c r="J2003" s="102">
        <v>229.46</v>
      </c>
      <c r="K2003" s="101" t="s">
        <v>2941</v>
      </c>
      <c r="L2003" s="102">
        <v>23.0</v>
      </c>
      <c r="M2003" s="13"/>
    </row>
    <row r="2004">
      <c r="A2004" s="101" t="s">
        <v>4615</v>
      </c>
      <c r="B2004" s="101" t="s">
        <v>4616</v>
      </c>
      <c r="D2004" s="13"/>
      <c r="E2004" s="13"/>
      <c r="F2004" s="13"/>
      <c r="G2004" s="102">
        <v>1.0</v>
      </c>
      <c r="H2004" s="101" t="s">
        <v>2940</v>
      </c>
      <c r="I2004" s="102">
        <v>188.8</v>
      </c>
      <c r="J2004" s="102">
        <v>232.22</v>
      </c>
      <c r="K2004" s="101" t="s">
        <v>2941</v>
      </c>
      <c r="L2004" s="102">
        <v>23.0</v>
      </c>
      <c r="M2004" s="13"/>
    </row>
    <row r="2005">
      <c r="A2005" s="101" t="s">
        <v>4615</v>
      </c>
      <c r="B2005" s="101" t="s">
        <v>4616</v>
      </c>
      <c r="D2005" s="13"/>
      <c r="E2005" s="13"/>
      <c r="F2005" s="13"/>
      <c r="G2005" s="102">
        <v>2.0</v>
      </c>
      <c r="H2005" s="101" t="s">
        <v>2942</v>
      </c>
      <c r="I2005" s="102">
        <v>188.8</v>
      </c>
      <c r="J2005" s="102">
        <v>232.22</v>
      </c>
      <c r="K2005" s="101" t="s">
        <v>2941</v>
      </c>
      <c r="L2005" s="102">
        <v>23.0</v>
      </c>
      <c r="M2005" s="13"/>
    </row>
    <row r="2006">
      <c r="A2006" s="101" t="s">
        <v>4617</v>
      </c>
      <c r="B2006" s="101" t="s">
        <v>4618</v>
      </c>
      <c r="D2006" s="13"/>
      <c r="E2006" s="13"/>
      <c r="F2006" s="13"/>
      <c r="G2006" s="102">
        <v>1.0</v>
      </c>
      <c r="H2006" s="101" t="s">
        <v>2940</v>
      </c>
      <c r="I2006" s="102">
        <v>255.12</v>
      </c>
      <c r="J2006" s="102">
        <v>313.8</v>
      </c>
      <c r="K2006" s="101" t="s">
        <v>2941</v>
      </c>
      <c r="L2006" s="102">
        <v>23.0</v>
      </c>
      <c r="M2006" s="13"/>
    </row>
    <row r="2007">
      <c r="A2007" s="101" t="s">
        <v>4617</v>
      </c>
      <c r="B2007" s="101" t="s">
        <v>4618</v>
      </c>
      <c r="D2007" s="13"/>
      <c r="E2007" s="13"/>
      <c r="F2007" s="13"/>
      <c r="G2007" s="102">
        <v>2.0</v>
      </c>
      <c r="H2007" s="101" t="s">
        <v>2942</v>
      </c>
      <c r="I2007" s="102">
        <v>204.1</v>
      </c>
      <c r="J2007" s="102">
        <v>251.04</v>
      </c>
      <c r="K2007" s="101" t="s">
        <v>2941</v>
      </c>
      <c r="L2007" s="102">
        <v>23.0</v>
      </c>
      <c r="M2007" s="13"/>
    </row>
    <row r="2008">
      <c r="A2008" s="101" t="s">
        <v>4619</v>
      </c>
      <c r="B2008" s="101" t="s">
        <v>4620</v>
      </c>
      <c r="E2008" s="13"/>
      <c r="F2008" s="13"/>
      <c r="G2008" s="102">
        <v>1.0</v>
      </c>
      <c r="H2008" s="101" t="s">
        <v>2940</v>
      </c>
      <c r="I2008" s="102">
        <v>303.75</v>
      </c>
      <c r="J2008" s="102">
        <v>373.61</v>
      </c>
      <c r="K2008" s="101" t="s">
        <v>2941</v>
      </c>
      <c r="L2008" s="102">
        <v>23.0</v>
      </c>
      <c r="M2008" s="13"/>
    </row>
    <row r="2009">
      <c r="A2009" s="101" t="s">
        <v>4619</v>
      </c>
      <c r="B2009" s="101" t="s">
        <v>4620</v>
      </c>
      <c r="E2009" s="13"/>
      <c r="F2009" s="13"/>
      <c r="G2009" s="102">
        <v>2.0</v>
      </c>
      <c r="H2009" s="101" t="s">
        <v>2942</v>
      </c>
      <c r="I2009" s="102">
        <v>303.75</v>
      </c>
      <c r="J2009" s="102">
        <v>373.61</v>
      </c>
      <c r="K2009" s="101" t="s">
        <v>2941</v>
      </c>
      <c r="L2009" s="102">
        <v>23.0</v>
      </c>
      <c r="M2009" s="13"/>
    </row>
    <row r="2010">
      <c r="A2010" s="101" t="s">
        <v>4621</v>
      </c>
      <c r="B2010" s="101" t="s">
        <v>4622</v>
      </c>
      <c r="D2010" s="13"/>
      <c r="E2010" s="13"/>
      <c r="F2010" s="13"/>
      <c r="G2010" s="102">
        <v>1.0</v>
      </c>
      <c r="H2010" s="101" t="s">
        <v>2940</v>
      </c>
      <c r="I2010" s="102">
        <v>377.6</v>
      </c>
      <c r="J2010" s="102">
        <v>464.45</v>
      </c>
      <c r="K2010" s="101" t="s">
        <v>2941</v>
      </c>
      <c r="L2010" s="102">
        <v>23.0</v>
      </c>
      <c r="M2010" s="13"/>
    </row>
    <row r="2011">
      <c r="A2011" s="101" t="s">
        <v>4621</v>
      </c>
      <c r="B2011" s="101" t="s">
        <v>4622</v>
      </c>
      <c r="D2011" s="13"/>
      <c r="E2011" s="13"/>
      <c r="F2011" s="13"/>
      <c r="G2011" s="102">
        <v>2.0</v>
      </c>
      <c r="H2011" s="101" t="s">
        <v>2942</v>
      </c>
      <c r="I2011" s="102">
        <v>377.6</v>
      </c>
      <c r="J2011" s="102">
        <v>464.45</v>
      </c>
      <c r="K2011" s="101" t="s">
        <v>2941</v>
      </c>
      <c r="L2011" s="102">
        <v>23.0</v>
      </c>
      <c r="M2011" s="13"/>
    </row>
    <row r="2012">
      <c r="A2012" s="101" t="s">
        <v>4623</v>
      </c>
      <c r="B2012" s="101" t="s">
        <v>4624</v>
      </c>
      <c r="D2012" s="13"/>
      <c r="E2012" s="13"/>
      <c r="F2012" s="13"/>
      <c r="G2012" s="102">
        <v>1.0</v>
      </c>
      <c r="H2012" s="101" t="s">
        <v>2940</v>
      </c>
      <c r="I2012" s="102">
        <v>382.76</v>
      </c>
      <c r="J2012" s="102">
        <v>470.79</v>
      </c>
      <c r="K2012" s="101" t="s">
        <v>2941</v>
      </c>
      <c r="L2012" s="102">
        <v>23.0</v>
      </c>
      <c r="M2012" s="13"/>
    </row>
    <row r="2013">
      <c r="A2013" s="101" t="s">
        <v>4623</v>
      </c>
      <c r="B2013" s="101" t="s">
        <v>4624</v>
      </c>
      <c r="D2013" s="13"/>
      <c r="E2013" s="13"/>
      <c r="F2013" s="13"/>
      <c r="G2013" s="102">
        <v>2.0</v>
      </c>
      <c r="H2013" s="101" t="s">
        <v>2942</v>
      </c>
      <c r="I2013" s="102">
        <v>306.2</v>
      </c>
      <c r="J2013" s="102">
        <v>376.63</v>
      </c>
      <c r="K2013" s="101" t="s">
        <v>2941</v>
      </c>
      <c r="L2013" s="102">
        <v>23.0</v>
      </c>
      <c r="M2013" s="13"/>
    </row>
    <row r="2014">
      <c r="A2014" s="101" t="s">
        <v>4625</v>
      </c>
      <c r="B2014" s="101" t="s">
        <v>4626</v>
      </c>
      <c r="E2014" s="13"/>
      <c r="F2014" s="13"/>
      <c r="G2014" s="102">
        <v>1.0</v>
      </c>
      <c r="H2014" s="101" t="s">
        <v>2940</v>
      </c>
      <c r="I2014" s="102">
        <v>559.65</v>
      </c>
      <c r="J2014" s="102">
        <v>688.37</v>
      </c>
      <c r="K2014" s="101" t="s">
        <v>2941</v>
      </c>
      <c r="L2014" s="102">
        <v>23.0</v>
      </c>
      <c r="M2014" s="13"/>
    </row>
    <row r="2015">
      <c r="A2015" s="101" t="s">
        <v>4625</v>
      </c>
      <c r="B2015" s="101" t="s">
        <v>4626</v>
      </c>
      <c r="E2015" s="13"/>
      <c r="F2015" s="13"/>
      <c r="G2015" s="102">
        <v>2.0</v>
      </c>
      <c r="H2015" s="101" t="s">
        <v>2942</v>
      </c>
      <c r="I2015" s="102">
        <v>559.65</v>
      </c>
      <c r="J2015" s="102">
        <v>688.37</v>
      </c>
      <c r="K2015" s="101" t="s">
        <v>2941</v>
      </c>
      <c r="L2015" s="102">
        <v>23.0</v>
      </c>
      <c r="M2015" s="13"/>
    </row>
    <row r="2016">
      <c r="A2016" s="101" t="s">
        <v>4627</v>
      </c>
      <c r="B2016" s="101" t="s">
        <v>4628</v>
      </c>
      <c r="D2016" s="13"/>
      <c r="E2016" s="13"/>
      <c r="F2016" s="13"/>
      <c r="G2016" s="102">
        <v>1.0</v>
      </c>
      <c r="H2016" s="101" t="s">
        <v>2940</v>
      </c>
      <c r="I2016" s="102">
        <v>566.4</v>
      </c>
      <c r="J2016" s="102">
        <v>696.67</v>
      </c>
      <c r="K2016" s="101" t="s">
        <v>2941</v>
      </c>
      <c r="L2016" s="102">
        <v>23.0</v>
      </c>
      <c r="M2016" s="13"/>
    </row>
    <row r="2017">
      <c r="A2017" s="101" t="s">
        <v>4627</v>
      </c>
      <c r="B2017" s="101" t="s">
        <v>4628</v>
      </c>
      <c r="D2017" s="13"/>
      <c r="E2017" s="13"/>
      <c r="F2017" s="13"/>
      <c r="G2017" s="102">
        <v>2.0</v>
      </c>
      <c r="H2017" s="101" t="s">
        <v>2942</v>
      </c>
      <c r="I2017" s="102">
        <v>566.4</v>
      </c>
      <c r="J2017" s="102">
        <v>696.67</v>
      </c>
      <c r="K2017" s="101" t="s">
        <v>2941</v>
      </c>
      <c r="L2017" s="102">
        <v>23.0</v>
      </c>
      <c r="M2017" s="13"/>
    </row>
    <row r="2018">
      <c r="A2018" s="101" t="s">
        <v>4629</v>
      </c>
      <c r="B2018" s="101" t="s">
        <v>4630</v>
      </c>
      <c r="D2018" s="13"/>
      <c r="E2018" s="13"/>
      <c r="F2018" s="13"/>
      <c r="G2018" s="102">
        <v>1.0</v>
      </c>
      <c r="H2018" s="101" t="s">
        <v>2940</v>
      </c>
      <c r="I2018" s="102">
        <v>123.58</v>
      </c>
      <c r="J2018" s="102">
        <v>152.0</v>
      </c>
      <c r="K2018" s="101" t="s">
        <v>2941</v>
      </c>
      <c r="L2018" s="102">
        <v>23.0</v>
      </c>
      <c r="M2018" s="13"/>
    </row>
    <row r="2019">
      <c r="A2019" s="101" t="s">
        <v>4629</v>
      </c>
      <c r="B2019" s="101" t="s">
        <v>4630</v>
      </c>
      <c r="D2019" s="13"/>
      <c r="E2019" s="13"/>
      <c r="F2019" s="13"/>
      <c r="G2019" s="102">
        <v>2.0</v>
      </c>
      <c r="H2019" s="101" t="s">
        <v>2942</v>
      </c>
      <c r="I2019" s="102">
        <v>98.9</v>
      </c>
      <c r="J2019" s="102">
        <v>121.65</v>
      </c>
      <c r="K2019" s="101" t="s">
        <v>2941</v>
      </c>
      <c r="L2019" s="102">
        <v>23.0</v>
      </c>
      <c r="M2019" s="13"/>
    </row>
    <row r="2020">
      <c r="A2020" s="101" t="s">
        <v>4631</v>
      </c>
      <c r="B2020" s="101" t="s">
        <v>4632</v>
      </c>
      <c r="E2020" s="13"/>
      <c r="F2020" s="13"/>
      <c r="G2020" s="102">
        <v>1.0</v>
      </c>
      <c r="H2020" s="101" t="s">
        <v>2940</v>
      </c>
      <c r="I2020" s="102">
        <v>182.45</v>
      </c>
      <c r="J2020" s="102">
        <v>224.41</v>
      </c>
      <c r="K2020" s="101" t="s">
        <v>2941</v>
      </c>
      <c r="L2020" s="102">
        <v>23.0</v>
      </c>
      <c r="M2020" s="13"/>
    </row>
    <row r="2021">
      <c r="A2021" s="101" t="s">
        <v>4631</v>
      </c>
      <c r="B2021" s="101" t="s">
        <v>4632</v>
      </c>
      <c r="E2021" s="13"/>
      <c r="F2021" s="13"/>
      <c r="G2021" s="102">
        <v>2.0</v>
      </c>
      <c r="H2021" s="101" t="s">
        <v>2942</v>
      </c>
      <c r="I2021" s="102">
        <v>182.45</v>
      </c>
      <c r="J2021" s="102">
        <v>224.41</v>
      </c>
      <c r="K2021" s="101" t="s">
        <v>2941</v>
      </c>
      <c r="L2021" s="102">
        <v>23.0</v>
      </c>
      <c r="M2021" s="13"/>
    </row>
    <row r="2022">
      <c r="A2022" s="101" t="s">
        <v>4633</v>
      </c>
      <c r="B2022" s="101" t="s">
        <v>4634</v>
      </c>
      <c r="D2022" s="13"/>
      <c r="E2022" s="13"/>
      <c r="F2022" s="13"/>
      <c r="G2022" s="102">
        <v>1.0</v>
      </c>
      <c r="H2022" s="101" t="s">
        <v>2940</v>
      </c>
      <c r="I2022" s="102">
        <v>247.07</v>
      </c>
      <c r="J2022" s="102">
        <v>303.9</v>
      </c>
      <c r="K2022" s="101" t="s">
        <v>2941</v>
      </c>
      <c r="L2022" s="102">
        <v>23.0</v>
      </c>
      <c r="M2022" s="13"/>
    </row>
    <row r="2023">
      <c r="A2023" s="101" t="s">
        <v>4633</v>
      </c>
      <c r="B2023" s="101" t="s">
        <v>4634</v>
      </c>
      <c r="D2023" s="13"/>
      <c r="E2023" s="13"/>
      <c r="F2023" s="13"/>
      <c r="G2023" s="102">
        <v>2.0</v>
      </c>
      <c r="H2023" s="101" t="s">
        <v>2942</v>
      </c>
      <c r="I2023" s="102">
        <v>197.7</v>
      </c>
      <c r="J2023" s="102">
        <v>243.17</v>
      </c>
      <c r="K2023" s="101" t="s">
        <v>2941</v>
      </c>
      <c r="L2023" s="102">
        <v>23.0</v>
      </c>
      <c r="M2023" s="13"/>
    </row>
    <row r="2024">
      <c r="A2024" s="101" t="s">
        <v>4635</v>
      </c>
      <c r="B2024" s="101" t="s">
        <v>4636</v>
      </c>
      <c r="E2024" s="13"/>
      <c r="F2024" s="13"/>
      <c r="G2024" s="102">
        <v>1.0</v>
      </c>
      <c r="H2024" s="101" t="s">
        <v>2940</v>
      </c>
      <c r="I2024" s="102">
        <v>364.9</v>
      </c>
      <c r="J2024" s="102">
        <v>448.83</v>
      </c>
      <c r="K2024" s="101" t="s">
        <v>2941</v>
      </c>
      <c r="L2024" s="102">
        <v>23.0</v>
      </c>
      <c r="M2024" s="13"/>
    </row>
    <row r="2025">
      <c r="A2025" s="101" t="s">
        <v>4635</v>
      </c>
      <c r="B2025" s="101" t="s">
        <v>4636</v>
      </c>
      <c r="E2025" s="13"/>
      <c r="F2025" s="13"/>
      <c r="G2025" s="102">
        <v>2.0</v>
      </c>
      <c r="H2025" s="101" t="s">
        <v>2942</v>
      </c>
      <c r="I2025" s="102">
        <v>364.9</v>
      </c>
      <c r="J2025" s="102">
        <v>448.83</v>
      </c>
      <c r="K2025" s="101" t="s">
        <v>2941</v>
      </c>
      <c r="L2025" s="102">
        <v>23.0</v>
      </c>
      <c r="M2025" s="13"/>
    </row>
    <row r="2026">
      <c r="A2026" s="101" t="s">
        <v>4637</v>
      </c>
      <c r="B2026" s="101" t="s">
        <v>4638</v>
      </c>
      <c r="D2026" s="13"/>
      <c r="E2026" s="13"/>
      <c r="F2026" s="13"/>
      <c r="G2026" s="102">
        <v>1.0</v>
      </c>
      <c r="H2026" s="101" t="s">
        <v>2940</v>
      </c>
      <c r="I2026" s="102">
        <v>369.4</v>
      </c>
      <c r="J2026" s="102">
        <v>454.36</v>
      </c>
      <c r="K2026" s="101" t="s">
        <v>2941</v>
      </c>
      <c r="L2026" s="102">
        <v>23.0</v>
      </c>
      <c r="M2026" s="13"/>
    </row>
    <row r="2027">
      <c r="A2027" s="101" t="s">
        <v>4637</v>
      </c>
      <c r="B2027" s="101" t="s">
        <v>4638</v>
      </c>
      <c r="D2027" s="13"/>
      <c r="E2027" s="13"/>
      <c r="F2027" s="13"/>
      <c r="G2027" s="102">
        <v>2.0</v>
      </c>
      <c r="H2027" s="101" t="s">
        <v>2942</v>
      </c>
      <c r="I2027" s="102">
        <v>369.4</v>
      </c>
      <c r="J2027" s="102">
        <v>454.36</v>
      </c>
      <c r="K2027" s="101" t="s">
        <v>2941</v>
      </c>
      <c r="L2027" s="102">
        <v>23.0</v>
      </c>
      <c r="M2027" s="13"/>
    </row>
    <row r="2028">
      <c r="A2028" s="101" t="s">
        <v>4639</v>
      </c>
      <c r="B2028" s="101" t="s">
        <v>4640</v>
      </c>
      <c r="D2028" s="13"/>
      <c r="E2028" s="13"/>
      <c r="F2028" s="13"/>
      <c r="G2028" s="102">
        <v>1.0</v>
      </c>
      <c r="H2028" s="101" t="s">
        <v>2940</v>
      </c>
      <c r="I2028" s="102">
        <v>370.65</v>
      </c>
      <c r="J2028" s="102">
        <v>455.9</v>
      </c>
      <c r="K2028" s="101" t="s">
        <v>2941</v>
      </c>
      <c r="L2028" s="102">
        <v>23.0</v>
      </c>
      <c r="M2028" s="13"/>
    </row>
    <row r="2029">
      <c r="A2029" s="101" t="s">
        <v>4639</v>
      </c>
      <c r="B2029" s="101" t="s">
        <v>4640</v>
      </c>
      <c r="D2029" s="13"/>
      <c r="E2029" s="13"/>
      <c r="F2029" s="13"/>
      <c r="G2029" s="102">
        <v>2.0</v>
      </c>
      <c r="H2029" s="101" t="s">
        <v>2942</v>
      </c>
      <c r="I2029" s="102">
        <v>296.5</v>
      </c>
      <c r="J2029" s="102">
        <v>364.7</v>
      </c>
      <c r="K2029" s="101" t="s">
        <v>2941</v>
      </c>
      <c r="L2029" s="102">
        <v>23.0</v>
      </c>
      <c r="M2029" s="13"/>
    </row>
    <row r="2030">
      <c r="A2030" s="101" t="s">
        <v>4641</v>
      </c>
      <c r="B2030" s="101" t="s">
        <v>4642</v>
      </c>
      <c r="E2030" s="13"/>
      <c r="F2030" s="13"/>
      <c r="G2030" s="102">
        <v>1.0</v>
      </c>
      <c r="H2030" s="101" t="s">
        <v>2940</v>
      </c>
      <c r="I2030" s="102">
        <v>554.1</v>
      </c>
      <c r="J2030" s="102">
        <v>681.54</v>
      </c>
      <c r="K2030" s="101" t="s">
        <v>2941</v>
      </c>
      <c r="L2030" s="102">
        <v>23.0</v>
      </c>
      <c r="M2030" s="13"/>
    </row>
    <row r="2031">
      <c r="A2031" s="101" t="s">
        <v>4641</v>
      </c>
      <c r="B2031" s="101" t="s">
        <v>4642</v>
      </c>
      <c r="E2031" s="13"/>
      <c r="F2031" s="13"/>
      <c r="G2031" s="102">
        <v>2.0</v>
      </c>
      <c r="H2031" s="101" t="s">
        <v>2942</v>
      </c>
      <c r="I2031" s="102">
        <v>554.1</v>
      </c>
      <c r="J2031" s="102">
        <v>681.54</v>
      </c>
      <c r="K2031" s="101" t="s">
        <v>2941</v>
      </c>
      <c r="L2031" s="102">
        <v>23.0</v>
      </c>
      <c r="M2031" s="13"/>
    </row>
    <row r="2032">
      <c r="A2032" s="101" t="s">
        <v>4643</v>
      </c>
      <c r="B2032" s="101" t="s">
        <v>4644</v>
      </c>
      <c r="D2032" s="13"/>
      <c r="E2032" s="13"/>
      <c r="F2032" s="13"/>
      <c r="G2032" s="102">
        <v>1.0</v>
      </c>
      <c r="H2032" s="101" t="s">
        <v>2940</v>
      </c>
      <c r="I2032" s="102">
        <v>129.43</v>
      </c>
      <c r="J2032" s="102">
        <v>159.2</v>
      </c>
      <c r="K2032" s="101" t="s">
        <v>2941</v>
      </c>
      <c r="L2032" s="102">
        <v>23.0</v>
      </c>
      <c r="M2032" s="13"/>
    </row>
    <row r="2033">
      <c r="A2033" s="101" t="s">
        <v>4643</v>
      </c>
      <c r="B2033" s="101" t="s">
        <v>4644</v>
      </c>
      <c r="D2033" s="13"/>
      <c r="E2033" s="13"/>
      <c r="F2033" s="13"/>
      <c r="G2033" s="102">
        <v>2.0</v>
      </c>
      <c r="H2033" s="101" t="s">
        <v>2942</v>
      </c>
      <c r="I2033" s="102">
        <v>103.5</v>
      </c>
      <c r="J2033" s="102">
        <v>127.31</v>
      </c>
      <c r="K2033" s="101" t="s">
        <v>2941</v>
      </c>
      <c r="L2033" s="102">
        <v>23.0</v>
      </c>
      <c r="M2033" s="13"/>
    </row>
    <row r="2034">
      <c r="A2034" s="101" t="s">
        <v>4645</v>
      </c>
      <c r="B2034" s="101" t="s">
        <v>4646</v>
      </c>
      <c r="D2034" s="13"/>
      <c r="E2034" s="13"/>
      <c r="F2034" s="13"/>
      <c r="G2034" s="102">
        <v>1.0</v>
      </c>
      <c r="H2034" s="101" t="s">
        <v>2940</v>
      </c>
      <c r="I2034" s="102">
        <v>189.7</v>
      </c>
      <c r="J2034" s="102">
        <v>233.33</v>
      </c>
      <c r="K2034" s="101" t="s">
        <v>2941</v>
      </c>
      <c r="L2034" s="102">
        <v>23.0</v>
      </c>
      <c r="M2034" s="13"/>
    </row>
    <row r="2035">
      <c r="A2035" s="101" t="s">
        <v>4645</v>
      </c>
      <c r="B2035" s="101" t="s">
        <v>4646</v>
      </c>
      <c r="D2035" s="13"/>
      <c r="E2035" s="13"/>
      <c r="F2035" s="13"/>
      <c r="G2035" s="102">
        <v>2.0</v>
      </c>
      <c r="H2035" s="101" t="s">
        <v>2942</v>
      </c>
      <c r="I2035" s="102">
        <v>189.7</v>
      </c>
      <c r="J2035" s="102">
        <v>233.33</v>
      </c>
      <c r="K2035" s="101" t="s">
        <v>2941</v>
      </c>
      <c r="L2035" s="102">
        <v>23.0</v>
      </c>
      <c r="M2035" s="13"/>
    </row>
    <row r="2036">
      <c r="A2036" s="101" t="s">
        <v>4647</v>
      </c>
      <c r="B2036" s="101" t="s">
        <v>4648</v>
      </c>
      <c r="D2036" s="13"/>
      <c r="E2036" s="13"/>
      <c r="F2036" s="13"/>
      <c r="G2036" s="102">
        <v>1.0</v>
      </c>
      <c r="H2036" s="101" t="s">
        <v>2940</v>
      </c>
      <c r="I2036" s="102">
        <v>191.95</v>
      </c>
      <c r="J2036" s="102">
        <v>236.1</v>
      </c>
      <c r="K2036" s="101" t="s">
        <v>2941</v>
      </c>
      <c r="L2036" s="102">
        <v>23.0</v>
      </c>
      <c r="M2036" s="13"/>
    </row>
    <row r="2037">
      <c r="A2037" s="101" t="s">
        <v>4647</v>
      </c>
      <c r="B2037" s="101" t="s">
        <v>4648</v>
      </c>
      <c r="D2037" s="13"/>
      <c r="E2037" s="13"/>
      <c r="F2037" s="13"/>
      <c r="G2037" s="102">
        <v>2.0</v>
      </c>
      <c r="H2037" s="101" t="s">
        <v>2942</v>
      </c>
      <c r="I2037" s="102">
        <v>191.95</v>
      </c>
      <c r="J2037" s="102">
        <v>236.1</v>
      </c>
      <c r="K2037" s="101" t="s">
        <v>2941</v>
      </c>
      <c r="L2037" s="102">
        <v>23.0</v>
      </c>
      <c r="M2037" s="13"/>
    </row>
    <row r="2038">
      <c r="A2038" s="101" t="s">
        <v>4649</v>
      </c>
      <c r="B2038" s="101" t="s">
        <v>4650</v>
      </c>
      <c r="D2038" s="13"/>
      <c r="E2038" s="13"/>
      <c r="F2038" s="13"/>
      <c r="G2038" s="102">
        <v>1.0</v>
      </c>
      <c r="H2038" s="101" t="s">
        <v>2940</v>
      </c>
      <c r="I2038" s="102">
        <v>245.93</v>
      </c>
      <c r="J2038" s="102">
        <v>302.49</v>
      </c>
      <c r="K2038" s="101" t="s">
        <v>2941</v>
      </c>
      <c r="L2038" s="102">
        <v>23.0</v>
      </c>
      <c r="M2038" s="13"/>
    </row>
    <row r="2039">
      <c r="A2039" s="101" t="s">
        <v>4649</v>
      </c>
      <c r="B2039" s="101" t="s">
        <v>4650</v>
      </c>
      <c r="D2039" s="13"/>
      <c r="E2039" s="13"/>
      <c r="F2039" s="13"/>
      <c r="G2039" s="102">
        <v>2.0</v>
      </c>
      <c r="H2039" s="101" t="s">
        <v>2942</v>
      </c>
      <c r="I2039" s="102">
        <v>196.7</v>
      </c>
      <c r="J2039" s="102">
        <v>241.94</v>
      </c>
      <c r="K2039" s="101" t="s">
        <v>2941</v>
      </c>
      <c r="L2039" s="102">
        <v>23.0</v>
      </c>
      <c r="M2039" s="13"/>
    </row>
    <row r="2040">
      <c r="A2040" s="101" t="s">
        <v>4651</v>
      </c>
      <c r="B2040" s="101" t="s">
        <v>4652</v>
      </c>
      <c r="D2040" s="13"/>
      <c r="E2040" s="13"/>
      <c r="F2040" s="13"/>
      <c r="G2040" s="102">
        <v>1.0</v>
      </c>
      <c r="H2040" s="101" t="s">
        <v>2940</v>
      </c>
      <c r="I2040" s="102">
        <v>379.4</v>
      </c>
      <c r="J2040" s="102">
        <v>466.66</v>
      </c>
      <c r="K2040" s="101" t="s">
        <v>2941</v>
      </c>
      <c r="L2040" s="102">
        <v>23.0</v>
      </c>
      <c r="M2040" s="13"/>
    </row>
    <row r="2041">
      <c r="A2041" s="101" t="s">
        <v>4651</v>
      </c>
      <c r="B2041" s="101" t="s">
        <v>4652</v>
      </c>
      <c r="D2041" s="13"/>
      <c r="E2041" s="13"/>
      <c r="F2041" s="13"/>
      <c r="G2041" s="102">
        <v>2.0</v>
      </c>
      <c r="H2041" s="101" t="s">
        <v>2942</v>
      </c>
      <c r="I2041" s="102">
        <v>379.4</v>
      </c>
      <c r="J2041" s="102">
        <v>466.66</v>
      </c>
      <c r="K2041" s="101" t="s">
        <v>2941</v>
      </c>
      <c r="L2041" s="102">
        <v>23.0</v>
      </c>
      <c r="M2041" s="13"/>
    </row>
    <row r="2042">
      <c r="A2042" s="101" t="s">
        <v>4653</v>
      </c>
      <c r="B2042" s="101" t="s">
        <v>4654</v>
      </c>
      <c r="D2042" s="13"/>
      <c r="E2042" s="13"/>
      <c r="F2042" s="13"/>
      <c r="G2042" s="102">
        <v>1.0</v>
      </c>
      <c r="H2042" s="101" t="s">
        <v>2940</v>
      </c>
      <c r="I2042" s="102">
        <v>383.9</v>
      </c>
      <c r="J2042" s="102">
        <v>472.2</v>
      </c>
      <c r="K2042" s="101" t="s">
        <v>2941</v>
      </c>
      <c r="L2042" s="102">
        <v>23.0</v>
      </c>
      <c r="M2042" s="13"/>
    </row>
    <row r="2043">
      <c r="A2043" s="101" t="s">
        <v>4653</v>
      </c>
      <c r="B2043" s="101" t="s">
        <v>4654</v>
      </c>
      <c r="D2043" s="13"/>
      <c r="E2043" s="13"/>
      <c r="F2043" s="13"/>
      <c r="G2043" s="102">
        <v>2.0</v>
      </c>
      <c r="H2043" s="101" t="s">
        <v>2942</v>
      </c>
      <c r="I2043" s="102">
        <v>383.9</v>
      </c>
      <c r="J2043" s="102">
        <v>472.2</v>
      </c>
      <c r="K2043" s="101" t="s">
        <v>2941</v>
      </c>
      <c r="L2043" s="102">
        <v>23.0</v>
      </c>
      <c r="M2043" s="13"/>
    </row>
    <row r="2044">
      <c r="A2044" s="101" t="s">
        <v>4655</v>
      </c>
      <c r="B2044" s="101" t="s">
        <v>4656</v>
      </c>
      <c r="D2044" s="13"/>
      <c r="E2044" s="13"/>
      <c r="F2044" s="13"/>
      <c r="G2044" s="102">
        <v>1.0</v>
      </c>
      <c r="H2044" s="101" t="s">
        <v>2940</v>
      </c>
      <c r="I2044" s="102">
        <v>368.94</v>
      </c>
      <c r="J2044" s="102">
        <v>453.8</v>
      </c>
      <c r="K2044" s="101" t="s">
        <v>2941</v>
      </c>
      <c r="L2044" s="102">
        <v>23.0</v>
      </c>
      <c r="M2044" s="13"/>
    </row>
    <row r="2045">
      <c r="A2045" s="101" t="s">
        <v>4655</v>
      </c>
      <c r="B2045" s="101" t="s">
        <v>4656</v>
      </c>
      <c r="D2045" s="13"/>
      <c r="E2045" s="13"/>
      <c r="F2045" s="13"/>
      <c r="G2045" s="102">
        <v>2.0</v>
      </c>
      <c r="H2045" s="101" t="s">
        <v>2942</v>
      </c>
      <c r="I2045" s="102">
        <v>295.2</v>
      </c>
      <c r="J2045" s="102">
        <v>363.1</v>
      </c>
      <c r="K2045" s="101" t="s">
        <v>2941</v>
      </c>
      <c r="L2045" s="102">
        <v>23.0</v>
      </c>
      <c r="M2045" s="13"/>
    </row>
    <row r="2046">
      <c r="A2046" s="101" t="s">
        <v>4657</v>
      </c>
      <c r="B2046" s="101" t="s">
        <v>4658</v>
      </c>
      <c r="D2046" s="13"/>
      <c r="E2046" s="13"/>
      <c r="F2046" s="13"/>
      <c r="G2046" s="102">
        <v>1.0</v>
      </c>
      <c r="H2046" s="101" t="s">
        <v>2940</v>
      </c>
      <c r="I2046" s="102">
        <v>569.1</v>
      </c>
      <c r="J2046" s="102">
        <v>699.99</v>
      </c>
      <c r="K2046" s="101" t="s">
        <v>2941</v>
      </c>
      <c r="L2046" s="102">
        <v>23.0</v>
      </c>
      <c r="M2046" s="13"/>
    </row>
    <row r="2047">
      <c r="A2047" s="101" t="s">
        <v>4657</v>
      </c>
      <c r="B2047" s="101" t="s">
        <v>4658</v>
      </c>
      <c r="D2047" s="13"/>
      <c r="E2047" s="13"/>
      <c r="F2047" s="13"/>
      <c r="G2047" s="102">
        <v>2.0</v>
      </c>
      <c r="H2047" s="101" t="s">
        <v>2942</v>
      </c>
      <c r="I2047" s="102">
        <v>569.1</v>
      </c>
      <c r="J2047" s="102">
        <v>699.99</v>
      </c>
      <c r="K2047" s="101" t="s">
        <v>2941</v>
      </c>
      <c r="L2047" s="102">
        <v>23.0</v>
      </c>
      <c r="M2047" s="13"/>
    </row>
    <row r="2048">
      <c r="A2048" s="101" t="s">
        <v>4659</v>
      </c>
      <c r="B2048" s="101" t="s">
        <v>4660</v>
      </c>
      <c r="D2048" s="13"/>
      <c r="E2048" s="13"/>
      <c r="F2048" s="13"/>
      <c r="G2048" s="102">
        <v>1.0</v>
      </c>
      <c r="H2048" s="101" t="s">
        <v>2940</v>
      </c>
      <c r="I2048" s="102">
        <v>575.85</v>
      </c>
      <c r="J2048" s="102">
        <v>708.3</v>
      </c>
      <c r="K2048" s="101" t="s">
        <v>2941</v>
      </c>
      <c r="L2048" s="102">
        <v>23.0</v>
      </c>
      <c r="M2048" s="13"/>
    </row>
    <row r="2049">
      <c r="A2049" s="101" t="s">
        <v>4659</v>
      </c>
      <c r="B2049" s="101" t="s">
        <v>4660</v>
      </c>
      <c r="D2049" s="13"/>
      <c r="E2049" s="13"/>
      <c r="F2049" s="13"/>
      <c r="G2049" s="102">
        <v>2.0</v>
      </c>
      <c r="H2049" s="101" t="s">
        <v>2942</v>
      </c>
      <c r="I2049" s="102">
        <v>575.85</v>
      </c>
      <c r="J2049" s="102">
        <v>708.3</v>
      </c>
      <c r="K2049" s="101" t="s">
        <v>2941</v>
      </c>
      <c r="L2049" s="102">
        <v>23.0</v>
      </c>
      <c r="M2049" s="13"/>
    </row>
    <row r="2050">
      <c r="A2050" s="101" t="s">
        <v>4661</v>
      </c>
      <c r="B2050" s="101" t="s">
        <v>4662</v>
      </c>
      <c r="D2050" s="13"/>
      <c r="E2050" s="13"/>
      <c r="F2050" s="13"/>
      <c r="G2050" s="102">
        <v>1.0</v>
      </c>
      <c r="H2050" s="101" t="s">
        <v>2940</v>
      </c>
      <c r="I2050" s="102">
        <v>16.26</v>
      </c>
      <c r="J2050" s="102">
        <v>20.0</v>
      </c>
      <c r="K2050" s="101" t="s">
        <v>2941</v>
      </c>
      <c r="L2050" s="102">
        <v>23.0</v>
      </c>
      <c r="M2050" s="13"/>
    </row>
    <row r="2051">
      <c r="A2051" s="101" t="s">
        <v>4661</v>
      </c>
      <c r="B2051" s="101" t="s">
        <v>4662</v>
      </c>
      <c r="D2051" s="13"/>
      <c r="E2051" s="13"/>
      <c r="F2051" s="13"/>
      <c r="G2051" s="102">
        <v>2.0</v>
      </c>
      <c r="H2051" s="101" t="s">
        <v>2942</v>
      </c>
      <c r="I2051" s="102">
        <v>13.0</v>
      </c>
      <c r="J2051" s="102">
        <v>15.99</v>
      </c>
      <c r="K2051" s="101" t="s">
        <v>2941</v>
      </c>
      <c r="L2051" s="102">
        <v>23.0</v>
      </c>
      <c r="M2051" s="13"/>
    </row>
    <row r="2052">
      <c r="A2052" s="101" t="s">
        <v>4663</v>
      </c>
      <c r="B2052" s="101">
        <v>1476.0</v>
      </c>
      <c r="C2052" s="13"/>
      <c r="D2052" s="13"/>
      <c r="E2052" s="13"/>
      <c r="F2052" s="13"/>
      <c r="G2052" s="102">
        <v>1.0</v>
      </c>
      <c r="H2052" s="101" t="s">
        <v>2940</v>
      </c>
      <c r="I2052" s="102">
        <v>23.9</v>
      </c>
      <c r="J2052" s="102">
        <v>29.4</v>
      </c>
      <c r="K2052" s="101" t="s">
        <v>2941</v>
      </c>
      <c r="L2052" s="102">
        <v>23.0</v>
      </c>
      <c r="M2052" s="13"/>
    </row>
    <row r="2053">
      <c r="A2053" s="101" t="s">
        <v>4663</v>
      </c>
      <c r="B2053" s="101">
        <v>1476.0</v>
      </c>
      <c r="C2053" s="13"/>
      <c r="D2053" s="13"/>
      <c r="E2053" s="13"/>
      <c r="F2053" s="13"/>
      <c r="G2053" s="102">
        <v>2.0</v>
      </c>
      <c r="H2053" s="101" t="s">
        <v>2942</v>
      </c>
      <c r="I2053" s="102">
        <v>23.9</v>
      </c>
      <c r="J2053" s="102">
        <v>29.4</v>
      </c>
      <c r="K2053" s="101" t="s">
        <v>2941</v>
      </c>
      <c r="L2053" s="102">
        <v>23.0</v>
      </c>
      <c r="M2053" s="13"/>
    </row>
    <row r="2054">
      <c r="A2054" s="101" t="s">
        <v>4664</v>
      </c>
      <c r="B2054" s="101" t="s">
        <v>4665</v>
      </c>
      <c r="D2054" s="13"/>
      <c r="E2054" s="13"/>
      <c r="F2054" s="13"/>
      <c r="G2054" s="102">
        <v>1.0</v>
      </c>
      <c r="H2054" s="101" t="s">
        <v>2940</v>
      </c>
      <c r="I2054" s="102">
        <v>32.6</v>
      </c>
      <c r="J2054" s="102">
        <v>40.1</v>
      </c>
      <c r="K2054" s="101" t="s">
        <v>2941</v>
      </c>
      <c r="L2054" s="102">
        <v>23.0</v>
      </c>
      <c r="M2054" s="13"/>
    </row>
    <row r="2055">
      <c r="A2055" s="101" t="s">
        <v>4664</v>
      </c>
      <c r="B2055" s="101" t="s">
        <v>4665</v>
      </c>
      <c r="D2055" s="13"/>
      <c r="E2055" s="13"/>
      <c r="F2055" s="13"/>
      <c r="G2055" s="102">
        <v>2.0</v>
      </c>
      <c r="H2055" s="101" t="s">
        <v>2942</v>
      </c>
      <c r="I2055" s="102">
        <v>26.1</v>
      </c>
      <c r="J2055" s="102">
        <v>32.1</v>
      </c>
      <c r="K2055" s="101" t="s">
        <v>2941</v>
      </c>
      <c r="L2055" s="102">
        <v>23.0</v>
      </c>
      <c r="M2055" s="13"/>
    </row>
    <row r="2056">
      <c r="A2056" s="101" t="s">
        <v>4666</v>
      </c>
      <c r="B2056" s="101" t="s">
        <v>4667</v>
      </c>
      <c r="D2056" s="13"/>
      <c r="E2056" s="13"/>
      <c r="F2056" s="13"/>
      <c r="G2056" s="102">
        <v>1.0</v>
      </c>
      <c r="H2056" s="101" t="s">
        <v>2940</v>
      </c>
      <c r="I2056" s="102">
        <v>55.28</v>
      </c>
      <c r="J2056" s="102">
        <v>67.99</v>
      </c>
      <c r="K2056" s="101" t="s">
        <v>2941</v>
      </c>
      <c r="L2056" s="102">
        <v>23.0</v>
      </c>
      <c r="M2056" s="13"/>
    </row>
    <row r="2057">
      <c r="A2057" s="101" t="s">
        <v>4666</v>
      </c>
      <c r="B2057" s="101" t="s">
        <v>4667</v>
      </c>
      <c r="D2057" s="13"/>
      <c r="E2057" s="13"/>
      <c r="F2057" s="13"/>
      <c r="G2057" s="102">
        <v>2.0</v>
      </c>
      <c r="H2057" s="101" t="s">
        <v>2942</v>
      </c>
      <c r="I2057" s="102">
        <v>44.2</v>
      </c>
      <c r="J2057" s="102">
        <v>54.37</v>
      </c>
      <c r="K2057" s="101" t="s">
        <v>2941</v>
      </c>
      <c r="L2057" s="102">
        <v>23.0</v>
      </c>
      <c r="M2057" s="13"/>
    </row>
    <row r="2058">
      <c r="A2058" s="101" t="s">
        <v>4668</v>
      </c>
      <c r="B2058" s="101">
        <v>1477.0</v>
      </c>
      <c r="C2058" s="13"/>
      <c r="D2058" s="13"/>
      <c r="E2058" s="13"/>
      <c r="F2058" s="13"/>
      <c r="G2058" s="102">
        <v>1.0</v>
      </c>
      <c r="H2058" s="101" t="s">
        <v>2940</v>
      </c>
      <c r="I2058" s="102">
        <v>43.01</v>
      </c>
      <c r="J2058" s="102">
        <v>52.9</v>
      </c>
      <c r="K2058" s="101" t="s">
        <v>2941</v>
      </c>
      <c r="L2058" s="102">
        <v>23.0</v>
      </c>
      <c r="M2058" s="13"/>
    </row>
    <row r="2059">
      <c r="A2059" s="101" t="s">
        <v>4668</v>
      </c>
      <c r="B2059" s="101">
        <v>1477.0</v>
      </c>
      <c r="C2059" s="13"/>
      <c r="D2059" s="13"/>
      <c r="E2059" s="13"/>
      <c r="F2059" s="13"/>
      <c r="G2059" s="102">
        <v>2.0</v>
      </c>
      <c r="H2059" s="101" t="s">
        <v>2942</v>
      </c>
      <c r="I2059" s="102">
        <v>34.4</v>
      </c>
      <c r="J2059" s="102">
        <v>42.31</v>
      </c>
      <c r="K2059" s="101" t="s">
        <v>2941</v>
      </c>
      <c r="L2059" s="102">
        <v>23.0</v>
      </c>
      <c r="M2059" s="13"/>
    </row>
    <row r="2060">
      <c r="A2060" s="101" t="s">
        <v>4669</v>
      </c>
      <c r="B2060" s="101" t="s">
        <v>4670</v>
      </c>
      <c r="D2060" s="13"/>
      <c r="E2060" s="13"/>
      <c r="F2060" s="13"/>
      <c r="G2060" s="102">
        <v>1.0</v>
      </c>
      <c r="H2060" s="101" t="s">
        <v>2940</v>
      </c>
      <c r="I2060" s="102">
        <v>48.94</v>
      </c>
      <c r="J2060" s="102">
        <v>60.2</v>
      </c>
      <c r="K2060" s="101" t="s">
        <v>2941</v>
      </c>
      <c r="L2060" s="102">
        <v>23.0</v>
      </c>
      <c r="M2060" s="13"/>
    </row>
    <row r="2061">
      <c r="A2061" s="101" t="s">
        <v>4669</v>
      </c>
      <c r="B2061" s="101" t="s">
        <v>4670</v>
      </c>
      <c r="D2061" s="13"/>
      <c r="E2061" s="13"/>
      <c r="F2061" s="13"/>
      <c r="G2061" s="102">
        <v>2.0</v>
      </c>
      <c r="H2061" s="101" t="s">
        <v>2942</v>
      </c>
      <c r="I2061" s="102">
        <v>39.2</v>
      </c>
      <c r="J2061" s="102">
        <v>48.22</v>
      </c>
      <c r="K2061" s="101" t="s">
        <v>2941</v>
      </c>
      <c r="L2061" s="102">
        <v>23.0</v>
      </c>
      <c r="M2061" s="13"/>
    </row>
    <row r="2062">
      <c r="A2062" s="101" t="s">
        <v>4671</v>
      </c>
      <c r="B2062" s="101">
        <v>1478.0</v>
      </c>
      <c r="C2062" s="13"/>
      <c r="D2062" s="13"/>
      <c r="E2062" s="13"/>
      <c r="F2062" s="13"/>
      <c r="G2062" s="102">
        <v>1.0</v>
      </c>
      <c r="H2062" s="101" t="s">
        <v>2940</v>
      </c>
      <c r="I2062" s="102">
        <v>64.55</v>
      </c>
      <c r="J2062" s="102">
        <v>79.4</v>
      </c>
      <c r="K2062" s="101" t="s">
        <v>2941</v>
      </c>
      <c r="L2062" s="102">
        <v>23.0</v>
      </c>
      <c r="M2062" s="13"/>
    </row>
    <row r="2063">
      <c r="A2063" s="101" t="s">
        <v>4671</v>
      </c>
      <c r="B2063" s="101">
        <v>1478.0</v>
      </c>
      <c r="C2063" s="13"/>
      <c r="D2063" s="13"/>
      <c r="E2063" s="13"/>
      <c r="F2063" s="13"/>
      <c r="G2063" s="102">
        <v>2.0</v>
      </c>
      <c r="H2063" s="101" t="s">
        <v>2942</v>
      </c>
      <c r="I2063" s="102">
        <v>51.6</v>
      </c>
      <c r="J2063" s="102">
        <v>63.47</v>
      </c>
      <c r="K2063" s="101" t="s">
        <v>2941</v>
      </c>
      <c r="L2063" s="102">
        <v>23.0</v>
      </c>
      <c r="M2063" s="13"/>
    </row>
    <row r="2064">
      <c r="A2064" s="101" t="s">
        <v>4672</v>
      </c>
      <c r="B2064" s="101" t="s">
        <v>4673</v>
      </c>
      <c r="D2064" s="13"/>
      <c r="E2064" s="13"/>
      <c r="F2064" s="13"/>
      <c r="G2064" s="102">
        <v>1.0</v>
      </c>
      <c r="H2064" s="101" t="s">
        <v>2940</v>
      </c>
      <c r="I2064" s="102">
        <v>53.82</v>
      </c>
      <c r="J2064" s="102">
        <v>66.2</v>
      </c>
      <c r="K2064" s="101" t="s">
        <v>2941</v>
      </c>
      <c r="L2064" s="102">
        <v>23.0</v>
      </c>
      <c r="M2064" s="13"/>
    </row>
    <row r="2065">
      <c r="A2065" s="101" t="s">
        <v>4672</v>
      </c>
      <c r="B2065" s="101" t="s">
        <v>4673</v>
      </c>
      <c r="D2065" s="13"/>
      <c r="E2065" s="13"/>
      <c r="F2065" s="13"/>
      <c r="G2065" s="102">
        <v>2.0</v>
      </c>
      <c r="H2065" s="101" t="s">
        <v>2942</v>
      </c>
      <c r="I2065" s="102">
        <v>43.1</v>
      </c>
      <c r="J2065" s="102">
        <v>53.01</v>
      </c>
      <c r="K2065" s="101" t="s">
        <v>2941</v>
      </c>
      <c r="L2065" s="102">
        <v>23.0</v>
      </c>
      <c r="M2065" s="13"/>
    </row>
    <row r="2066">
      <c r="A2066" s="101" t="s">
        <v>4674</v>
      </c>
      <c r="B2066" s="101" t="s">
        <v>4675</v>
      </c>
      <c r="D2066" s="13"/>
      <c r="E2066" s="13"/>
      <c r="F2066" s="13"/>
      <c r="G2066" s="102">
        <v>1.0</v>
      </c>
      <c r="H2066" s="101" t="s">
        <v>2940</v>
      </c>
      <c r="I2066" s="102">
        <v>107.64</v>
      </c>
      <c r="J2066" s="102">
        <v>132.4</v>
      </c>
      <c r="K2066" s="101" t="s">
        <v>2941</v>
      </c>
      <c r="L2066" s="102">
        <v>23.0</v>
      </c>
      <c r="M2066" s="13"/>
    </row>
    <row r="2067">
      <c r="A2067" s="101" t="s">
        <v>4674</v>
      </c>
      <c r="B2067" s="101" t="s">
        <v>4675</v>
      </c>
      <c r="D2067" s="13"/>
      <c r="E2067" s="13"/>
      <c r="F2067" s="13"/>
      <c r="G2067" s="102">
        <v>2.0</v>
      </c>
      <c r="H2067" s="101" t="s">
        <v>2942</v>
      </c>
      <c r="I2067" s="102">
        <v>86.1</v>
      </c>
      <c r="J2067" s="102">
        <v>105.9</v>
      </c>
      <c r="K2067" s="101" t="s">
        <v>2941</v>
      </c>
      <c r="L2067" s="102">
        <v>23.0</v>
      </c>
      <c r="M2067" s="13"/>
    </row>
    <row r="2068">
      <c r="A2068" s="101" t="s">
        <v>4676</v>
      </c>
      <c r="B2068" s="101" t="s">
        <v>4677</v>
      </c>
      <c r="D2068" s="13"/>
      <c r="E2068" s="13"/>
      <c r="F2068" s="13"/>
      <c r="G2068" s="102">
        <v>1.0</v>
      </c>
      <c r="H2068" s="101" t="s">
        <v>2940</v>
      </c>
      <c r="I2068" s="102">
        <v>161.46</v>
      </c>
      <c r="J2068" s="102">
        <v>198.6</v>
      </c>
      <c r="K2068" s="101" t="s">
        <v>2941</v>
      </c>
      <c r="L2068" s="102">
        <v>23.0</v>
      </c>
      <c r="M2068" s="13"/>
    </row>
    <row r="2069">
      <c r="A2069" s="101" t="s">
        <v>4676</v>
      </c>
      <c r="B2069" s="101" t="s">
        <v>4677</v>
      </c>
      <c r="D2069" s="13"/>
      <c r="E2069" s="13"/>
      <c r="F2069" s="13"/>
      <c r="G2069" s="102">
        <v>2.0</v>
      </c>
      <c r="H2069" s="101" t="s">
        <v>2942</v>
      </c>
      <c r="I2069" s="102">
        <v>129.2</v>
      </c>
      <c r="J2069" s="102">
        <v>158.92</v>
      </c>
      <c r="K2069" s="101" t="s">
        <v>2941</v>
      </c>
      <c r="L2069" s="102">
        <v>23.0</v>
      </c>
      <c r="M2069" s="13"/>
    </row>
    <row r="2070">
      <c r="A2070" s="101" t="s">
        <v>4678</v>
      </c>
      <c r="B2070" s="101" t="s">
        <v>4679</v>
      </c>
      <c r="D2070" s="13"/>
      <c r="E2070" s="13"/>
      <c r="F2070" s="13"/>
      <c r="G2070" s="102">
        <v>1.0</v>
      </c>
      <c r="H2070" s="101" t="s">
        <v>2940</v>
      </c>
      <c r="I2070" s="102">
        <v>126.02</v>
      </c>
      <c r="J2070" s="102">
        <v>155.0</v>
      </c>
      <c r="K2070" s="101" t="s">
        <v>2941</v>
      </c>
      <c r="L2070" s="102">
        <v>23.0</v>
      </c>
      <c r="M2070" s="13"/>
    </row>
    <row r="2071">
      <c r="A2071" s="101" t="s">
        <v>4678</v>
      </c>
      <c r="B2071" s="101" t="s">
        <v>4679</v>
      </c>
      <c r="D2071" s="13"/>
      <c r="E2071" s="13"/>
      <c r="F2071" s="13"/>
      <c r="G2071" s="102">
        <v>2.0</v>
      </c>
      <c r="H2071" s="101" t="s">
        <v>2942</v>
      </c>
      <c r="I2071" s="102">
        <v>100.8</v>
      </c>
      <c r="J2071" s="102">
        <v>123.98</v>
      </c>
      <c r="K2071" s="101" t="s">
        <v>2941</v>
      </c>
      <c r="L2071" s="102">
        <v>23.0</v>
      </c>
      <c r="M2071" s="13"/>
    </row>
    <row r="2072">
      <c r="A2072" s="101" t="s">
        <v>4680</v>
      </c>
      <c r="B2072" s="101" t="s">
        <v>4681</v>
      </c>
      <c r="D2072" s="13"/>
      <c r="E2072" s="13"/>
      <c r="F2072" s="13"/>
      <c r="G2072" s="102">
        <v>1.0</v>
      </c>
      <c r="H2072" s="101" t="s">
        <v>2940</v>
      </c>
      <c r="I2072" s="102">
        <v>132.68</v>
      </c>
      <c r="J2072" s="102">
        <v>163.2</v>
      </c>
      <c r="K2072" s="101" t="s">
        <v>2941</v>
      </c>
      <c r="L2072" s="102">
        <v>23.0</v>
      </c>
      <c r="M2072" s="13"/>
    </row>
    <row r="2073">
      <c r="A2073" s="101" t="s">
        <v>4680</v>
      </c>
      <c r="B2073" s="101" t="s">
        <v>4681</v>
      </c>
      <c r="D2073" s="13"/>
      <c r="E2073" s="13"/>
      <c r="F2073" s="13"/>
      <c r="G2073" s="102">
        <v>2.0</v>
      </c>
      <c r="H2073" s="101" t="s">
        <v>2942</v>
      </c>
      <c r="I2073" s="102">
        <v>106.1</v>
      </c>
      <c r="J2073" s="102">
        <v>130.5</v>
      </c>
      <c r="K2073" s="101" t="s">
        <v>2941</v>
      </c>
      <c r="L2073" s="102">
        <v>23.0</v>
      </c>
      <c r="M2073" s="13"/>
    </row>
    <row r="2074">
      <c r="A2074" s="101" t="s">
        <v>4682</v>
      </c>
      <c r="B2074" s="101" t="s">
        <v>4683</v>
      </c>
      <c r="D2074" s="13"/>
      <c r="E2074" s="13"/>
      <c r="F2074" s="13"/>
      <c r="G2074" s="102">
        <v>1.0</v>
      </c>
      <c r="H2074" s="101" t="s">
        <v>2940</v>
      </c>
      <c r="I2074" s="102">
        <v>251.87</v>
      </c>
      <c r="J2074" s="102">
        <v>309.8</v>
      </c>
      <c r="K2074" s="101" t="s">
        <v>2941</v>
      </c>
      <c r="L2074" s="102">
        <v>23.0</v>
      </c>
      <c r="M2074" s="13"/>
    </row>
    <row r="2075">
      <c r="A2075" s="101" t="s">
        <v>4682</v>
      </c>
      <c r="B2075" s="101" t="s">
        <v>4683</v>
      </c>
      <c r="D2075" s="13"/>
      <c r="E2075" s="13"/>
      <c r="F2075" s="13"/>
      <c r="G2075" s="102">
        <v>2.0</v>
      </c>
      <c r="H2075" s="101" t="s">
        <v>2942</v>
      </c>
      <c r="I2075" s="102">
        <v>201.5</v>
      </c>
      <c r="J2075" s="102">
        <v>247.85</v>
      </c>
      <c r="K2075" s="101" t="s">
        <v>2941</v>
      </c>
      <c r="L2075" s="102">
        <v>23.0</v>
      </c>
      <c r="M2075" s="13"/>
    </row>
    <row r="2076">
      <c r="A2076" s="101" t="s">
        <v>4684</v>
      </c>
      <c r="B2076" s="101" t="s">
        <v>4685</v>
      </c>
      <c r="D2076" s="13"/>
      <c r="E2076" s="13"/>
      <c r="F2076" s="13"/>
      <c r="G2076" s="102">
        <v>1.0</v>
      </c>
      <c r="H2076" s="101" t="s">
        <v>2940</v>
      </c>
      <c r="I2076" s="102">
        <v>265.28</v>
      </c>
      <c r="J2076" s="102">
        <v>326.29</v>
      </c>
      <c r="K2076" s="101" t="s">
        <v>2941</v>
      </c>
      <c r="L2076" s="102">
        <v>23.0</v>
      </c>
      <c r="M2076" s="13"/>
    </row>
    <row r="2077">
      <c r="A2077" s="101" t="s">
        <v>4684</v>
      </c>
      <c r="B2077" s="101" t="s">
        <v>4685</v>
      </c>
      <c r="D2077" s="13"/>
      <c r="E2077" s="13"/>
      <c r="F2077" s="13"/>
      <c r="G2077" s="102">
        <v>2.0</v>
      </c>
      <c r="H2077" s="101" t="s">
        <v>2942</v>
      </c>
      <c r="I2077" s="102">
        <v>212.2</v>
      </c>
      <c r="J2077" s="102">
        <v>261.01</v>
      </c>
      <c r="K2077" s="101" t="s">
        <v>2941</v>
      </c>
      <c r="L2077" s="102">
        <v>23.0</v>
      </c>
      <c r="M2077" s="13"/>
    </row>
    <row r="2078">
      <c r="A2078" s="101" t="s">
        <v>4686</v>
      </c>
      <c r="B2078" s="101" t="s">
        <v>4687</v>
      </c>
      <c r="D2078" s="13"/>
      <c r="E2078" s="13"/>
      <c r="F2078" s="13"/>
      <c r="G2078" s="102">
        <v>1.0</v>
      </c>
      <c r="H2078" s="101" t="s">
        <v>2940</v>
      </c>
      <c r="I2078" s="102">
        <v>377.89</v>
      </c>
      <c r="J2078" s="102">
        <v>464.8</v>
      </c>
      <c r="K2078" s="101" t="s">
        <v>2941</v>
      </c>
      <c r="L2078" s="102">
        <v>23.0</v>
      </c>
      <c r="M2078" s="13"/>
    </row>
    <row r="2079">
      <c r="A2079" s="101" t="s">
        <v>4686</v>
      </c>
      <c r="B2079" s="101" t="s">
        <v>4687</v>
      </c>
      <c r="D2079" s="13"/>
      <c r="E2079" s="13"/>
      <c r="F2079" s="13"/>
      <c r="G2079" s="102">
        <v>2.0</v>
      </c>
      <c r="H2079" s="101" t="s">
        <v>2942</v>
      </c>
      <c r="I2079" s="102">
        <v>302.3</v>
      </c>
      <c r="J2079" s="102">
        <v>371.83</v>
      </c>
      <c r="K2079" s="101" t="s">
        <v>2941</v>
      </c>
      <c r="L2079" s="102">
        <v>23.0</v>
      </c>
      <c r="M2079" s="13"/>
    </row>
    <row r="2080">
      <c r="A2080" s="101" t="s">
        <v>4688</v>
      </c>
      <c r="B2080" s="101" t="s">
        <v>4689</v>
      </c>
      <c r="D2080" s="13"/>
      <c r="E2080" s="13"/>
      <c r="F2080" s="13"/>
      <c r="G2080" s="102">
        <v>1.0</v>
      </c>
      <c r="H2080" s="101" t="s">
        <v>2940</v>
      </c>
      <c r="I2080" s="102">
        <v>398.05</v>
      </c>
      <c r="J2080" s="102">
        <v>489.6</v>
      </c>
      <c r="K2080" s="101" t="s">
        <v>2941</v>
      </c>
      <c r="L2080" s="102">
        <v>23.0</v>
      </c>
      <c r="M2080" s="13"/>
    </row>
    <row r="2081">
      <c r="A2081" s="101" t="s">
        <v>4688</v>
      </c>
      <c r="B2081" s="101" t="s">
        <v>4689</v>
      </c>
      <c r="D2081" s="13"/>
      <c r="E2081" s="13"/>
      <c r="F2081" s="13"/>
      <c r="G2081" s="102">
        <v>2.0</v>
      </c>
      <c r="H2081" s="101" t="s">
        <v>2942</v>
      </c>
      <c r="I2081" s="102">
        <v>318.4</v>
      </c>
      <c r="J2081" s="102">
        <v>391.63</v>
      </c>
      <c r="K2081" s="101" t="s">
        <v>2941</v>
      </c>
      <c r="L2081" s="102">
        <v>23.0</v>
      </c>
      <c r="M2081" s="13"/>
    </row>
    <row r="2082">
      <c r="A2082" s="101" t="s">
        <v>4690</v>
      </c>
      <c r="B2082" s="101" t="s">
        <v>4691</v>
      </c>
      <c r="D2082" s="13"/>
      <c r="E2082" s="13"/>
      <c r="F2082" s="13"/>
      <c r="G2082" s="102">
        <v>1.0</v>
      </c>
      <c r="H2082" s="101" t="s">
        <v>2940</v>
      </c>
      <c r="I2082" s="102">
        <v>127.72</v>
      </c>
      <c r="J2082" s="102">
        <v>157.1</v>
      </c>
      <c r="K2082" s="101" t="s">
        <v>2941</v>
      </c>
      <c r="L2082" s="102">
        <v>23.0</v>
      </c>
      <c r="M2082" s="13"/>
    </row>
    <row r="2083">
      <c r="A2083" s="101" t="s">
        <v>4690</v>
      </c>
      <c r="B2083" s="101" t="s">
        <v>4691</v>
      </c>
      <c r="D2083" s="13"/>
      <c r="E2083" s="13"/>
      <c r="F2083" s="13"/>
      <c r="G2083" s="102">
        <v>2.0</v>
      </c>
      <c r="H2083" s="101" t="s">
        <v>2942</v>
      </c>
      <c r="I2083" s="102">
        <v>102.2</v>
      </c>
      <c r="J2083" s="102">
        <v>125.71</v>
      </c>
      <c r="K2083" s="101" t="s">
        <v>2941</v>
      </c>
      <c r="L2083" s="102">
        <v>23.0</v>
      </c>
      <c r="M2083" s="13"/>
    </row>
    <row r="2084">
      <c r="A2084" s="101" t="s">
        <v>4692</v>
      </c>
      <c r="B2084" s="101" t="s">
        <v>4693</v>
      </c>
      <c r="D2084" s="13"/>
      <c r="E2084" s="13"/>
      <c r="F2084" s="13"/>
      <c r="G2084" s="102">
        <v>1.0</v>
      </c>
      <c r="H2084" s="101" t="s">
        <v>2940</v>
      </c>
      <c r="I2084" s="102">
        <v>136.5</v>
      </c>
      <c r="J2084" s="102">
        <v>167.9</v>
      </c>
      <c r="K2084" s="101" t="s">
        <v>2941</v>
      </c>
      <c r="L2084" s="102">
        <v>23.0</v>
      </c>
      <c r="M2084" s="13"/>
    </row>
    <row r="2085">
      <c r="A2085" s="101" t="s">
        <v>4692</v>
      </c>
      <c r="B2085" s="101" t="s">
        <v>4693</v>
      </c>
      <c r="D2085" s="13"/>
      <c r="E2085" s="13"/>
      <c r="F2085" s="13"/>
      <c r="G2085" s="102">
        <v>2.0</v>
      </c>
      <c r="H2085" s="101" t="s">
        <v>2942</v>
      </c>
      <c r="I2085" s="102">
        <v>109.2</v>
      </c>
      <c r="J2085" s="102">
        <v>134.32</v>
      </c>
      <c r="K2085" s="101" t="s">
        <v>2941</v>
      </c>
      <c r="L2085" s="102">
        <v>23.0</v>
      </c>
      <c r="M2085" s="13"/>
    </row>
    <row r="2086">
      <c r="A2086" s="101" t="s">
        <v>4694</v>
      </c>
      <c r="B2086" s="101" t="s">
        <v>4695</v>
      </c>
      <c r="D2086" s="13"/>
      <c r="E2086" s="13"/>
      <c r="F2086" s="13"/>
      <c r="G2086" s="102">
        <v>1.0</v>
      </c>
      <c r="H2086" s="101" t="s">
        <v>2940</v>
      </c>
      <c r="I2086" s="102">
        <v>255.45</v>
      </c>
      <c r="J2086" s="102">
        <v>314.2</v>
      </c>
      <c r="K2086" s="101" t="s">
        <v>2941</v>
      </c>
      <c r="L2086" s="102">
        <v>23.0</v>
      </c>
      <c r="M2086" s="13"/>
    </row>
    <row r="2087">
      <c r="A2087" s="101" t="s">
        <v>4694</v>
      </c>
      <c r="B2087" s="101" t="s">
        <v>4695</v>
      </c>
      <c r="D2087" s="13"/>
      <c r="E2087" s="13"/>
      <c r="F2087" s="13"/>
      <c r="G2087" s="102">
        <v>2.0</v>
      </c>
      <c r="H2087" s="101" t="s">
        <v>2942</v>
      </c>
      <c r="I2087" s="102">
        <v>204.4</v>
      </c>
      <c r="J2087" s="102">
        <v>251.41</v>
      </c>
      <c r="K2087" s="101" t="s">
        <v>2941</v>
      </c>
      <c r="L2087" s="102">
        <v>23.0</v>
      </c>
      <c r="M2087" s="13"/>
    </row>
    <row r="2088">
      <c r="A2088" s="101" t="s">
        <v>4696</v>
      </c>
      <c r="B2088" s="101" t="s">
        <v>4697</v>
      </c>
      <c r="D2088" s="13"/>
      <c r="E2088" s="13"/>
      <c r="F2088" s="13"/>
      <c r="G2088" s="102">
        <v>1.0</v>
      </c>
      <c r="H2088" s="101" t="s">
        <v>2940</v>
      </c>
      <c r="I2088" s="102">
        <v>273.17</v>
      </c>
      <c r="J2088" s="102">
        <v>336.0</v>
      </c>
      <c r="K2088" s="101" t="s">
        <v>2941</v>
      </c>
      <c r="L2088" s="102">
        <v>23.0</v>
      </c>
      <c r="M2088" s="13"/>
    </row>
    <row r="2089">
      <c r="A2089" s="101" t="s">
        <v>4696</v>
      </c>
      <c r="B2089" s="101" t="s">
        <v>4697</v>
      </c>
      <c r="D2089" s="13"/>
      <c r="E2089" s="13"/>
      <c r="F2089" s="13"/>
      <c r="G2089" s="102">
        <v>2.0</v>
      </c>
      <c r="H2089" s="101" t="s">
        <v>2942</v>
      </c>
      <c r="I2089" s="102">
        <v>218.5</v>
      </c>
      <c r="J2089" s="102">
        <v>268.76</v>
      </c>
      <c r="K2089" s="101" t="s">
        <v>2941</v>
      </c>
      <c r="L2089" s="102">
        <v>23.0</v>
      </c>
      <c r="M2089" s="13"/>
    </row>
    <row r="2090">
      <c r="A2090" s="101" t="s">
        <v>4698</v>
      </c>
      <c r="B2090" s="101" t="s">
        <v>4699</v>
      </c>
      <c r="D2090" s="13"/>
      <c r="E2090" s="13"/>
      <c r="F2090" s="13"/>
      <c r="G2090" s="102">
        <v>1.0</v>
      </c>
      <c r="H2090" s="101" t="s">
        <v>2940</v>
      </c>
      <c r="I2090" s="102">
        <v>383.09</v>
      </c>
      <c r="J2090" s="102">
        <v>471.2</v>
      </c>
      <c r="K2090" s="101" t="s">
        <v>2941</v>
      </c>
      <c r="L2090" s="102">
        <v>23.0</v>
      </c>
      <c r="M2090" s="13"/>
    </row>
    <row r="2091">
      <c r="A2091" s="101" t="s">
        <v>4698</v>
      </c>
      <c r="B2091" s="101" t="s">
        <v>4699</v>
      </c>
      <c r="D2091" s="13"/>
      <c r="E2091" s="13"/>
      <c r="F2091" s="13"/>
      <c r="G2091" s="102">
        <v>2.0</v>
      </c>
      <c r="H2091" s="101" t="s">
        <v>2942</v>
      </c>
      <c r="I2091" s="102">
        <v>306.5</v>
      </c>
      <c r="J2091" s="102">
        <v>377.0</v>
      </c>
      <c r="K2091" s="101" t="s">
        <v>2941</v>
      </c>
      <c r="L2091" s="102">
        <v>23.0</v>
      </c>
      <c r="M2091" s="13"/>
    </row>
    <row r="2092">
      <c r="A2092" s="101" t="s">
        <v>4700</v>
      </c>
      <c r="B2092" s="101" t="s">
        <v>4701</v>
      </c>
      <c r="D2092" s="13"/>
      <c r="E2092" s="13"/>
      <c r="F2092" s="13"/>
      <c r="G2092" s="102">
        <v>1.0</v>
      </c>
      <c r="H2092" s="101" t="s">
        <v>2940</v>
      </c>
      <c r="I2092" s="102">
        <v>409.67</v>
      </c>
      <c r="J2092" s="102">
        <v>503.89</v>
      </c>
      <c r="K2092" s="101" t="s">
        <v>2941</v>
      </c>
      <c r="L2092" s="102">
        <v>23.0</v>
      </c>
      <c r="M2092" s="13"/>
    </row>
    <row r="2093">
      <c r="A2093" s="101" t="s">
        <v>4700</v>
      </c>
      <c r="B2093" s="101" t="s">
        <v>4701</v>
      </c>
      <c r="D2093" s="13"/>
      <c r="E2093" s="13"/>
      <c r="F2093" s="13"/>
      <c r="G2093" s="102">
        <v>2.0</v>
      </c>
      <c r="H2093" s="101" t="s">
        <v>2942</v>
      </c>
      <c r="I2093" s="102">
        <v>327.7</v>
      </c>
      <c r="J2093" s="102">
        <v>403.07</v>
      </c>
      <c r="K2093" s="101" t="s">
        <v>2941</v>
      </c>
      <c r="L2093" s="102">
        <v>23.0</v>
      </c>
      <c r="M2093" s="13"/>
    </row>
    <row r="2094">
      <c r="A2094" s="101" t="s">
        <v>4702</v>
      </c>
      <c r="B2094" s="101" t="s">
        <v>4703</v>
      </c>
      <c r="D2094" s="13"/>
      <c r="E2094" s="13"/>
      <c r="F2094" s="13"/>
      <c r="G2094" s="102">
        <v>1.0</v>
      </c>
      <c r="H2094" s="101" t="s">
        <v>2940</v>
      </c>
      <c r="I2094" s="102">
        <v>23.74</v>
      </c>
      <c r="J2094" s="102">
        <v>29.2</v>
      </c>
      <c r="K2094" s="101" t="s">
        <v>2941</v>
      </c>
      <c r="L2094" s="102">
        <v>23.0</v>
      </c>
      <c r="M2094" s="13"/>
    </row>
    <row r="2095">
      <c r="A2095" s="101" t="s">
        <v>4702</v>
      </c>
      <c r="B2095" s="101" t="s">
        <v>4703</v>
      </c>
      <c r="D2095" s="13"/>
      <c r="E2095" s="13"/>
      <c r="F2095" s="13"/>
      <c r="G2095" s="102">
        <v>2.0</v>
      </c>
      <c r="H2095" s="101" t="s">
        <v>2942</v>
      </c>
      <c r="I2095" s="102">
        <v>19.0</v>
      </c>
      <c r="J2095" s="102">
        <v>23.37</v>
      </c>
      <c r="K2095" s="101" t="s">
        <v>2941</v>
      </c>
      <c r="L2095" s="102">
        <v>23.0</v>
      </c>
      <c r="M2095" s="13"/>
    </row>
    <row r="2096">
      <c r="A2096" s="101" t="s">
        <v>4704</v>
      </c>
      <c r="B2096" s="101" t="s">
        <v>4705</v>
      </c>
      <c r="D2096" s="13"/>
      <c r="E2096" s="13"/>
      <c r="F2096" s="13"/>
      <c r="G2096" s="102">
        <v>1.0</v>
      </c>
      <c r="H2096" s="101" t="s">
        <v>2940</v>
      </c>
      <c r="I2096" s="102">
        <v>33.25</v>
      </c>
      <c r="J2096" s="102">
        <v>40.9</v>
      </c>
      <c r="K2096" s="101" t="s">
        <v>2941</v>
      </c>
      <c r="L2096" s="102">
        <v>23.0</v>
      </c>
      <c r="M2096" s="13"/>
    </row>
    <row r="2097">
      <c r="A2097" s="101" t="s">
        <v>4704</v>
      </c>
      <c r="B2097" s="101" t="s">
        <v>4705</v>
      </c>
      <c r="D2097" s="13"/>
      <c r="E2097" s="13"/>
      <c r="F2097" s="13"/>
      <c r="G2097" s="102">
        <v>2.0</v>
      </c>
      <c r="H2097" s="101" t="s">
        <v>2942</v>
      </c>
      <c r="I2097" s="102">
        <v>33.25</v>
      </c>
      <c r="J2097" s="102">
        <v>40.9</v>
      </c>
      <c r="K2097" s="101" t="s">
        <v>2941</v>
      </c>
      <c r="L2097" s="102">
        <v>23.0</v>
      </c>
      <c r="M2097" s="13"/>
    </row>
    <row r="2098">
      <c r="A2098" s="101" t="s">
        <v>4706</v>
      </c>
      <c r="B2098" s="101" t="s">
        <v>4707</v>
      </c>
      <c r="D2098" s="13"/>
      <c r="E2098" s="13"/>
      <c r="F2098" s="13"/>
      <c r="G2098" s="102">
        <v>1.0</v>
      </c>
      <c r="H2098" s="101" t="s">
        <v>2940</v>
      </c>
      <c r="I2098" s="102">
        <v>33.25</v>
      </c>
      <c r="J2098" s="102">
        <v>40.9</v>
      </c>
      <c r="K2098" s="101" t="s">
        <v>2941</v>
      </c>
      <c r="L2098" s="102">
        <v>23.0</v>
      </c>
      <c r="M2098" s="13"/>
    </row>
    <row r="2099">
      <c r="A2099" s="101" t="s">
        <v>4706</v>
      </c>
      <c r="B2099" s="101" t="s">
        <v>4707</v>
      </c>
      <c r="D2099" s="13"/>
      <c r="E2099" s="13"/>
      <c r="F2099" s="13"/>
      <c r="G2099" s="102">
        <v>2.0</v>
      </c>
      <c r="H2099" s="101" t="s">
        <v>2942</v>
      </c>
      <c r="I2099" s="102">
        <v>33.25</v>
      </c>
      <c r="J2099" s="102">
        <v>40.9</v>
      </c>
      <c r="K2099" s="101" t="s">
        <v>2941</v>
      </c>
      <c r="L2099" s="102">
        <v>23.0</v>
      </c>
      <c r="M2099" s="13"/>
    </row>
    <row r="2100">
      <c r="A2100" s="101" t="s">
        <v>4708</v>
      </c>
      <c r="B2100" s="101" t="s">
        <v>4709</v>
      </c>
      <c r="D2100" s="13"/>
      <c r="E2100" s="13"/>
      <c r="F2100" s="13"/>
      <c r="G2100" s="102">
        <v>1.0</v>
      </c>
      <c r="H2100" s="101" t="s">
        <v>2940</v>
      </c>
      <c r="I2100" s="102">
        <v>47.48</v>
      </c>
      <c r="J2100" s="102">
        <v>58.4</v>
      </c>
      <c r="K2100" s="101" t="s">
        <v>2941</v>
      </c>
      <c r="L2100" s="102">
        <v>23.0</v>
      </c>
      <c r="M2100" s="13"/>
    </row>
    <row r="2101">
      <c r="A2101" s="101" t="s">
        <v>4708</v>
      </c>
      <c r="B2101" s="101" t="s">
        <v>4709</v>
      </c>
      <c r="D2101" s="13"/>
      <c r="E2101" s="13"/>
      <c r="F2101" s="13"/>
      <c r="G2101" s="102">
        <v>2.0</v>
      </c>
      <c r="H2101" s="101" t="s">
        <v>2942</v>
      </c>
      <c r="I2101" s="102">
        <v>38.0</v>
      </c>
      <c r="J2101" s="102">
        <v>46.74</v>
      </c>
      <c r="K2101" s="101" t="s">
        <v>2941</v>
      </c>
      <c r="L2101" s="102">
        <v>23.0</v>
      </c>
      <c r="M2101" s="13"/>
    </row>
    <row r="2102">
      <c r="A2102" s="101" t="s">
        <v>4710</v>
      </c>
      <c r="B2102" s="101" t="s">
        <v>4711</v>
      </c>
      <c r="D2102" s="13"/>
      <c r="E2102" s="13"/>
      <c r="F2102" s="13"/>
      <c r="G2102" s="102">
        <v>1.0</v>
      </c>
      <c r="H2102" s="101" t="s">
        <v>2940</v>
      </c>
      <c r="I2102" s="102">
        <v>66.5</v>
      </c>
      <c r="J2102" s="102">
        <v>81.8</v>
      </c>
      <c r="K2102" s="101" t="s">
        <v>2941</v>
      </c>
      <c r="L2102" s="102">
        <v>23.0</v>
      </c>
      <c r="M2102" s="13"/>
    </row>
    <row r="2103">
      <c r="A2103" s="101" t="s">
        <v>4710</v>
      </c>
      <c r="B2103" s="101" t="s">
        <v>4711</v>
      </c>
      <c r="D2103" s="13"/>
      <c r="E2103" s="13"/>
      <c r="F2103" s="13"/>
      <c r="G2103" s="102">
        <v>2.0</v>
      </c>
      <c r="H2103" s="101" t="s">
        <v>2942</v>
      </c>
      <c r="I2103" s="102">
        <v>66.5</v>
      </c>
      <c r="J2103" s="102">
        <v>81.8</v>
      </c>
      <c r="K2103" s="101" t="s">
        <v>2941</v>
      </c>
      <c r="L2103" s="102">
        <v>23.0</v>
      </c>
      <c r="M2103" s="13"/>
    </row>
    <row r="2104">
      <c r="A2104" s="101" t="s">
        <v>4712</v>
      </c>
      <c r="B2104" s="101" t="s">
        <v>4713</v>
      </c>
      <c r="D2104" s="13"/>
      <c r="E2104" s="13"/>
      <c r="F2104" s="13"/>
      <c r="G2104" s="102">
        <v>1.0</v>
      </c>
      <c r="H2104" s="101" t="s">
        <v>2940</v>
      </c>
      <c r="I2104" s="102">
        <v>66.5</v>
      </c>
      <c r="J2104" s="102">
        <v>81.8</v>
      </c>
      <c r="K2104" s="101" t="s">
        <v>2941</v>
      </c>
      <c r="L2104" s="102">
        <v>23.0</v>
      </c>
      <c r="M2104" s="13"/>
    </row>
    <row r="2105">
      <c r="A2105" s="101" t="s">
        <v>4712</v>
      </c>
      <c r="B2105" s="101" t="s">
        <v>4713</v>
      </c>
      <c r="D2105" s="13"/>
      <c r="E2105" s="13"/>
      <c r="F2105" s="13"/>
      <c r="G2105" s="102">
        <v>2.0</v>
      </c>
      <c r="H2105" s="101" t="s">
        <v>2942</v>
      </c>
      <c r="I2105" s="102">
        <v>66.5</v>
      </c>
      <c r="J2105" s="102">
        <v>81.8</v>
      </c>
      <c r="K2105" s="101" t="s">
        <v>2941</v>
      </c>
      <c r="L2105" s="102">
        <v>23.0</v>
      </c>
      <c r="M2105" s="13"/>
    </row>
    <row r="2106">
      <c r="A2106" s="101" t="s">
        <v>4714</v>
      </c>
      <c r="B2106" s="101" t="s">
        <v>4715</v>
      </c>
      <c r="D2106" s="13"/>
      <c r="E2106" s="13"/>
      <c r="F2106" s="13"/>
      <c r="G2106" s="102">
        <v>1.0</v>
      </c>
      <c r="H2106" s="101" t="s">
        <v>2940</v>
      </c>
      <c r="I2106" s="102">
        <v>71.3</v>
      </c>
      <c r="J2106" s="102">
        <v>87.7</v>
      </c>
      <c r="K2106" s="101" t="s">
        <v>2941</v>
      </c>
      <c r="L2106" s="102">
        <v>23.0</v>
      </c>
      <c r="M2106" s="13"/>
    </row>
    <row r="2107">
      <c r="A2107" s="101" t="s">
        <v>4714</v>
      </c>
      <c r="B2107" s="101" t="s">
        <v>4715</v>
      </c>
      <c r="D2107" s="13"/>
      <c r="E2107" s="13"/>
      <c r="F2107" s="13"/>
      <c r="G2107" s="102">
        <v>2.0</v>
      </c>
      <c r="H2107" s="101" t="s">
        <v>2942</v>
      </c>
      <c r="I2107" s="102">
        <v>57.0</v>
      </c>
      <c r="J2107" s="102">
        <v>70.11</v>
      </c>
      <c r="K2107" s="101" t="s">
        <v>2941</v>
      </c>
      <c r="L2107" s="102">
        <v>23.0</v>
      </c>
      <c r="M2107" s="13"/>
    </row>
    <row r="2108">
      <c r="A2108" s="101" t="s">
        <v>4716</v>
      </c>
      <c r="B2108" s="101" t="s">
        <v>4717</v>
      </c>
      <c r="D2108" s="13"/>
      <c r="E2108" s="13"/>
      <c r="F2108" s="13"/>
      <c r="G2108" s="102">
        <v>1.0</v>
      </c>
      <c r="H2108" s="101" t="s">
        <v>2940</v>
      </c>
      <c r="I2108" s="102">
        <v>99.75</v>
      </c>
      <c r="J2108" s="102">
        <v>122.69</v>
      </c>
      <c r="K2108" s="101" t="s">
        <v>2941</v>
      </c>
      <c r="L2108" s="102">
        <v>23.0</v>
      </c>
      <c r="M2108" s="13"/>
    </row>
    <row r="2109">
      <c r="A2109" s="101" t="s">
        <v>4716</v>
      </c>
      <c r="B2109" s="101" t="s">
        <v>4717</v>
      </c>
      <c r="D2109" s="13"/>
      <c r="E2109" s="13"/>
      <c r="F2109" s="13"/>
      <c r="G2109" s="102">
        <v>2.0</v>
      </c>
      <c r="H2109" s="101" t="s">
        <v>2942</v>
      </c>
      <c r="I2109" s="102">
        <v>99.75</v>
      </c>
      <c r="J2109" s="102">
        <v>122.69</v>
      </c>
      <c r="K2109" s="101" t="s">
        <v>2941</v>
      </c>
      <c r="L2109" s="102">
        <v>23.0</v>
      </c>
      <c r="M2109" s="13"/>
    </row>
    <row r="2110">
      <c r="A2110" s="101" t="s">
        <v>4718</v>
      </c>
      <c r="B2110" s="101" t="s">
        <v>4719</v>
      </c>
      <c r="D2110" s="13"/>
      <c r="E2110" s="13"/>
      <c r="F2110" s="13"/>
      <c r="G2110" s="102">
        <v>1.0</v>
      </c>
      <c r="H2110" s="101" t="s">
        <v>2940</v>
      </c>
      <c r="I2110" s="102">
        <v>21.14</v>
      </c>
      <c r="J2110" s="102">
        <v>26.0</v>
      </c>
      <c r="K2110" s="101" t="s">
        <v>2941</v>
      </c>
      <c r="L2110" s="102">
        <v>23.0</v>
      </c>
      <c r="M2110" s="13"/>
    </row>
    <row r="2111">
      <c r="A2111" s="101" t="s">
        <v>4718</v>
      </c>
      <c r="B2111" s="101" t="s">
        <v>4719</v>
      </c>
      <c r="D2111" s="13"/>
      <c r="E2111" s="13"/>
      <c r="F2111" s="13"/>
      <c r="G2111" s="102">
        <v>2.0</v>
      </c>
      <c r="H2111" s="101" t="s">
        <v>2942</v>
      </c>
      <c r="I2111" s="102">
        <v>16.9</v>
      </c>
      <c r="J2111" s="102">
        <v>20.79</v>
      </c>
      <c r="K2111" s="101" t="s">
        <v>2941</v>
      </c>
      <c r="L2111" s="102">
        <v>23.0</v>
      </c>
      <c r="M2111" s="13"/>
    </row>
    <row r="2112">
      <c r="A2112" s="101" t="s">
        <v>4720</v>
      </c>
      <c r="B2112" s="101" t="s">
        <v>4721</v>
      </c>
      <c r="D2112" s="13"/>
      <c r="E2112" s="13"/>
      <c r="F2112" s="13"/>
      <c r="G2112" s="102">
        <v>1.0</v>
      </c>
      <c r="H2112" s="101" t="s">
        <v>2940</v>
      </c>
      <c r="I2112" s="102">
        <v>19.02</v>
      </c>
      <c r="J2112" s="102">
        <v>23.4</v>
      </c>
      <c r="K2112" s="101" t="s">
        <v>2941</v>
      </c>
      <c r="L2112" s="102">
        <v>23.0</v>
      </c>
      <c r="M2112" s="13"/>
    </row>
    <row r="2113">
      <c r="A2113" s="101" t="s">
        <v>4720</v>
      </c>
      <c r="B2113" s="101" t="s">
        <v>4721</v>
      </c>
      <c r="D2113" s="13"/>
      <c r="E2113" s="13"/>
      <c r="F2113" s="13"/>
      <c r="G2113" s="102">
        <v>2.0</v>
      </c>
      <c r="H2113" s="101" t="s">
        <v>2942</v>
      </c>
      <c r="I2113" s="102">
        <v>15.2</v>
      </c>
      <c r="J2113" s="102">
        <v>18.7</v>
      </c>
      <c r="K2113" s="101" t="s">
        <v>2941</v>
      </c>
      <c r="L2113" s="102">
        <v>23.0</v>
      </c>
      <c r="M2113" s="13"/>
    </row>
    <row r="2114">
      <c r="A2114" s="101" t="s">
        <v>4722</v>
      </c>
      <c r="B2114" s="101" t="s">
        <v>4723</v>
      </c>
      <c r="D2114" s="13"/>
      <c r="E2114" s="13"/>
      <c r="F2114" s="13"/>
      <c r="G2114" s="102">
        <v>1.0</v>
      </c>
      <c r="H2114" s="101" t="s">
        <v>2940</v>
      </c>
      <c r="I2114" s="102">
        <v>14.96</v>
      </c>
      <c r="J2114" s="102">
        <v>18.4</v>
      </c>
      <c r="K2114" s="101" t="s">
        <v>2941</v>
      </c>
      <c r="L2114" s="102">
        <v>23.0</v>
      </c>
      <c r="M2114" s="13"/>
    </row>
    <row r="2115">
      <c r="A2115" s="101" t="s">
        <v>4722</v>
      </c>
      <c r="B2115" s="101" t="s">
        <v>4723</v>
      </c>
      <c r="D2115" s="13"/>
      <c r="E2115" s="13"/>
      <c r="F2115" s="13"/>
      <c r="G2115" s="102">
        <v>2.0</v>
      </c>
      <c r="H2115" s="101" t="s">
        <v>2942</v>
      </c>
      <c r="I2115" s="102">
        <v>12.0</v>
      </c>
      <c r="J2115" s="102">
        <v>14.76</v>
      </c>
      <c r="K2115" s="101" t="s">
        <v>2941</v>
      </c>
      <c r="L2115" s="102">
        <v>23.0</v>
      </c>
      <c r="M2115" s="13"/>
    </row>
    <row r="2116">
      <c r="A2116" s="101" t="s">
        <v>4724</v>
      </c>
      <c r="B2116" s="101" t="s">
        <v>4725</v>
      </c>
      <c r="D2116" s="13"/>
      <c r="E2116" s="13"/>
      <c r="F2116" s="13"/>
      <c r="G2116" s="102">
        <v>1.0</v>
      </c>
      <c r="H2116" s="101" t="s">
        <v>2940</v>
      </c>
      <c r="I2116" s="102">
        <v>15.28</v>
      </c>
      <c r="J2116" s="102">
        <v>18.79</v>
      </c>
      <c r="K2116" s="101" t="s">
        <v>2941</v>
      </c>
      <c r="L2116" s="102">
        <v>23.0</v>
      </c>
      <c r="M2116" s="13"/>
    </row>
    <row r="2117">
      <c r="A2117" s="101" t="s">
        <v>4724</v>
      </c>
      <c r="B2117" s="101" t="s">
        <v>4725</v>
      </c>
      <c r="D2117" s="13"/>
      <c r="E2117" s="13"/>
      <c r="F2117" s="13"/>
      <c r="G2117" s="102">
        <v>2.0</v>
      </c>
      <c r="H2117" s="101" t="s">
        <v>2942</v>
      </c>
      <c r="I2117" s="102">
        <v>12.2</v>
      </c>
      <c r="J2117" s="102">
        <v>15.01</v>
      </c>
      <c r="K2117" s="101" t="s">
        <v>2941</v>
      </c>
      <c r="L2117" s="102">
        <v>23.0</v>
      </c>
      <c r="M2117" s="13"/>
    </row>
    <row r="2118">
      <c r="A2118" s="101" t="s">
        <v>4726</v>
      </c>
      <c r="B2118" s="101" t="s">
        <v>4727</v>
      </c>
      <c r="D2118" s="13"/>
      <c r="E2118" s="13"/>
      <c r="F2118" s="13"/>
      <c r="G2118" s="102">
        <v>1.0</v>
      </c>
      <c r="H2118" s="101" t="s">
        <v>2940</v>
      </c>
      <c r="I2118" s="102">
        <v>30.65</v>
      </c>
      <c r="J2118" s="102">
        <v>37.7</v>
      </c>
      <c r="K2118" s="101" t="s">
        <v>2941</v>
      </c>
      <c r="L2118" s="102">
        <v>23.0</v>
      </c>
      <c r="M2118" s="13"/>
    </row>
    <row r="2119">
      <c r="A2119" s="101" t="s">
        <v>4726</v>
      </c>
      <c r="B2119" s="101" t="s">
        <v>4727</v>
      </c>
      <c r="D2119" s="13"/>
      <c r="E2119" s="13"/>
      <c r="F2119" s="13"/>
      <c r="G2119" s="102">
        <v>2.0</v>
      </c>
      <c r="H2119" s="101" t="s">
        <v>2942</v>
      </c>
      <c r="I2119" s="102">
        <v>24.5</v>
      </c>
      <c r="J2119" s="102">
        <v>30.14</v>
      </c>
      <c r="K2119" s="101" t="s">
        <v>2941</v>
      </c>
      <c r="L2119" s="102">
        <v>23.0</v>
      </c>
      <c r="M2119" s="13"/>
    </row>
    <row r="2120">
      <c r="A2120" s="101" t="s">
        <v>4728</v>
      </c>
      <c r="B2120" s="101" t="s">
        <v>4729</v>
      </c>
      <c r="C2120" s="13"/>
      <c r="D2120" s="13"/>
      <c r="E2120" s="13"/>
      <c r="F2120" s="13"/>
      <c r="G2120" s="102">
        <v>1.0</v>
      </c>
      <c r="H2120" s="101" t="s">
        <v>2940</v>
      </c>
      <c r="I2120" s="102">
        <v>33.33</v>
      </c>
      <c r="J2120" s="102">
        <v>41.0</v>
      </c>
      <c r="K2120" s="101" t="s">
        <v>2941</v>
      </c>
      <c r="L2120" s="102">
        <v>23.0</v>
      </c>
      <c r="M2120" s="13"/>
    </row>
    <row r="2121">
      <c r="A2121" s="101" t="s">
        <v>4728</v>
      </c>
      <c r="B2121" s="101" t="s">
        <v>4729</v>
      </c>
      <c r="C2121" s="13"/>
      <c r="D2121" s="13"/>
      <c r="E2121" s="13"/>
      <c r="F2121" s="13"/>
      <c r="G2121" s="102">
        <v>2.0</v>
      </c>
      <c r="H2121" s="101" t="s">
        <v>2942</v>
      </c>
      <c r="I2121" s="102">
        <v>32.82</v>
      </c>
      <c r="J2121" s="102">
        <v>40.37</v>
      </c>
      <c r="K2121" s="101" t="s">
        <v>2941</v>
      </c>
      <c r="L2121" s="102">
        <v>23.0</v>
      </c>
      <c r="M2121" s="13"/>
    </row>
    <row r="2122">
      <c r="A2122" s="101" t="s">
        <v>4730</v>
      </c>
      <c r="B2122" s="101" t="s">
        <v>4731</v>
      </c>
      <c r="D2122" s="13"/>
      <c r="E2122" s="13"/>
      <c r="F2122" s="13"/>
      <c r="G2122" s="102">
        <v>1.0</v>
      </c>
      <c r="H2122" s="101" t="s">
        <v>2940</v>
      </c>
      <c r="I2122" s="102">
        <v>40.16</v>
      </c>
      <c r="J2122" s="102">
        <v>49.4</v>
      </c>
      <c r="K2122" s="101" t="s">
        <v>2941</v>
      </c>
      <c r="L2122" s="102">
        <v>23.0</v>
      </c>
      <c r="M2122" s="13"/>
    </row>
    <row r="2123">
      <c r="A2123" s="101" t="s">
        <v>4730</v>
      </c>
      <c r="B2123" s="101" t="s">
        <v>4731</v>
      </c>
      <c r="D2123" s="13"/>
      <c r="E2123" s="13"/>
      <c r="F2123" s="13"/>
      <c r="G2123" s="102">
        <v>2.0</v>
      </c>
      <c r="H2123" s="101" t="s">
        <v>2942</v>
      </c>
      <c r="I2123" s="102">
        <v>32.1</v>
      </c>
      <c r="J2123" s="102">
        <v>39.48</v>
      </c>
      <c r="K2123" s="101" t="s">
        <v>2941</v>
      </c>
      <c r="L2123" s="102">
        <v>23.0</v>
      </c>
      <c r="M2123" s="13"/>
    </row>
    <row r="2124">
      <c r="A2124" s="101" t="s">
        <v>4732</v>
      </c>
      <c r="B2124" s="101" t="s">
        <v>4733</v>
      </c>
      <c r="D2124" s="13"/>
      <c r="E2124" s="13"/>
      <c r="F2124" s="13"/>
      <c r="G2124" s="102">
        <v>1.0</v>
      </c>
      <c r="H2124" s="101" t="s">
        <v>2940</v>
      </c>
      <c r="I2124" s="102">
        <v>80.24</v>
      </c>
      <c r="J2124" s="102">
        <v>98.7</v>
      </c>
      <c r="K2124" s="101" t="s">
        <v>2941</v>
      </c>
      <c r="L2124" s="102">
        <v>23.0</v>
      </c>
      <c r="M2124" s="13"/>
    </row>
    <row r="2125">
      <c r="A2125" s="101" t="s">
        <v>4732</v>
      </c>
      <c r="B2125" s="101" t="s">
        <v>4733</v>
      </c>
      <c r="D2125" s="13"/>
      <c r="E2125" s="13"/>
      <c r="F2125" s="13"/>
      <c r="G2125" s="102">
        <v>2.0</v>
      </c>
      <c r="H2125" s="101" t="s">
        <v>2942</v>
      </c>
      <c r="I2125" s="102">
        <v>64.2</v>
      </c>
      <c r="J2125" s="102">
        <v>78.97</v>
      </c>
      <c r="K2125" s="101" t="s">
        <v>2941</v>
      </c>
      <c r="L2125" s="102">
        <v>23.0</v>
      </c>
      <c r="M2125" s="13"/>
    </row>
    <row r="2126">
      <c r="A2126" s="101" t="s">
        <v>4734</v>
      </c>
      <c r="B2126" s="101" t="s">
        <v>4735</v>
      </c>
      <c r="D2126" s="13"/>
      <c r="E2126" s="13"/>
      <c r="F2126" s="13"/>
      <c r="G2126" s="102">
        <v>1.0</v>
      </c>
      <c r="H2126" s="101" t="s">
        <v>2940</v>
      </c>
      <c r="I2126" s="102">
        <v>120.41</v>
      </c>
      <c r="J2126" s="102">
        <v>148.1</v>
      </c>
      <c r="K2126" s="101" t="s">
        <v>2941</v>
      </c>
      <c r="L2126" s="102">
        <v>23.0</v>
      </c>
      <c r="M2126" s="13"/>
    </row>
    <row r="2127">
      <c r="A2127" s="101" t="s">
        <v>4734</v>
      </c>
      <c r="B2127" s="101" t="s">
        <v>4735</v>
      </c>
      <c r="D2127" s="13"/>
      <c r="E2127" s="13"/>
      <c r="F2127" s="13"/>
      <c r="G2127" s="102">
        <v>2.0</v>
      </c>
      <c r="H2127" s="101" t="s">
        <v>2942</v>
      </c>
      <c r="I2127" s="102">
        <v>96.3</v>
      </c>
      <c r="J2127" s="102">
        <v>118.45</v>
      </c>
      <c r="K2127" s="101" t="s">
        <v>2941</v>
      </c>
      <c r="L2127" s="102">
        <v>23.0</v>
      </c>
      <c r="M2127" s="13"/>
    </row>
    <row r="2128">
      <c r="A2128" s="101" t="s">
        <v>4736</v>
      </c>
      <c r="B2128" s="101">
        <v>110.0</v>
      </c>
      <c r="C2128" s="13"/>
      <c r="D2128" s="13"/>
      <c r="E2128" s="13"/>
      <c r="F2128" s="13"/>
      <c r="G2128" s="102">
        <v>1.0</v>
      </c>
      <c r="H2128" s="101" t="s">
        <v>2940</v>
      </c>
      <c r="I2128" s="102">
        <v>37.4</v>
      </c>
      <c r="J2128" s="102">
        <v>46.0</v>
      </c>
      <c r="K2128" s="101" t="s">
        <v>2941</v>
      </c>
      <c r="L2128" s="102">
        <v>23.0</v>
      </c>
      <c r="M2128" s="13"/>
    </row>
    <row r="2129">
      <c r="A2129" s="101" t="s">
        <v>4736</v>
      </c>
      <c r="B2129" s="101">
        <v>110.0</v>
      </c>
      <c r="C2129" s="13"/>
      <c r="D2129" s="13"/>
      <c r="E2129" s="13"/>
      <c r="F2129" s="13"/>
      <c r="G2129" s="102">
        <v>2.0</v>
      </c>
      <c r="H2129" s="101" t="s">
        <v>2942</v>
      </c>
      <c r="I2129" s="102">
        <v>37.4</v>
      </c>
      <c r="J2129" s="102">
        <v>46.0</v>
      </c>
      <c r="K2129" s="101" t="s">
        <v>2941</v>
      </c>
      <c r="L2129" s="102">
        <v>23.0</v>
      </c>
      <c r="M2129" s="13"/>
    </row>
    <row r="2130">
      <c r="A2130" s="101" t="s">
        <v>4737</v>
      </c>
      <c r="B2130" s="101">
        <v>109.0</v>
      </c>
      <c r="C2130" s="13"/>
      <c r="D2130" s="13"/>
      <c r="E2130" s="13"/>
      <c r="F2130" s="13"/>
      <c r="G2130" s="102">
        <v>1.0</v>
      </c>
      <c r="H2130" s="101" t="s">
        <v>2940</v>
      </c>
      <c r="I2130" s="102">
        <v>74.8</v>
      </c>
      <c r="J2130" s="102">
        <v>92.0</v>
      </c>
      <c r="K2130" s="101" t="s">
        <v>2941</v>
      </c>
      <c r="L2130" s="102">
        <v>23.0</v>
      </c>
      <c r="M2130" s="13"/>
    </row>
    <row r="2131">
      <c r="A2131" s="101" t="s">
        <v>4737</v>
      </c>
      <c r="B2131" s="101">
        <v>109.0</v>
      </c>
      <c r="C2131" s="13"/>
      <c r="D2131" s="13"/>
      <c r="E2131" s="13"/>
      <c r="F2131" s="13"/>
      <c r="G2131" s="102">
        <v>2.0</v>
      </c>
      <c r="H2131" s="101" t="s">
        <v>2942</v>
      </c>
      <c r="I2131" s="102">
        <v>74.8</v>
      </c>
      <c r="J2131" s="102">
        <v>92.0</v>
      </c>
      <c r="K2131" s="101" t="s">
        <v>2941</v>
      </c>
      <c r="L2131" s="102">
        <v>23.0</v>
      </c>
      <c r="M2131" s="13"/>
    </row>
    <row r="2132">
      <c r="A2132" s="101" t="s">
        <v>4738</v>
      </c>
      <c r="B2132" s="101">
        <v>111.0</v>
      </c>
      <c r="C2132" s="13"/>
      <c r="D2132" s="13"/>
      <c r="E2132" s="13"/>
      <c r="F2132" s="13"/>
      <c r="G2132" s="102">
        <v>1.0</v>
      </c>
      <c r="H2132" s="101" t="s">
        <v>2940</v>
      </c>
      <c r="I2132" s="102">
        <v>112.2</v>
      </c>
      <c r="J2132" s="102">
        <v>138.01</v>
      </c>
      <c r="K2132" s="101" t="s">
        <v>2941</v>
      </c>
      <c r="L2132" s="102">
        <v>23.0</v>
      </c>
      <c r="M2132" s="13"/>
    </row>
    <row r="2133">
      <c r="A2133" s="101" t="s">
        <v>4738</v>
      </c>
      <c r="B2133" s="101">
        <v>111.0</v>
      </c>
      <c r="C2133" s="13"/>
      <c r="D2133" s="13"/>
      <c r="E2133" s="13"/>
      <c r="F2133" s="13"/>
      <c r="G2133" s="102">
        <v>2.0</v>
      </c>
      <c r="H2133" s="101" t="s">
        <v>2942</v>
      </c>
      <c r="I2133" s="102">
        <v>112.2</v>
      </c>
      <c r="J2133" s="102">
        <v>138.01</v>
      </c>
      <c r="K2133" s="101" t="s">
        <v>2941</v>
      </c>
      <c r="L2133" s="102">
        <v>23.0</v>
      </c>
      <c r="M2133" s="13"/>
    </row>
    <row r="2134">
      <c r="A2134" s="101" t="s">
        <v>4739</v>
      </c>
      <c r="B2134" s="101" t="s">
        <v>4740</v>
      </c>
      <c r="D2134" s="13"/>
      <c r="E2134" s="13"/>
      <c r="F2134" s="13"/>
      <c r="G2134" s="102">
        <v>1.0</v>
      </c>
      <c r="H2134" s="101" t="s">
        <v>2940</v>
      </c>
      <c r="I2134" s="102">
        <v>29.11</v>
      </c>
      <c r="J2134" s="102">
        <v>35.81</v>
      </c>
      <c r="K2134" s="101" t="s">
        <v>2941</v>
      </c>
      <c r="L2134" s="102">
        <v>23.0</v>
      </c>
      <c r="M2134" s="13"/>
    </row>
    <row r="2135">
      <c r="A2135" s="101" t="s">
        <v>4739</v>
      </c>
      <c r="B2135" s="101" t="s">
        <v>4740</v>
      </c>
      <c r="D2135" s="13"/>
      <c r="E2135" s="13"/>
      <c r="F2135" s="13"/>
      <c r="G2135" s="102">
        <v>2.0</v>
      </c>
      <c r="H2135" s="101" t="s">
        <v>2942</v>
      </c>
      <c r="I2135" s="102">
        <v>23.3</v>
      </c>
      <c r="J2135" s="102">
        <v>28.66</v>
      </c>
      <c r="K2135" s="101" t="s">
        <v>2941</v>
      </c>
      <c r="L2135" s="102">
        <v>23.0</v>
      </c>
      <c r="M2135" s="13"/>
    </row>
    <row r="2136">
      <c r="A2136" s="101" t="s">
        <v>4741</v>
      </c>
      <c r="B2136" s="101" t="s">
        <v>4742</v>
      </c>
      <c r="D2136" s="13"/>
      <c r="E2136" s="13"/>
      <c r="F2136" s="13"/>
      <c r="G2136" s="102">
        <v>1.0</v>
      </c>
      <c r="H2136" s="101" t="s">
        <v>2940</v>
      </c>
      <c r="I2136" s="102">
        <v>58.05</v>
      </c>
      <c r="J2136" s="102">
        <v>71.4</v>
      </c>
      <c r="K2136" s="101" t="s">
        <v>2941</v>
      </c>
      <c r="L2136" s="102">
        <v>23.0</v>
      </c>
      <c r="M2136" s="13"/>
    </row>
    <row r="2137">
      <c r="A2137" s="101" t="s">
        <v>4741</v>
      </c>
      <c r="B2137" s="101" t="s">
        <v>4742</v>
      </c>
      <c r="D2137" s="13"/>
      <c r="E2137" s="13"/>
      <c r="F2137" s="13"/>
      <c r="G2137" s="102">
        <v>2.0</v>
      </c>
      <c r="H2137" s="101" t="s">
        <v>2942</v>
      </c>
      <c r="I2137" s="102">
        <v>46.4</v>
      </c>
      <c r="J2137" s="102">
        <v>57.07</v>
      </c>
      <c r="K2137" s="101" t="s">
        <v>2941</v>
      </c>
      <c r="L2137" s="102">
        <v>23.0</v>
      </c>
      <c r="M2137" s="13"/>
    </row>
    <row r="2138">
      <c r="A2138" s="101" t="s">
        <v>4743</v>
      </c>
      <c r="B2138" s="101" t="s">
        <v>4744</v>
      </c>
      <c r="D2138" s="13"/>
      <c r="E2138" s="13"/>
      <c r="F2138" s="13"/>
      <c r="G2138" s="102">
        <v>1.0</v>
      </c>
      <c r="H2138" s="101" t="s">
        <v>2940</v>
      </c>
      <c r="I2138" s="102">
        <v>87.15</v>
      </c>
      <c r="J2138" s="102">
        <v>107.19</v>
      </c>
      <c r="K2138" s="101" t="s">
        <v>2941</v>
      </c>
      <c r="L2138" s="102">
        <v>23.0</v>
      </c>
      <c r="M2138" s="13"/>
    </row>
    <row r="2139">
      <c r="A2139" s="101" t="s">
        <v>4743</v>
      </c>
      <c r="B2139" s="101" t="s">
        <v>4744</v>
      </c>
      <c r="D2139" s="13"/>
      <c r="E2139" s="13"/>
      <c r="F2139" s="13"/>
      <c r="G2139" s="102">
        <v>2.0</v>
      </c>
      <c r="H2139" s="101" t="s">
        <v>2942</v>
      </c>
      <c r="I2139" s="102">
        <v>69.7</v>
      </c>
      <c r="J2139" s="102">
        <v>85.73</v>
      </c>
      <c r="K2139" s="101" t="s">
        <v>2941</v>
      </c>
      <c r="L2139" s="102">
        <v>23.0</v>
      </c>
      <c r="M2139" s="13"/>
    </row>
    <row r="2140">
      <c r="A2140" s="101" t="s">
        <v>4745</v>
      </c>
      <c r="B2140" s="101" t="s">
        <v>4746</v>
      </c>
      <c r="D2140" s="13"/>
      <c r="E2140" s="13"/>
      <c r="F2140" s="13"/>
      <c r="G2140" s="102">
        <v>1.0</v>
      </c>
      <c r="H2140" s="101" t="s">
        <v>2940</v>
      </c>
      <c r="I2140" s="102">
        <v>40.89</v>
      </c>
      <c r="J2140" s="102">
        <v>50.29</v>
      </c>
      <c r="K2140" s="101" t="s">
        <v>2941</v>
      </c>
      <c r="L2140" s="102">
        <v>23.0</v>
      </c>
      <c r="M2140" s="13"/>
    </row>
    <row r="2141">
      <c r="A2141" s="101" t="s">
        <v>4745</v>
      </c>
      <c r="B2141" s="101" t="s">
        <v>4746</v>
      </c>
      <c r="D2141" s="13"/>
      <c r="E2141" s="13"/>
      <c r="F2141" s="13"/>
      <c r="G2141" s="102">
        <v>2.0</v>
      </c>
      <c r="H2141" s="101" t="s">
        <v>2942</v>
      </c>
      <c r="I2141" s="102">
        <v>32.7</v>
      </c>
      <c r="J2141" s="102">
        <v>40.22</v>
      </c>
      <c r="K2141" s="101" t="s">
        <v>2941</v>
      </c>
      <c r="L2141" s="102">
        <v>23.0</v>
      </c>
      <c r="M2141" s="13"/>
    </row>
    <row r="2142">
      <c r="A2142" s="101" t="s">
        <v>4747</v>
      </c>
      <c r="B2142" s="101" t="s">
        <v>4748</v>
      </c>
      <c r="D2142" s="13"/>
      <c r="E2142" s="13"/>
      <c r="F2142" s="13"/>
      <c r="G2142" s="102">
        <v>1.0</v>
      </c>
      <c r="H2142" s="101" t="s">
        <v>2940</v>
      </c>
      <c r="I2142" s="102">
        <v>81.63</v>
      </c>
      <c r="J2142" s="102">
        <v>100.4</v>
      </c>
      <c r="K2142" s="101" t="s">
        <v>2941</v>
      </c>
      <c r="L2142" s="102">
        <v>23.0</v>
      </c>
      <c r="M2142" s="13"/>
    </row>
    <row r="2143">
      <c r="A2143" s="101" t="s">
        <v>4747</v>
      </c>
      <c r="B2143" s="101" t="s">
        <v>4748</v>
      </c>
      <c r="D2143" s="13"/>
      <c r="E2143" s="13"/>
      <c r="F2143" s="13"/>
      <c r="G2143" s="102">
        <v>2.0</v>
      </c>
      <c r="H2143" s="101" t="s">
        <v>2942</v>
      </c>
      <c r="I2143" s="102">
        <v>65.3</v>
      </c>
      <c r="J2143" s="102">
        <v>80.32</v>
      </c>
      <c r="K2143" s="101" t="s">
        <v>2941</v>
      </c>
      <c r="L2143" s="102">
        <v>23.0</v>
      </c>
      <c r="M2143" s="13"/>
    </row>
    <row r="2144">
      <c r="A2144" s="101" t="s">
        <v>4749</v>
      </c>
      <c r="B2144" s="101" t="s">
        <v>4750</v>
      </c>
      <c r="D2144" s="13"/>
      <c r="E2144" s="13"/>
      <c r="F2144" s="13"/>
      <c r="G2144" s="102">
        <v>1.0</v>
      </c>
      <c r="H2144" s="101" t="s">
        <v>2940</v>
      </c>
      <c r="I2144" s="102">
        <v>122.52</v>
      </c>
      <c r="J2144" s="102">
        <v>150.7</v>
      </c>
      <c r="K2144" s="101" t="s">
        <v>2941</v>
      </c>
      <c r="L2144" s="102">
        <v>23.0</v>
      </c>
      <c r="M2144" s="13"/>
    </row>
    <row r="2145">
      <c r="A2145" s="101" t="s">
        <v>4749</v>
      </c>
      <c r="B2145" s="101" t="s">
        <v>4750</v>
      </c>
      <c r="D2145" s="13"/>
      <c r="E2145" s="13"/>
      <c r="F2145" s="13"/>
      <c r="G2145" s="102">
        <v>2.0</v>
      </c>
      <c r="H2145" s="101" t="s">
        <v>2942</v>
      </c>
      <c r="I2145" s="102">
        <v>98.0</v>
      </c>
      <c r="J2145" s="102">
        <v>120.54</v>
      </c>
      <c r="K2145" s="101" t="s">
        <v>2941</v>
      </c>
      <c r="L2145" s="102">
        <v>23.0</v>
      </c>
      <c r="M2145" s="13"/>
    </row>
    <row r="2146">
      <c r="A2146" s="101" t="s">
        <v>4751</v>
      </c>
      <c r="B2146" s="101" t="s">
        <v>4752</v>
      </c>
      <c r="D2146" s="13"/>
      <c r="E2146" s="13"/>
      <c r="F2146" s="13"/>
      <c r="G2146" s="102">
        <v>1.0</v>
      </c>
      <c r="H2146" s="101" t="s">
        <v>2940</v>
      </c>
      <c r="I2146" s="102">
        <v>32.6</v>
      </c>
      <c r="J2146" s="102">
        <v>40.1</v>
      </c>
      <c r="K2146" s="101" t="s">
        <v>2941</v>
      </c>
      <c r="L2146" s="102">
        <v>23.0</v>
      </c>
      <c r="M2146" s="13"/>
    </row>
    <row r="2147">
      <c r="A2147" s="101" t="s">
        <v>4751</v>
      </c>
      <c r="B2147" s="101" t="s">
        <v>4752</v>
      </c>
      <c r="D2147" s="13"/>
      <c r="E2147" s="13"/>
      <c r="F2147" s="13"/>
      <c r="G2147" s="102">
        <v>2.0</v>
      </c>
      <c r="H2147" s="101" t="s">
        <v>2942</v>
      </c>
      <c r="I2147" s="102">
        <v>26.1</v>
      </c>
      <c r="J2147" s="102">
        <v>32.1</v>
      </c>
      <c r="K2147" s="101" t="s">
        <v>2941</v>
      </c>
      <c r="L2147" s="102">
        <v>23.0</v>
      </c>
      <c r="M2147" s="13"/>
    </row>
    <row r="2148">
      <c r="A2148" s="101" t="s">
        <v>4753</v>
      </c>
      <c r="B2148" s="101" t="s">
        <v>4754</v>
      </c>
      <c r="D2148" s="13"/>
      <c r="E2148" s="13"/>
      <c r="F2148" s="13"/>
      <c r="G2148" s="102">
        <v>1.0</v>
      </c>
      <c r="H2148" s="101" t="s">
        <v>2940</v>
      </c>
      <c r="I2148" s="102">
        <v>65.12</v>
      </c>
      <c r="J2148" s="102">
        <v>80.1</v>
      </c>
      <c r="K2148" s="101" t="s">
        <v>2941</v>
      </c>
      <c r="L2148" s="102">
        <v>23.0</v>
      </c>
      <c r="M2148" s="13"/>
    </row>
    <row r="2149">
      <c r="A2149" s="101" t="s">
        <v>4753</v>
      </c>
      <c r="B2149" s="101" t="s">
        <v>4754</v>
      </c>
      <c r="D2149" s="13"/>
      <c r="E2149" s="13"/>
      <c r="F2149" s="13"/>
      <c r="G2149" s="102">
        <v>2.0</v>
      </c>
      <c r="H2149" s="101" t="s">
        <v>2942</v>
      </c>
      <c r="I2149" s="102">
        <v>52.1</v>
      </c>
      <c r="J2149" s="102">
        <v>64.08</v>
      </c>
      <c r="K2149" s="101" t="s">
        <v>2941</v>
      </c>
      <c r="L2149" s="102">
        <v>23.0</v>
      </c>
      <c r="M2149" s="13"/>
    </row>
    <row r="2150">
      <c r="A2150" s="101" t="s">
        <v>4755</v>
      </c>
      <c r="B2150" s="101" t="s">
        <v>4756</v>
      </c>
      <c r="D2150" s="13"/>
      <c r="E2150" s="13"/>
      <c r="F2150" s="13"/>
      <c r="G2150" s="102">
        <v>1.0</v>
      </c>
      <c r="H2150" s="101" t="s">
        <v>2940</v>
      </c>
      <c r="I2150" s="102">
        <v>97.8</v>
      </c>
      <c r="J2150" s="102">
        <v>120.29</v>
      </c>
      <c r="K2150" s="101" t="s">
        <v>2941</v>
      </c>
      <c r="L2150" s="102">
        <v>23.0</v>
      </c>
      <c r="M2150" s="13"/>
    </row>
    <row r="2151">
      <c r="A2151" s="101" t="s">
        <v>4755</v>
      </c>
      <c r="B2151" s="101" t="s">
        <v>4756</v>
      </c>
      <c r="D2151" s="13"/>
      <c r="E2151" s="13"/>
      <c r="F2151" s="13"/>
      <c r="G2151" s="102">
        <v>2.0</v>
      </c>
      <c r="H2151" s="101" t="s">
        <v>2942</v>
      </c>
      <c r="I2151" s="102">
        <v>78.2</v>
      </c>
      <c r="J2151" s="102">
        <v>96.19</v>
      </c>
      <c r="K2151" s="101" t="s">
        <v>2941</v>
      </c>
      <c r="L2151" s="102">
        <v>23.0</v>
      </c>
      <c r="M2151" s="13"/>
    </row>
    <row r="2152">
      <c r="A2152" s="101" t="s">
        <v>4757</v>
      </c>
      <c r="B2152" s="101" t="s">
        <v>4758</v>
      </c>
      <c r="D2152" s="13"/>
      <c r="E2152" s="13"/>
      <c r="F2152" s="13"/>
      <c r="G2152" s="102">
        <v>1.0</v>
      </c>
      <c r="H2152" s="101" t="s">
        <v>2940</v>
      </c>
      <c r="I2152" s="102">
        <v>74.8</v>
      </c>
      <c r="J2152" s="102">
        <v>92.0</v>
      </c>
      <c r="K2152" s="101" t="s">
        <v>2941</v>
      </c>
      <c r="L2152" s="102">
        <v>23.0</v>
      </c>
      <c r="M2152" s="13"/>
    </row>
    <row r="2153">
      <c r="A2153" s="101" t="s">
        <v>4757</v>
      </c>
      <c r="B2153" s="101" t="s">
        <v>4758</v>
      </c>
      <c r="D2153" s="13"/>
      <c r="E2153" s="13"/>
      <c r="F2153" s="13"/>
      <c r="G2153" s="102">
        <v>2.0</v>
      </c>
      <c r="H2153" s="101" t="s">
        <v>2942</v>
      </c>
      <c r="I2153" s="102">
        <v>74.8</v>
      </c>
      <c r="J2153" s="102">
        <v>92.0</v>
      </c>
      <c r="K2153" s="101" t="s">
        <v>2941</v>
      </c>
      <c r="L2153" s="102">
        <v>23.0</v>
      </c>
      <c r="M2153" s="13"/>
    </row>
    <row r="2154">
      <c r="A2154" s="101" t="s">
        <v>4759</v>
      </c>
      <c r="B2154" s="101" t="s">
        <v>4760</v>
      </c>
      <c r="D2154" s="13"/>
      <c r="E2154" s="13"/>
      <c r="F2154" s="13"/>
      <c r="G2154" s="102">
        <v>1.0</v>
      </c>
      <c r="H2154" s="101" t="s">
        <v>2940</v>
      </c>
      <c r="I2154" s="102">
        <v>149.6</v>
      </c>
      <c r="J2154" s="102">
        <v>184.01</v>
      </c>
      <c r="K2154" s="101" t="s">
        <v>2941</v>
      </c>
      <c r="L2154" s="102">
        <v>23.0</v>
      </c>
      <c r="M2154" s="13"/>
    </row>
    <row r="2155">
      <c r="A2155" s="101" t="s">
        <v>4759</v>
      </c>
      <c r="B2155" s="101" t="s">
        <v>4760</v>
      </c>
      <c r="D2155" s="13"/>
      <c r="E2155" s="13"/>
      <c r="F2155" s="13"/>
      <c r="G2155" s="102">
        <v>2.0</v>
      </c>
      <c r="H2155" s="101" t="s">
        <v>2942</v>
      </c>
      <c r="I2155" s="102">
        <v>149.6</v>
      </c>
      <c r="J2155" s="102">
        <v>184.01</v>
      </c>
      <c r="K2155" s="101" t="s">
        <v>2941</v>
      </c>
      <c r="L2155" s="102">
        <v>23.0</v>
      </c>
      <c r="M2155" s="13"/>
    </row>
    <row r="2156">
      <c r="A2156" s="101" t="s">
        <v>4761</v>
      </c>
      <c r="B2156" s="101" t="s">
        <v>4762</v>
      </c>
      <c r="D2156" s="13"/>
      <c r="E2156" s="13"/>
      <c r="F2156" s="13"/>
      <c r="G2156" s="102">
        <v>1.0</v>
      </c>
      <c r="H2156" s="101" t="s">
        <v>2940</v>
      </c>
      <c r="I2156" s="102">
        <v>224.4</v>
      </c>
      <c r="J2156" s="102">
        <v>276.01</v>
      </c>
      <c r="K2156" s="101" t="s">
        <v>2941</v>
      </c>
      <c r="L2156" s="102">
        <v>23.0</v>
      </c>
      <c r="M2156" s="13"/>
    </row>
    <row r="2157">
      <c r="A2157" s="101" t="s">
        <v>4761</v>
      </c>
      <c r="B2157" s="101" t="s">
        <v>4762</v>
      </c>
      <c r="D2157" s="13"/>
      <c r="E2157" s="13"/>
      <c r="F2157" s="13"/>
      <c r="G2157" s="102">
        <v>2.0</v>
      </c>
      <c r="H2157" s="101" t="s">
        <v>2942</v>
      </c>
      <c r="I2157" s="102">
        <v>224.4</v>
      </c>
      <c r="J2157" s="102">
        <v>276.01</v>
      </c>
      <c r="K2157" s="101" t="s">
        <v>2941</v>
      </c>
      <c r="L2157" s="102">
        <v>23.0</v>
      </c>
      <c r="M2157" s="13"/>
    </row>
    <row r="2158">
      <c r="A2158" s="101" t="s">
        <v>4763</v>
      </c>
      <c r="B2158" s="101" t="s">
        <v>4764</v>
      </c>
      <c r="D2158" s="13"/>
      <c r="E2158" s="13"/>
      <c r="F2158" s="13"/>
      <c r="G2158" s="102">
        <v>1.0</v>
      </c>
      <c r="H2158" s="101" t="s">
        <v>2940</v>
      </c>
      <c r="I2158" s="102">
        <v>78.78</v>
      </c>
      <c r="J2158" s="102">
        <v>96.9</v>
      </c>
      <c r="K2158" s="101" t="s">
        <v>2941</v>
      </c>
      <c r="L2158" s="102">
        <v>23.0</v>
      </c>
      <c r="M2158" s="13"/>
    </row>
    <row r="2159">
      <c r="A2159" s="101" t="s">
        <v>4763</v>
      </c>
      <c r="B2159" s="101" t="s">
        <v>4764</v>
      </c>
      <c r="D2159" s="13"/>
      <c r="E2159" s="13"/>
      <c r="F2159" s="13"/>
      <c r="G2159" s="102">
        <v>2.0</v>
      </c>
      <c r="H2159" s="101" t="s">
        <v>2942</v>
      </c>
      <c r="I2159" s="102">
        <v>63.0</v>
      </c>
      <c r="J2159" s="102">
        <v>77.49</v>
      </c>
      <c r="K2159" s="101" t="s">
        <v>2941</v>
      </c>
      <c r="L2159" s="102">
        <v>23.0</v>
      </c>
      <c r="M2159" s="13"/>
    </row>
    <row r="2160">
      <c r="A2160" s="101" t="s">
        <v>4765</v>
      </c>
      <c r="B2160" s="101" t="s">
        <v>4766</v>
      </c>
      <c r="D2160" s="13"/>
      <c r="E2160" s="13"/>
      <c r="F2160" s="13"/>
      <c r="G2160" s="102">
        <v>1.0</v>
      </c>
      <c r="H2160" s="101" t="s">
        <v>2940</v>
      </c>
      <c r="I2160" s="102">
        <v>157.56</v>
      </c>
      <c r="J2160" s="102">
        <v>193.8</v>
      </c>
      <c r="K2160" s="101" t="s">
        <v>2941</v>
      </c>
      <c r="L2160" s="102">
        <v>23.0</v>
      </c>
      <c r="M2160" s="13"/>
    </row>
    <row r="2161">
      <c r="A2161" s="101" t="s">
        <v>4765</v>
      </c>
      <c r="B2161" s="101" t="s">
        <v>4766</v>
      </c>
      <c r="D2161" s="13"/>
      <c r="E2161" s="13"/>
      <c r="F2161" s="13"/>
      <c r="G2161" s="102">
        <v>2.0</v>
      </c>
      <c r="H2161" s="101" t="s">
        <v>2942</v>
      </c>
      <c r="I2161" s="102">
        <v>126.0</v>
      </c>
      <c r="J2161" s="102">
        <v>154.98</v>
      </c>
      <c r="K2161" s="101" t="s">
        <v>2941</v>
      </c>
      <c r="L2161" s="102">
        <v>23.0</v>
      </c>
      <c r="M2161" s="13"/>
    </row>
    <row r="2162">
      <c r="A2162" s="101" t="s">
        <v>4767</v>
      </c>
      <c r="B2162" s="101" t="s">
        <v>4768</v>
      </c>
      <c r="D2162" s="13"/>
      <c r="E2162" s="13"/>
      <c r="F2162" s="13"/>
      <c r="G2162" s="102">
        <v>1.0</v>
      </c>
      <c r="H2162" s="101" t="s">
        <v>2940</v>
      </c>
      <c r="I2162" s="102">
        <v>236.34</v>
      </c>
      <c r="J2162" s="102">
        <v>290.7</v>
      </c>
      <c r="K2162" s="101" t="s">
        <v>2941</v>
      </c>
      <c r="L2162" s="102">
        <v>23.0</v>
      </c>
      <c r="M2162" s="13"/>
    </row>
    <row r="2163">
      <c r="A2163" s="101" t="s">
        <v>4767</v>
      </c>
      <c r="B2163" s="101" t="s">
        <v>4768</v>
      </c>
      <c r="D2163" s="13"/>
      <c r="E2163" s="13"/>
      <c r="F2163" s="13"/>
      <c r="G2163" s="102">
        <v>2.0</v>
      </c>
      <c r="H2163" s="101" t="s">
        <v>2942</v>
      </c>
      <c r="I2163" s="102">
        <v>189.1</v>
      </c>
      <c r="J2163" s="102">
        <v>232.59</v>
      </c>
      <c r="K2163" s="101" t="s">
        <v>2941</v>
      </c>
      <c r="L2163" s="102">
        <v>23.0</v>
      </c>
      <c r="M2163" s="13"/>
    </row>
    <row r="2164">
      <c r="A2164" s="101" t="s">
        <v>4769</v>
      </c>
      <c r="B2164" s="101" t="s">
        <v>4770</v>
      </c>
      <c r="D2164" s="13"/>
      <c r="E2164" s="13"/>
      <c r="F2164" s="13"/>
      <c r="G2164" s="102">
        <v>1.0</v>
      </c>
      <c r="H2164" s="101" t="s">
        <v>2940</v>
      </c>
      <c r="I2164" s="102">
        <v>108.46</v>
      </c>
      <c r="J2164" s="102">
        <v>133.41</v>
      </c>
      <c r="K2164" s="101" t="s">
        <v>2941</v>
      </c>
      <c r="L2164" s="102">
        <v>23.0</v>
      </c>
      <c r="M2164" s="13"/>
    </row>
    <row r="2165">
      <c r="A2165" s="101" t="s">
        <v>4769</v>
      </c>
      <c r="B2165" s="101" t="s">
        <v>4770</v>
      </c>
      <c r="D2165" s="13"/>
      <c r="E2165" s="13"/>
      <c r="F2165" s="13"/>
      <c r="G2165" s="102">
        <v>2.0</v>
      </c>
      <c r="H2165" s="101" t="s">
        <v>2942</v>
      </c>
      <c r="I2165" s="102">
        <v>86.8</v>
      </c>
      <c r="J2165" s="102">
        <v>106.76</v>
      </c>
      <c r="K2165" s="101" t="s">
        <v>2941</v>
      </c>
      <c r="L2165" s="102">
        <v>23.0</v>
      </c>
      <c r="M2165" s="13"/>
    </row>
    <row r="2166">
      <c r="A2166" s="101" t="s">
        <v>4771</v>
      </c>
      <c r="B2166" s="101" t="s">
        <v>4772</v>
      </c>
      <c r="D2166" s="13"/>
      <c r="E2166" s="13"/>
      <c r="F2166" s="13"/>
      <c r="G2166" s="102">
        <v>1.0</v>
      </c>
      <c r="H2166" s="101" t="s">
        <v>2940</v>
      </c>
      <c r="I2166" s="102">
        <v>216.83</v>
      </c>
      <c r="J2166" s="102">
        <v>266.7</v>
      </c>
      <c r="K2166" s="101" t="s">
        <v>2941</v>
      </c>
      <c r="L2166" s="102">
        <v>23.0</v>
      </c>
      <c r="M2166" s="13"/>
    </row>
    <row r="2167">
      <c r="A2167" s="101" t="s">
        <v>4771</v>
      </c>
      <c r="B2167" s="101" t="s">
        <v>4772</v>
      </c>
      <c r="D2167" s="13"/>
      <c r="E2167" s="13"/>
      <c r="F2167" s="13"/>
      <c r="G2167" s="102">
        <v>2.0</v>
      </c>
      <c r="H2167" s="101" t="s">
        <v>2942</v>
      </c>
      <c r="I2167" s="102">
        <v>173.5</v>
      </c>
      <c r="J2167" s="102">
        <v>213.41</v>
      </c>
      <c r="K2167" s="101" t="s">
        <v>2941</v>
      </c>
      <c r="L2167" s="102">
        <v>23.0</v>
      </c>
      <c r="M2167" s="13"/>
    </row>
    <row r="2168">
      <c r="A2168" s="101" t="s">
        <v>4773</v>
      </c>
      <c r="B2168" s="101" t="s">
        <v>4774</v>
      </c>
      <c r="D2168" s="13"/>
      <c r="E2168" s="13"/>
      <c r="F2168" s="13"/>
      <c r="G2168" s="102">
        <v>1.0</v>
      </c>
      <c r="H2168" s="101" t="s">
        <v>2940</v>
      </c>
      <c r="I2168" s="102">
        <v>325.28</v>
      </c>
      <c r="J2168" s="102">
        <v>400.09</v>
      </c>
      <c r="K2168" s="101" t="s">
        <v>2941</v>
      </c>
      <c r="L2168" s="102">
        <v>23.0</v>
      </c>
      <c r="M2168" s="13"/>
    </row>
    <row r="2169">
      <c r="A2169" s="101" t="s">
        <v>4773</v>
      </c>
      <c r="B2169" s="101" t="s">
        <v>4774</v>
      </c>
      <c r="D2169" s="13"/>
      <c r="E2169" s="13"/>
      <c r="F2169" s="13"/>
      <c r="G2169" s="102">
        <v>2.0</v>
      </c>
      <c r="H2169" s="101" t="s">
        <v>2942</v>
      </c>
      <c r="I2169" s="102">
        <v>260.2</v>
      </c>
      <c r="J2169" s="102">
        <v>320.05</v>
      </c>
      <c r="K2169" s="101" t="s">
        <v>2941</v>
      </c>
      <c r="L2169" s="102">
        <v>23.0</v>
      </c>
      <c r="M2169" s="13"/>
    </row>
    <row r="2170">
      <c r="A2170" s="101" t="s">
        <v>4775</v>
      </c>
      <c r="B2170" s="101" t="s">
        <v>4776</v>
      </c>
      <c r="D2170" s="13"/>
      <c r="E2170" s="13"/>
      <c r="F2170" s="13"/>
      <c r="G2170" s="102">
        <v>1.0</v>
      </c>
      <c r="H2170" s="101" t="s">
        <v>2940</v>
      </c>
      <c r="I2170" s="102">
        <v>16.99</v>
      </c>
      <c r="J2170" s="102">
        <v>20.9</v>
      </c>
      <c r="K2170" s="101" t="s">
        <v>2941</v>
      </c>
      <c r="L2170" s="102">
        <v>23.0</v>
      </c>
      <c r="M2170" s="13"/>
    </row>
    <row r="2171">
      <c r="A2171" s="101" t="s">
        <v>4775</v>
      </c>
      <c r="B2171" s="101" t="s">
        <v>4776</v>
      </c>
      <c r="D2171" s="13"/>
      <c r="E2171" s="13"/>
      <c r="F2171" s="13"/>
      <c r="G2171" s="102">
        <v>2.0</v>
      </c>
      <c r="H2171" s="101" t="s">
        <v>2942</v>
      </c>
      <c r="I2171" s="102">
        <v>13.6</v>
      </c>
      <c r="J2171" s="102">
        <v>16.73</v>
      </c>
      <c r="K2171" s="101" t="s">
        <v>2941</v>
      </c>
      <c r="L2171" s="102">
        <v>23.0</v>
      </c>
      <c r="M2171" s="13"/>
    </row>
    <row r="2172">
      <c r="A2172" s="101" t="s">
        <v>4777</v>
      </c>
      <c r="B2172" s="101" t="s">
        <v>4778</v>
      </c>
      <c r="D2172" s="13"/>
      <c r="E2172" s="13"/>
      <c r="F2172" s="13"/>
      <c r="G2172" s="102">
        <v>1.0</v>
      </c>
      <c r="H2172" s="101" t="s">
        <v>2940</v>
      </c>
      <c r="I2172" s="102">
        <v>33.98</v>
      </c>
      <c r="J2172" s="102">
        <v>41.8</v>
      </c>
      <c r="K2172" s="101" t="s">
        <v>2941</v>
      </c>
      <c r="L2172" s="102">
        <v>23.0</v>
      </c>
      <c r="M2172" s="13"/>
    </row>
    <row r="2173">
      <c r="A2173" s="101" t="s">
        <v>4777</v>
      </c>
      <c r="B2173" s="101" t="s">
        <v>4778</v>
      </c>
      <c r="D2173" s="13"/>
      <c r="E2173" s="13"/>
      <c r="F2173" s="13"/>
      <c r="G2173" s="102">
        <v>2.0</v>
      </c>
      <c r="H2173" s="101" t="s">
        <v>2942</v>
      </c>
      <c r="I2173" s="102">
        <v>27.2</v>
      </c>
      <c r="J2173" s="102">
        <v>33.46</v>
      </c>
      <c r="K2173" s="101" t="s">
        <v>2941</v>
      </c>
      <c r="L2173" s="102">
        <v>23.0</v>
      </c>
      <c r="M2173" s="13"/>
    </row>
    <row r="2174">
      <c r="A2174" s="101" t="s">
        <v>4779</v>
      </c>
      <c r="B2174" s="101" t="s">
        <v>4780</v>
      </c>
      <c r="D2174" s="13"/>
      <c r="E2174" s="13"/>
      <c r="F2174" s="13"/>
      <c r="G2174" s="102">
        <v>1.0</v>
      </c>
      <c r="H2174" s="101" t="s">
        <v>2940</v>
      </c>
      <c r="I2174" s="102">
        <v>51.06</v>
      </c>
      <c r="J2174" s="102">
        <v>62.8</v>
      </c>
      <c r="K2174" s="101" t="s">
        <v>2941</v>
      </c>
      <c r="L2174" s="102">
        <v>23.0</v>
      </c>
      <c r="M2174" s="13"/>
    </row>
    <row r="2175">
      <c r="A2175" s="101" t="s">
        <v>4779</v>
      </c>
      <c r="B2175" s="101" t="s">
        <v>4780</v>
      </c>
      <c r="D2175" s="13"/>
      <c r="E2175" s="13"/>
      <c r="F2175" s="13"/>
      <c r="G2175" s="102">
        <v>2.0</v>
      </c>
      <c r="H2175" s="101" t="s">
        <v>2942</v>
      </c>
      <c r="I2175" s="102">
        <v>40.8</v>
      </c>
      <c r="J2175" s="102">
        <v>50.18</v>
      </c>
      <c r="K2175" s="101" t="s">
        <v>2941</v>
      </c>
      <c r="L2175" s="102">
        <v>23.0</v>
      </c>
      <c r="M2175" s="13"/>
    </row>
    <row r="2176">
      <c r="A2176" s="101" t="s">
        <v>4781</v>
      </c>
      <c r="B2176" s="101" t="s">
        <v>4782</v>
      </c>
      <c r="D2176" s="13"/>
      <c r="E2176" s="13"/>
      <c r="F2176" s="13"/>
      <c r="G2176" s="102">
        <v>1.0</v>
      </c>
      <c r="H2176" s="101" t="s">
        <v>2940</v>
      </c>
      <c r="I2176" s="102">
        <v>23.58</v>
      </c>
      <c r="J2176" s="102">
        <v>29.0</v>
      </c>
      <c r="K2176" s="101" t="s">
        <v>2941</v>
      </c>
      <c r="L2176" s="102">
        <v>23.0</v>
      </c>
      <c r="M2176" s="13"/>
    </row>
    <row r="2177">
      <c r="A2177" s="101" t="s">
        <v>4781</v>
      </c>
      <c r="B2177" s="101" t="s">
        <v>4782</v>
      </c>
      <c r="D2177" s="13"/>
      <c r="E2177" s="13"/>
      <c r="F2177" s="13"/>
      <c r="G2177" s="102">
        <v>2.0</v>
      </c>
      <c r="H2177" s="101" t="s">
        <v>2942</v>
      </c>
      <c r="I2177" s="102">
        <v>18.9</v>
      </c>
      <c r="J2177" s="102">
        <v>23.25</v>
      </c>
      <c r="K2177" s="101" t="s">
        <v>2941</v>
      </c>
      <c r="L2177" s="102">
        <v>23.0</v>
      </c>
      <c r="M2177" s="13"/>
    </row>
    <row r="2178">
      <c r="A2178" s="101" t="s">
        <v>4783</v>
      </c>
      <c r="B2178" s="101" t="s">
        <v>4784</v>
      </c>
      <c r="D2178" s="13"/>
      <c r="E2178" s="13"/>
      <c r="F2178" s="13"/>
      <c r="G2178" s="102">
        <v>1.0</v>
      </c>
      <c r="H2178" s="101" t="s">
        <v>2940</v>
      </c>
      <c r="I2178" s="102">
        <v>47.24</v>
      </c>
      <c r="J2178" s="102">
        <v>58.11</v>
      </c>
      <c r="K2178" s="101" t="s">
        <v>2941</v>
      </c>
      <c r="L2178" s="102">
        <v>23.0</v>
      </c>
      <c r="M2178" s="13"/>
    </row>
    <row r="2179">
      <c r="A2179" s="101" t="s">
        <v>4783</v>
      </c>
      <c r="B2179" s="101" t="s">
        <v>4784</v>
      </c>
      <c r="D2179" s="13"/>
      <c r="E2179" s="13"/>
      <c r="F2179" s="13"/>
      <c r="G2179" s="102">
        <v>2.0</v>
      </c>
      <c r="H2179" s="101" t="s">
        <v>2942</v>
      </c>
      <c r="I2179" s="102">
        <v>37.8</v>
      </c>
      <c r="J2179" s="102">
        <v>46.49</v>
      </c>
      <c r="K2179" s="101" t="s">
        <v>2941</v>
      </c>
      <c r="L2179" s="102">
        <v>23.0</v>
      </c>
      <c r="M2179" s="13"/>
    </row>
    <row r="2180">
      <c r="A2180" s="101" t="s">
        <v>4785</v>
      </c>
      <c r="B2180" s="101" t="s">
        <v>4786</v>
      </c>
      <c r="D2180" s="13"/>
      <c r="E2180" s="13"/>
      <c r="F2180" s="13"/>
      <c r="G2180" s="102">
        <v>1.0</v>
      </c>
      <c r="H2180" s="101" t="s">
        <v>2940</v>
      </c>
      <c r="I2180" s="102">
        <v>70.81</v>
      </c>
      <c r="J2180" s="102">
        <v>87.1</v>
      </c>
      <c r="K2180" s="101" t="s">
        <v>2941</v>
      </c>
      <c r="L2180" s="102">
        <v>23.0</v>
      </c>
      <c r="M2180" s="13"/>
    </row>
    <row r="2181">
      <c r="A2181" s="101" t="s">
        <v>4785</v>
      </c>
      <c r="B2181" s="101" t="s">
        <v>4786</v>
      </c>
      <c r="D2181" s="13"/>
      <c r="E2181" s="13"/>
      <c r="F2181" s="13"/>
      <c r="G2181" s="102">
        <v>2.0</v>
      </c>
      <c r="H2181" s="101" t="s">
        <v>2942</v>
      </c>
      <c r="I2181" s="102">
        <v>56.7</v>
      </c>
      <c r="J2181" s="102">
        <v>69.74</v>
      </c>
      <c r="K2181" s="101" t="s">
        <v>2941</v>
      </c>
      <c r="L2181" s="102">
        <v>23.0</v>
      </c>
      <c r="M2181" s="13"/>
    </row>
    <row r="2182">
      <c r="A2182" s="101" t="s">
        <v>4787</v>
      </c>
      <c r="B2182" s="101" t="s">
        <v>4788</v>
      </c>
      <c r="D2182" s="13"/>
      <c r="E2182" s="13"/>
      <c r="F2182" s="13"/>
      <c r="G2182" s="102">
        <v>1.0</v>
      </c>
      <c r="H2182" s="101" t="s">
        <v>2940</v>
      </c>
      <c r="I2182" s="102">
        <v>26.34</v>
      </c>
      <c r="J2182" s="102">
        <v>32.4</v>
      </c>
      <c r="K2182" s="101" t="s">
        <v>2941</v>
      </c>
      <c r="L2182" s="102">
        <v>23.0</v>
      </c>
      <c r="M2182" s="13"/>
    </row>
    <row r="2183">
      <c r="A2183" s="101" t="s">
        <v>4787</v>
      </c>
      <c r="B2183" s="101" t="s">
        <v>4788</v>
      </c>
      <c r="D2183" s="13"/>
      <c r="E2183" s="13"/>
      <c r="F2183" s="13"/>
      <c r="G2183" s="102">
        <v>2.0</v>
      </c>
      <c r="H2183" s="101" t="s">
        <v>2942</v>
      </c>
      <c r="I2183" s="102">
        <v>21.1</v>
      </c>
      <c r="J2183" s="102">
        <v>25.95</v>
      </c>
      <c r="K2183" s="101" t="s">
        <v>2941</v>
      </c>
      <c r="L2183" s="102">
        <v>23.0</v>
      </c>
      <c r="M2183" s="13"/>
    </row>
    <row r="2184">
      <c r="A2184" s="101" t="s">
        <v>4789</v>
      </c>
      <c r="B2184" s="101" t="s">
        <v>4790</v>
      </c>
      <c r="D2184" s="13"/>
      <c r="E2184" s="13"/>
      <c r="F2184" s="13"/>
      <c r="G2184" s="102">
        <v>1.0</v>
      </c>
      <c r="H2184" s="101" t="s">
        <v>2940</v>
      </c>
      <c r="I2184" s="102">
        <v>52.76</v>
      </c>
      <c r="J2184" s="102">
        <v>64.89</v>
      </c>
      <c r="K2184" s="101" t="s">
        <v>2941</v>
      </c>
      <c r="L2184" s="102">
        <v>23.0</v>
      </c>
      <c r="M2184" s="13"/>
    </row>
    <row r="2185">
      <c r="A2185" s="101" t="s">
        <v>4789</v>
      </c>
      <c r="B2185" s="101" t="s">
        <v>4790</v>
      </c>
      <c r="D2185" s="13"/>
      <c r="E2185" s="13"/>
      <c r="F2185" s="13"/>
      <c r="G2185" s="102">
        <v>2.0</v>
      </c>
      <c r="H2185" s="101" t="s">
        <v>2942</v>
      </c>
      <c r="I2185" s="102">
        <v>42.2</v>
      </c>
      <c r="J2185" s="102">
        <v>51.91</v>
      </c>
      <c r="K2185" s="101" t="s">
        <v>2941</v>
      </c>
      <c r="L2185" s="102">
        <v>23.0</v>
      </c>
      <c r="M2185" s="13"/>
    </row>
    <row r="2186">
      <c r="A2186" s="101" t="s">
        <v>4791</v>
      </c>
      <c r="B2186" s="101" t="s">
        <v>4792</v>
      </c>
      <c r="D2186" s="13"/>
      <c r="E2186" s="13"/>
      <c r="F2186" s="13"/>
      <c r="G2186" s="102">
        <v>1.0</v>
      </c>
      <c r="H2186" s="101" t="s">
        <v>2940</v>
      </c>
      <c r="I2186" s="102">
        <v>79.11</v>
      </c>
      <c r="J2186" s="102">
        <v>97.31</v>
      </c>
      <c r="K2186" s="101" t="s">
        <v>2941</v>
      </c>
      <c r="L2186" s="102">
        <v>23.0</v>
      </c>
      <c r="M2186" s="13"/>
    </row>
    <row r="2187">
      <c r="A2187" s="101" t="s">
        <v>4791</v>
      </c>
      <c r="B2187" s="101" t="s">
        <v>4792</v>
      </c>
      <c r="D2187" s="13"/>
      <c r="E2187" s="13"/>
      <c r="F2187" s="13"/>
      <c r="G2187" s="102">
        <v>2.0</v>
      </c>
      <c r="H2187" s="101" t="s">
        <v>2942</v>
      </c>
      <c r="I2187" s="102">
        <v>63.3</v>
      </c>
      <c r="J2187" s="102">
        <v>77.86</v>
      </c>
      <c r="K2187" s="101" t="s">
        <v>2941</v>
      </c>
      <c r="L2187" s="102">
        <v>23.0</v>
      </c>
      <c r="M2187" s="13"/>
    </row>
    <row r="2188">
      <c r="A2188" s="101" t="s">
        <v>4793</v>
      </c>
      <c r="B2188" s="101" t="s">
        <v>4794</v>
      </c>
      <c r="D2188" s="13"/>
      <c r="E2188" s="13"/>
      <c r="F2188" s="13"/>
      <c r="G2188" s="102">
        <v>1.0</v>
      </c>
      <c r="H2188" s="101" t="s">
        <v>2940</v>
      </c>
      <c r="I2188" s="102">
        <v>31.71</v>
      </c>
      <c r="J2188" s="102">
        <v>39.0</v>
      </c>
      <c r="K2188" s="101" t="s">
        <v>2941</v>
      </c>
      <c r="L2188" s="102">
        <v>23.0</v>
      </c>
      <c r="M2188" s="13"/>
    </row>
    <row r="2189">
      <c r="A2189" s="101" t="s">
        <v>4793</v>
      </c>
      <c r="B2189" s="101" t="s">
        <v>4794</v>
      </c>
      <c r="D2189" s="13"/>
      <c r="E2189" s="13"/>
      <c r="F2189" s="13"/>
      <c r="G2189" s="102">
        <v>2.0</v>
      </c>
      <c r="H2189" s="101" t="s">
        <v>2942</v>
      </c>
      <c r="I2189" s="102">
        <v>25.4</v>
      </c>
      <c r="J2189" s="102">
        <v>31.24</v>
      </c>
      <c r="K2189" s="101" t="s">
        <v>2941</v>
      </c>
      <c r="L2189" s="102">
        <v>23.0</v>
      </c>
      <c r="M2189" s="13"/>
    </row>
    <row r="2190">
      <c r="A2190" s="101" t="s">
        <v>4795</v>
      </c>
      <c r="B2190" s="101" t="s">
        <v>4796</v>
      </c>
      <c r="D2190" s="13"/>
      <c r="E2190" s="13"/>
      <c r="F2190" s="13"/>
      <c r="G2190" s="102">
        <v>1.0</v>
      </c>
      <c r="H2190" s="101" t="s">
        <v>2940</v>
      </c>
      <c r="I2190" s="102">
        <v>63.25</v>
      </c>
      <c r="J2190" s="102">
        <v>77.8</v>
      </c>
      <c r="K2190" s="101" t="s">
        <v>2941</v>
      </c>
      <c r="L2190" s="102">
        <v>23.0</v>
      </c>
      <c r="M2190" s="13"/>
    </row>
    <row r="2191">
      <c r="A2191" s="101" t="s">
        <v>4795</v>
      </c>
      <c r="B2191" s="101" t="s">
        <v>4796</v>
      </c>
      <c r="D2191" s="13"/>
      <c r="E2191" s="13"/>
      <c r="F2191" s="13"/>
      <c r="G2191" s="102">
        <v>2.0</v>
      </c>
      <c r="H2191" s="101" t="s">
        <v>2942</v>
      </c>
      <c r="I2191" s="102">
        <v>50.6</v>
      </c>
      <c r="J2191" s="102">
        <v>62.24</v>
      </c>
      <c r="K2191" s="101" t="s">
        <v>2941</v>
      </c>
      <c r="L2191" s="102">
        <v>23.0</v>
      </c>
      <c r="M2191" s="13"/>
    </row>
    <row r="2192">
      <c r="A2192" s="101" t="s">
        <v>4797</v>
      </c>
      <c r="B2192" s="101" t="s">
        <v>4798</v>
      </c>
      <c r="D2192" s="13"/>
      <c r="E2192" s="13"/>
      <c r="F2192" s="13"/>
      <c r="G2192" s="102">
        <v>1.0</v>
      </c>
      <c r="H2192" s="101" t="s">
        <v>2940</v>
      </c>
      <c r="I2192" s="102">
        <v>94.96</v>
      </c>
      <c r="J2192" s="102">
        <v>116.8</v>
      </c>
      <c r="K2192" s="101" t="s">
        <v>2941</v>
      </c>
      <c r="L2192" s="102">
        <v>23.0</v>
      </c>
      <c r="M2192" s="13"/>
    </row>
    <row r="2193">
      <c r="A2193" s="101" t="s">
        <v>4797</v>
      </c>
      <c r="B2193" s="101" t="s">
        <v>4798</v>
      </c>
      <c r="D2193" s="13"/>
      <c r="E2193" s="13"/>
      <c r="F2193" s="13"/>
      <c r="G2193" s="102">
        <v>2.0</v>
      </c>
      <c r="H2193" s="101" t="s">
        <v>2942</v>
      </c>
      <c r="I2193" s="102">
        <v>76.0</v>
      </c>
      <c r="J2193" s="102">
        <v>93.48</v>
      </c>
      <c r="K2193" s="101" t="s">
        <v>2941</v>
      </c>
      <c r="L2193" s="102">
        <v>23.0</v>
      </c>
      <c r="M2193" s="13"/>
    </row>
    <row r="2194">
      <c r="A2194" s="101" t="s">
        <v>4799</v>
      </c>
      <c r="B2194" s="101" t="s">
        <v>4800</v>
      </c>
      <c r="D2194" s="13"/>
      <c r="E2194" s="13"/>
      <c r="F2194" s="13"/>
      <c r="G2194" s="102">
        <v>1.0</v>
      </c>
      <c r="H2194" s="101" t="s">
        <v>2940</v>
      </c>
      <c r="I2194" s="102">
        <v>50.0</v>
      </c>
      <c r="J2194" s="102">
        <v>61.5</v>
      </c>
      <c r="K2194" s="101" t="s">
        <v>2941</v>
      </c>
      <c r="L2194" s="102">
        <v>23.0</v>
      </c>
      <c r="M2194" s="13"/>
    </row>
    <row r="2195">
      <c r="A2195" s="101" t="s">
        <v>4799</v>
      </c>
      <c r="B2195" s="101" t="s">
        <v>4800</v>
      </c>
      <c r="D2195" s="13"/>
      <c r="E2195" s="13"/>
      <c r="F2195" s="13"/>
      <c r="G2195" s="102">
        <v>2.0</v>
      </c>
      <c r="H2195" s="101" t="s">
        <v>2942</v>
      </c>
      <c r="I2195" s="102">
        <v>40.0</v>
      </c>
      <c r="J2195" s="102">
        <v>49.2</v>
      </c>
      <c r="K2195" s="101" t="s">
        <v>2941</v>
      </c>
      <c r="L2195" s="102">
        <v>23.0</v>
      </c>
      <c r="M2195" s="13"/>
    </row>
    <row r="2196">
      <c r="A2196" s="101" t="s">
        <v>4801</v>
      </c>
      <c r="B2196" s="101" t="s">
        <v>4802</v>
      </c>
      <c r="D2196" s="13"/>
      <c r="E2196" s="13"/>
      <c r="F2196" s="13"/>
      <c r="G2196" s="102">
        <v>1.0</v>
      </c>
      <c r="H2196" s="101" t="s">
        <v>2940</v>
      </c>
      <c r="I2196" s="102">
        <v>100.08</v>
      </c>
      <c r="J2196" s="102">
        <v>123.1</v>
      </c>
      <c r="K2196" s="101" t="s">
        <v>2941</v>
      </c>
      <c r="L2196" s="102">
        <v>23.0</v>
      </c>
      <c r="M2196" s="13"/>
    </row>
    <row r="2197">
      <c r="A2197" s="101" t="s">
        <v>4801</v>
      </c>
      <c r="B2197" s="101" t="s">
        <v>4802</v>
      </c>
      <c r="D2197" s="13"/>
      <c r="E2197" s="13"/>
      <c r="F2197" s="13"/>
      <c r="G2197" s="102">
        <v>2.0</v>
      </c>
      <c r="H2197" s="101" t="s">
        <v>2942</v>
      </c>
      <c r="I2197" s="102">
        <v>80.1</v>
      </c>
      <c r="J2197" s="102">
        <v>98.52</v>
      </c>
      <c r="K2197" s="101" t="s">
        <v>2941</v>
      </c>
      <c r="L2197" s="102">
        <v>23.0</v>
      </c>
      <c r="M2197" s="13"/>
    </row>
    <row r="2198">
      <c r="A2198" s="101" t="s">
        <v>4803</v>
      </c>
      <c r="B2198" s="101" t="s">
        <v>4804</v>
      </c>
      <c r="D2198" s="13"/>
      <c r="E2198" s="13"/>
      <c r="F2198" s="13"/>
      <c r="G2198" s="102">
        <v>1.0</v>
      </c>
      <c r="H2198" s="101" t="s">
        <v>2940</v>
      </c>
      <c r="I2198" s="102">
        <v>150.08</v>
      </c>
      <c r="J2198" s="102">
        <v>184.6</v>
      </c>
      <c r="K2198" s="101" t="s">
        <v>2941</v>
      </c>
      <c r="L2198" s="102">
        <v>23.0</v>
      </c>
      <c r="M2198" s="13"/>
    </row>
    <row r="2199">
      <c r="A2199" s="101" t="s">
        <v>4803</v>
      </c>
      <c r="B2199" s="101" t="s">
        <v>4804</v>
      </c>
      <c r="D2199" s="13"/>
      <c r="E2199" s="13"/>
      <c r="F2199" s="13"/>
      <c r="G2199" s="102">
        <v>2.0</v>
      </c>
      <c r="H2199" s="101" t="s">
        <v>2942</v>
      </c>
      <c r="I2199" s="102">
        <v>120.1</v>
      </c>
      <c r="J2199" s="102">
        <v>147.72</v>
      </c>
      <c r="K2199" s="101" t="s">
        <v>2941</v>
      </c>
      <c r="L2199" s="102">
        <v>23.0</v>
      </c>
      <c r="M2199" s="13"/>
    </row>
    <row r="2200">
      <c r="A2200" s="101" t="s">
        <v>4805</v>
      </c>
      <c r="B2200" s="101">
        <v>15.0</v>
      </c>
      <c r="C2200" s="13"/>
      <c r="D2200" s="13"/>
      <c r="E2200" s="13"/>
      <c r="F2200" s="13"/>
      <c r="G2200" s="102">
        <v>1.0</v>
      </c>
      <c r="H2200" s="101" t="s">
        <v>2940</v>
      </c>
      <c r="I2200" s="102">
        <v>57.4</v>
      </c>
      <c r="J2200" s="102">
        <v>70.6</v>
      </c>
      <c r="K2200" s="101" t="s">
        <v>2941</v>
      </c>
      <c r="L2200" s="102">
        <v>23.0</v>
      </c>
      <c r="M2200" s="13"/>
    </row>
    <row r="2201">
      <c r="A2201" s="101" t="s">
        <v>4805</v>
      </c>
      <c r="B2201" s="101">
        <v>15.0</v>
      </c>
      <c r="C2201" s="13"/>
      <c r="D2201" s="13"/>
      <c r="E2201" s="13"/>
      <c r="F2201" s="13"/>
      <c r="G2201" s="102">
        <v>2.0</v>
      </c>
      <c r="H2201" s="101" t="s">
        <v>2942</v>
      </c>
      <c r="I2201" s="102">
        <v>57.4</v>
      </c>
      <c r="J2201" s="102">
        <v>70.6</v>
      </c>
      <c r="K2201" s="101" t="s">
        <v>2941</v>
      </c>
      <c r="L2201" s="102">
        <v>23.0</v>
      </c>
      <c r="M2201" s="13"/>
    </row>
    <row r="2202">
      <c r="A2202" s="101" t="s">
        <v>4806</v>
      </c>
      <c r="B2202" s="101" t="s">
        <v>4807</v>
      </c>
      <c r="D2202" s="13"/>
      <c r="E2202" s="13"/>
      <c r="F2202" s="13"/>
      <c r="G2202" s="102">
        <v>1.0</v>
      </c>
      <c r="H2202" s="101" t="s">
        <v>2940</v>
      </c>
      <c r="I2202" s="102">
        <v>84.05</v>
      </c>
      <c r="J2202" s="102">
        <v>103.38</v>
      </c>
      <c r="K2202" s="101" t="s">
        <v>2941</v>
      </c>
      <c r="L2202" s="102">
        <v>23.0</v>
      </c>
      <c r="M2202" s="13"/>
    </row>
    <row r="2203">
      <c r="A2203" s="101" t="s">
        <v>4806</v>
      </c>
      <c r="B2203" s="101" t="s">
        <v>4807</v>
      </c>
      <c r="D2203" s="13"/>
      <c r="E2203" s="13"/>
      <c r="F2203" s="13"/>
      <c r="G2203" s="102">
        <v>2.0</v>
      </c>
      <c r="H2203" s="101" t="s">
        <v>2942</v>
      </c>
      <c r="I2203" s="102">
        <v>84.05</v>
      </c>
      <c r="J2203" s="102">
        <v>103.38</v>
      </c>
      <c r="K2203" s="101" t="s">
        <v>2941</v>
      </c>
      <c r="L2203" s="102">
        <v>23.0</v>
      </c>
      <c r="M2203" s="13"/>
    </row>
    <row r="2204">
      <c r="A2204" s="101" t="s">
        <v>4808</v>
      </c>
      <c r="B2204" s="101" t="s">
        <v>4809</v>
      </c>
      <c r="D2204" s="13"/>
      <c r="E2204" s="13"/>
      <c r="F2204" s="13"/>
      <c r="G2204" s="102">
        <v>1.0</v>
      </c>
      <c r="H2204" s="101" t="s">
        <v>2940</v>
      </c>
      <c r="I2204" s="102">
        <v>65.04</v>
      </c>
      <c r="J2204" s="102">
        <v>80.0</v>
      </c>
      <c r="K2204" s="101" t="s">
        <v>2941</v>
      </c>
      <c r="L2204" s="102">
        <v>23.0</v>
      </c>
      <c r="M2204" s="13"/>
    </row>
    <row r="2205">
      <c r="A2205" s="101" t="s">
        <v>4808</v>
      </c>
      <c r="B2205" s="101" t="s">
        <v>4809</v>
      </c>
      <c r="D2205" s="13"/>
      <c r="E2205" s="13"/>
      <c r="F2205" s="13"/>
      <c r="G2205" s="102">
        <v>2.0</v>
      </c>
      <c r="H2205" s="101" t="s">
        <v>2942</v>
      </c>
      <c r="I2205" s="102">
        <v>64.8</v>
      </c>
      <c r="J2205" s="102">
        <v>79.7</v>
      </c>
      <c r="K2205" s="101" t="s">
        <v>2941</v>
      </c>
      <c r="L2205" s="102">
        <v>23.0</v>
      </c>
      <c r="M2205" s="13"/>
    </row>
    <row r="2206">
      <c r="A2206" s="101" t="s">
        <v>4810</v>
      </c>
      <c r="B2206" s="101" t="s">
        <v>4811</v>
      </c>
      <c r="D2206" s="13"/>
      <c r="E2206" s="13"/>
      <c r="F2206" s="13"/>
      <c r="G2206" s="102">
        <v>1.0</v>
      </c>
      <c r="H2206" s="101" t="s">
        <v>2940</v>
      </c>
      <c r="I2206" s="102">
        <v>103.33</v>
      </c>
      <c r="J2206" s="102">
        <v>127.1</v>
      </c>
      <c r="K2206" s="101" t="s">
        <v>2941</v>
      </c>
      <c r="L2206" s="102">
        <v>23.0</v>
      </c>
      <c r="M2206" s="13"/>
    </row>
    <row r="2207">
      <c r="A2207" s="101" t="s">
        <v>4810</v>
      </c>
      <c r="B2207" s="101" t="s">
        <v>4811</v>
      </c>
      <c r="D2207" s="13"/>
      <c r="E2207" s="13"/>
      <c r="F2207" s="13"/>
      <c r="G2207" s="102">
        <v>2.0</v>
      </c>
      <c r="H2207" s="101" t="s">
        <v>2942</v>
      </c>
      <c r="I2207" s="102">
        <v>82.7</v>
      </c>
      <c r="J2207" s="102">
        <v>101.72</v>
      </c>
      <c r="K2207" s="101" t="s">
        <v>2941</v>
      </c>
      <c r="L2207" s="102">
        <v>23.0</v>
      </c>
      <c r="M2207" s="13"/>
    </row>
    <row r="2208">
      <c r="A2208" s="101" t="s">
        <v>4812</v>
      </c>
      <c r="B2208" s="101">
        <v>73.0</v>
      </c>
      <c r="C2208" s="13"/>
      <c r="D2208" s="13"/>
      <c r="E2208" s="13"/>
      <c r="F2208" s="13"/>
      <c r="G2208" s="102">
        <v>1.0</v>
      </c>
      <c r="H2208" s="101" t="s">
        <v>2940</v>
      </c>
      <c r="I2208" s="102">
        <v>172.11</v>
      </c>
      <c r="J2208" s="102">
        <v>211.7</v>
      </c>
      <c r="K2208" s="101" t="s">
        <v>2941</v>
      </c>
      <c r="L2208" s="102">
        <v>23.0</v>
      </c>
      <c r="M2208" s="13"/>
    </row>
    <row r="2209">
      <c r="A2209" s="101" t="s">
        <v>4812</v>
      </c>
      <c r="B2209" s="101">
        <v>73.0</v>
      </c>
      <c r="C2209" s="13"/>
      <c r="D2209" s="13"/>
      <c r="E2209" s="13"/>
      <c r="F2209" s="13"/>
      <c r="G2209" s="102">
        <v>2.0</v>
      </c>
      <c r="H2209" s="101" t="s">
        <v>2942</v>
      </c>
      <c r="I2209" s="102">
        <v>172.1</v>
      </c>
      <c r="J2209" s="102">
        <v>211.68</v>
      </c>
      <c r="K2209" s="101" t="s">
        <v>2941</v>
      </c>
      <c r="L2209" s="102">
        <v>23.0</v>
      </c>
      <c r="M2209" s="13"/>
    </row>
    <row r="2210">
      <c r="A2210" s="101" t="s">
        <v>4813</v>
      </c>
      <c r="B2210" s="101">
        <v>972.0</v>
      </c>
      <c r="C2210" s="13"/>
      <c r="D2210" s="13"/>
      <c r="E2210" s="13"/>
      <c r="F2210" s="13"/>
      <c r="G2210" s="102">
        <v>1.0</v>
      </c>
      <c r="H2210" s="101" t="s">
        <v>2940</v>
      </c>
      <c r="I2210" s="102">
        <v>32.52</v>
      </c>
      <c r="J2210" s="102">
        <v>40.0</v>
      </c>
      <c r="K2210" s="101" t="s">
        <v>2941</v>
      </c>
      <c r="L2210" s="102">
        <v>23.0</v>
      </c>
      <c r="M2210" s="13"/>
    </row>
    <row r="2211">
      <c r="A2211" s="101" t="s">
        <v>4813</v>
      </c>
      <c r="B2211" s="101">
        <v>972.0</v>
      </c>
      <c r="C2211" s="13"/>
      <c r="D2211" s="13"/>
      <c r="E2211" s="13"/>
      <c r="F2211" s="13"/>
      <c r="G2211" s="102">
        <v>2.0</v>
      </c>
      <c r="H2211" s="101" t="s">
        <v>2942</v>
      </c>
      <c r="I2211" s="102">
        <v>31.59</v>
      </c>
      <c r="J2211" s="102">
        <v>38.86</v>
      </c>
      <c r="K2211" s="101" t="s">
        <v>2941</v>
      </c>
      <c r="L2211" s="102">
        <v>23.0</v>
      </c>
      <c r="M2211" s="13"/>
    </row>
    <row r="2212">
      <c r="A2212" s="101" t="s">
        <v>4814</v>
      </c>
      <c r="B2212" s="101" t="s">
        <v>4815</v>
      </c>
      <c r="D2212" s="13"/>
      <c r="E2212" s="13"/>
      <c r="F2212" s="13"/>
      <c r="G2212" s="102">
        <v>1.0</v>
      </c>
      <c r="H2212" s="101" t="s">
        <v>2940</v>
      </c>
      <c r="I2212" s="102">
        <v>84.05</v>
      </c>
      <c r="J2212" s="102">
        <v>103.38</v>
      </c>
      <c r="K2212" s="101" t="s">
        <v>2941</v>
      </c>
      <c r="L2212" s="102">
        <v>23.0</v>
      </c>
      <c r="M2212" s="13"/>
    </row>
    <row r="2213">
      <c r="A2213" s="101" t="s">
        <v>4814</v>
      </c>
      <c r="B2213" s="101" t="s">
        <v>4815</v>
      </c>
      <c r="D2213" s="13"/>
      <c r="E2213" s="13"/>
      <c r="F2213" s="13"/>
      <c r="G2213" s="102">
        <v>2.0</v>
      </c>
      <c r="H2213" s="101" t="s">
        <v>2942</v>
      </c>
      <c r="I2213" s="102">
        <v>84.05</v>
      </c>
      <c r="J2213" s="102">
        <v>103.38</v>
      </c>
      <c r="K2213" s="101" t="s">
        <v>2941</v>
      </c>
      <c r="L2213" s="102">
        <v>23.0</v>
      </c>
      <c r="M2213" s="13"/>
    </row>
    <row r="2214">
      <c r="A2214" s="101" t="s">
        <v>4816</v>
      </c>
      <c r="B2214" s="101" t="s">
        <v>4817</v>
      </c>
      <c r="D2214" s="13"/>
      <c r="E2214" s="13"/>
      <c r="F2214" s="13"/>
      <c r="G2214" s="102">
        <v>1.0</v>
      </c>
      <c r="H2214" s="101" t="s">
        <v>2940</v>
      </c>
      <c r="I2214" s="102">
        <v>59.11</v>
      </c>
      <c r="J2214" s="102">
        <v>72.71</v>
      </c>
      <c r="K2214" s="101" t="s">
        <v>2941</v>
      </c>
      <c r="L2214" s="102">
        <v>23.0</v>
      </c>
      <c r="M2214" s="13"/>
    </row>
    <row r="2215">
      <c r="A2215" s="101" t="s">
        <v>4816</v>
      </c>
      <c r="B2215" s="101" t="s">
        <v>4817</v>
      </c>
      <c r="D2215" s="13"/>
      <c r="E2215" s="13"/>
      <c r="F2215" s="13"/>
      <c r="G2215" s="102">
        <v>2.0</v>
      </c>
      <c r="H2215" s="101" t="s">
        <v>2942</v>
      </c>
      <c r="I2215" s="102">
        <v>47.3</v>
      </c>
      <c r="J2215" s="102">
        <v>58.18</v>
      </c>
      <c r="K2215" s="101" t="s">
        <v>2941</v>
      </c>
      <c r="L2215" s="102">
        <v>23.0</v>
      </c>
      <c r="M2215" s="13"/>
    </row>
    <row r="2216">
      <c r="A2216" s="101" t="s">
        <v>4818</v>
      </c>
      <c r="B2216" s="101" t="s">
        <v>4819</v>
      </c>
      <c r="D2216" s="13"/>
      <c r="E2216" s="13"/>
      <c r="F2216" s="13"/>
      <c r="G2216" s="102">
        <v>1.0</v>
      </c>
      <c r="H2216" s="101" t="s">
        <v>2940</v>
      </c>
      <c r="I2216" s="102">
        <v>118.13</v>
      </c>
      <c r="J2216" s="102">
        <v>145.3</v>
      </c>
      <c r="K2216" s="101" t="s">
        <v>2941</v>
      </c>
      <c r="L2216" s="102">
        <v>23.0</v>
      </c>
      <c r="M2216" s="13"/>
    </row>
    <row r="2217">
      <c r="A2217" s="101" t="s">
        <v>4818</v>
      </c>
      <c r="B2217" s="101" t="s">
        <v>4819</v>
      </c>
      <c r="D2217" s="13"/>
      <c r="E2217" s="13"/>
      <c r="F2217" s="13"/>
      <c r="G2217" s="102">
        <v>2.0</v>
      </c>
      <c r="H2217" s="101" t="s">
        <v>2942</v>
      </c>
      <c r="I2217" s="102">
        <v>94.5</v>
      </c>
      <c r="J2217" s="102">
        <v>116.24</v>
      </c>
      <c r="K2217" s="101" t="s">
        <v>2941</v>
      </c>
      <c r="L2217" s="102">
        <v>23.0</v>
      </c>
      <c r="M2217" s="13"/>
    </row>
    <row r="2218">
      <c r="A2218" s="101" t="s">
        <v>4820</v>
      </c>
      <c r="B2218" s="101" t="s">
        <v>4821</v>
      </c>
      <c r="D2218" s="13"/>
      <c r="E2218" s="13"/>
      <c r="F2218" s="13"/>
      <c r="G2218" s="102">
        <v>1.0</v>
      </c>
      <c r="H2218" s="101" t="s">
        <v>2940</v>
      </c>
      <c r="I2218" s="102">
        <v>148.0</v>
      </c>
      <c r="J2218" s="102">
        <v>182.04</v>
      </c>
      <c r="K2218" s="101" t="s">
        <v>2941</v>
      </c>
      <c r="L2218" s="102">
        <v>23.0</v>
      </c>
      <c r="M2218" s="13"/>
    </row>
    <row r="2219">
      <c r="A2219" s="101" t="s">
        <v>4820</v>
      </c>
      <c r="B2219" s="101" t="s">
        <v>4821</v>
      </c>
      <c r="D2219" s="13"/>
      <c r="E2219" s="13"/>
      <c r="F2219" s="13"/>
      <c r="G2219" s="102">
        <v>2.0</v>
      </c>
      <c r="H2219" s="101" t="s">
        <v>2942</v>
      </c>
      <c r="I2219" s="102">
        <v>148.0</v>
      </c>
      <c r="J2219" s="102">
        <v>182.04</v>
      </c>
      <c r="K2219" s="101" t="s">
        <v>2941</v>
      </c>
      <c r="L2219" s="102">
        <v>23.0</v>
      </c>
      <c r="M2219" s="13"/>
    </row>
    <row r="2220">
      <c r="A2220" s="101" t="s">
        <v>4822</v>
      </c>
      <c r="B2220" s="101" t="s">
        <v>4823</v>
      </c>
      <c r="D2220" s="13"/>
      <c r="E2220" s="13"/>
      <c r="F2220" s="13"/>
      <c r="G2220" s="102">
        <v>1.0</v>
      </c>
      <c r="H2220" s="101" t="s">
        <v>2940</v>
      </c>
      <c r="I2220" s="102">
        <v>177.32</v>
      </c>
      <c r="J2220" s="102">
        <v>218.1</v>
      </c>
      <c r="K2220" s="101" t="s">
        <v>2941</v>
      </c>
      <c r="L2220" s="102">
        <v>23.0</v>
      </c>
      <c r="M2220" s="13"/>
    </row>
    <row r="2221">
      <c r="A2221" s="101" t="s">
        <v>4822</v>
      </c>
      <c r="B2221" s="101" t="s">
        <v>4823</v>
      </c>
      <c r="D2221" s="13"/>
      <c r="E2221" s="13"/>
      <c r="F2221" s="13"/>
      <c r="G2221" s="102">
        <v>2.0</v>
      </c>
      <c r="H2221" s="101" t="s">
        <v>2942</v>
      </c>
      <c r="I2221" s="102">
        <v>141.9</v>
      </c>
      <c r="J2221" s="102">
        <v>174.54</v>
      </c>
      <c r="K2221" s="101" t="s">
        <v>2941</v>
      </c>
      <c r="L2221" s="102">
        <v>23.0</v>
      </c>
      <c r="M2221" s="13"/>
    </row>
    <row r="2222">
      <c r="A2222" s="101" t="s">
        <v>4824</v>
      </c>
      <c r="B2222" s="101" t="s">
        <v>4825</v>
      </c>
      <c r="D2222" s="13"/>
      <c r="E2222" s="13"/>
      <c r="F2222" s="13"/>
      <c r="G2222" s="102">
        <v>1.0</v>
      </c>
      <c r="H2222" s="101" t="s">
        <v>2940</v>
      </c>
      <c r="I2222" s="102">
        <v>34.15</v>
      </c>
      <c r="J2222" s="102">
        <v>42.0</v>
      </c>
      <c r="K2222" s="101" t="s">
        <v>2941</v>
      </c>
      <c r="L2222" s="102">
        <v>23.0</v>
      </c>
      <c r="M2222" s="13"/>
    </row>
    <row r="2223">
      <c r="A2223" s="101" t="s">
        <v>4824</v>
      </c>
      <c r="B2223" s="101" t="s">
        <v>4825</v>
      </c>
      <c r="D2223" s="13"/>
      <c r="E2223" s="13"/>
      <c r="F2223" s="13"/>
      <c r="G2223" s="102">
        <v>2.0</v>
      </c>
      <c r="H2223" s="101" t="s">
        <v>2942</v>
      </c>
      <c r="I2223" s="102">
        <v>33.6</v>
      </c>
      <c r="J2223" s="102">
        <v>41.33</v>
      </c>
      <c r="K2223" s="101" t="s">
        <v>2941</v>
      </c>
      <c r="L2223" s="102">
        <v>23.0</v>
      </c>
      <c r="M2223" s="13"/>
    </row>
    <row r="2224">
      <c r="A2224" s="101" t="s">
        <v>4826</v>
      </c>
      <c r="B2224" s="101" t="s">
        <v>4827</v>
      </c>
      <c r="C2224" s="13"/>
      <c r="D2224" s="13"/>
      <c r="E2224" s="13"/>
      <c r="F2224" s="13"/>
      <c r="G2224" s="102">
        <v>1.0</v>
      </c>
      <c r="H2224" s="101" t="s">
        <v>2940</v>
      </c>
      <c r="I2224" s="102">
        <v>318.21</v>
      </c>
      <c r="J2224" s="102">
        <v>391.4</v>
      </c>
      <c r="K2224" s="101" t="s">
        <v>2941</v>
      </c>
      <c r="L2224" s="102">
        <v>23.0</v>
      </c>
      <c r="M2224" s="13"/>
    </row>
    <row r="2225">
      <c r="A2225" s="101" t="s">
        <v>4826</v>
      </c>
      <c r="B2225" s="101" t="s">
        <v>4827</v>
      </c>
      <c r="C2225" s="13"/>
      <c r="D2225" s="13"/>
      <c r="E2225" s="13"/>
      <c r="F2225" s="13"/>
      <c r="G2225" s="102">
        <v>2.0</v>
      </c>
      <c r="H2225" s="101" t="s">
        <v>2942</v>
      </c>
      <c r="I2225" s="102">
        <v>254.6</v>
      </c>
      <c r="J2225" s="102">
        <v>313.16</v>
      </c>
      <c r="K2225" s="101" t="s">
        <v>2941</v>
      </c>
      <c r="L2225" s="102">
        <v>23.0</v>
      </c>
      <c r="M2225" s="13"/>
    </row>
    <row r="2226">
      <c r="A2226" s="101" t="s">
        <v>4828</v>
      </c>
      <c r="B2226" s="101" t="s">
        <v>4829</v>
      </c>
      <c r="D2226" s="13"/>
      <c r="E2226" s="13"/>
      <c r="F2226" s="13"/>
      <c r="G2226" s="102">
        <v>1.0</v>
      </c>
      <c r="H2226" s="101" t="s">
        <v>2940</v>
      </c>
      <c r="I2226" s="102">
        <v>17.56</v>
      </c>
      <c r="J2226" s="102">
        <v>21.6</v>
      </c>
      <c r="K2226" s="101" t="s">
        <v>2941</v>
      </c>
      <c r="L2226" s="102">
        <v>23.0</v>
      </c>
      <c r="M2226" s="13"/>
    </row>
    <row r="2227">
      <c r="A2227" s="101" t="s">
        <v>4828</v>
      </c>
      <c r="B2227" s="101" t="s">
        <v>4829</v>
      </c>
      <c r="D2227" s="13"/>
      <c r="E2227" s="13"/>
      <c r="F2227" s="13"/>
      <c r="G2227" s="102">
        <v>2.0</v>
      </c>
      <c r="H2227" s="101" t="s">
        <v>2942</v>
      </c>
      <c r="I2227" s="102">
        <v>14.0</v>
      </c>
      <c r="J2227" s="102">
        <v>17.22</v>
      </c>
      <c r="K2227" s="101" t="s">
        <v>2941</v>
      </c>
      <c r="L2227" s="102">
        <v>23.0</v>
      </c>
      <c r="M2227" s="13"/>
    </row>
    <row r="2228">
      <c r="A2228" s="101" t="s">
        <v>4830</v>
      </c>
      <c r="B2228" s="101" t="s">
        <v>4831</v>
      </c>
      <c r="D2228" s="13"/>
      <c r="E2228" s="13"/>
      <c r="F2228" s="13"/>
      <c r="G2228" s="102">
        <v>1.0</v>
      </c>
      <c r="H2228" s="101" t="s">
        <v>2940</v>
      </c>
      <c r="I2228" s="102">
        <v>35.2</v>
      </c>
      <c r="J2228" s="102">
        <v>43.3</v>
      </c>
      <c r="K2228" s="101" t="s">
        <v>2941</v>
      </c>
      <c r="L2228" s="102">
        <v>23.0</v>
      </c>
      <c r="M2228" s="13"/>
    </row>
    <row r="2229">
      <c r="A2229" s="101" t="s">
        <v>4830</v>
      </c>
      <c r="B2229" s="101" t="s">
        <v>4831</v>
      </c>
      <c r="D2229" s="13"/>
      <c r="E2229" s="13"/>
      <c r="F2229" s="13"/>
      <c r="G2229" s="102">
        <v>2.0</v>
      </c>
      <c r="H2229" s="101" t="s">
        <v>2942</v>
      </c>
      <c r="I2229" s="102">
        <v>28.2</v>
      </c>
      <c r="J2229" s="102">
        <v>34.69</v>
      </c>
      <c r="K2229" s="101" t="s">
        <v>2941</v>
      </c>
      <c r="L2229" s="102">
        <v>23.0</v>
      </c>
      <c r="M2229" s="13"/>
    </row>
    <row r="2230">
      <c r="A2230" s="101" t="s">
        <v>4832</v>
      </c>
      <c r="B2230" s="101" t="s">
        <v>4833</v>
      </c>
      <c r="D2230" s="13"/>
      <c r="E2230" s="13"/>
      <c r="F2230" s="13"/>
      <c r="G2230" s="102">
        <v>1.0</v>
      </c>
      <c r="H2230" s="101" t="s">
        <v>2940</v>
      </c>
      <c r="I2230" s="102">
        <v>42.44</v>
      </c>
      <c r="J2230" s="102">
        <v>52.2</v>
      </c>
      <c r="K2230" s="101" t="s">
        <v>2941</v>
      </c>
      <c r="L2230" s="102">
        <v>23.0</v>
      </c>
      <c r="M2230" s="13"/>
    </row>
    <row r="2231">
      <c r="A2231" s="101" t="s">
        <v>4832</v>
      </c>
      <c r="B2231" s="101" t="s">
        <v>4833</v>
      </c>
      <c r="D2231" s="13"/>
      <c r="E2231" s="13"/>
      <c r="F2231" s="13"/>
      <c r="G2231" s="102">
        <v>2.0</v>
      </c>
      <c r="H2231" s="101" t="s">
        <v>2942</v>
      </c>
      <c r="I2231" s="102">
        <v>33.9</v>
      </c>
      <c r="J2231" s="102">
        <v>41.7</v>
      </c>
      <c r="K2231" s="101" t="s">
        <v>2941</v>
      </c>
      <c r="L2231" s="102">
        <v>23.0</v>
      </c>
      <c r="M2231" s="13"/>
    </row>
    <row r="2232">
      <c r="A2232" s="101" t="s">
        <v>4834</v>
      </c>
      <c r="B2232" s="101" t="s">
        <v>4835</v>
      </c>
      <c r="C2232" s="13"/>
      <c r="D2232" s="13"/>
      <c r="E2232" s="13"/>
      <c r="F2232" s="13"/>
      <c r="G2232" s="102">
        <v>1.0</v>
      </c>
      <c r="H2232" s="101" t="s">
        <v>2940</v>
      </c>
      <c r="I2232" s="102">
        <v>11.3</v>
      </c>
      <c r="J2232" s="102">
        <v>13.9</v>
      </c>
      <c r="K2232" s="101" t="s">
        <v>2941</v>
      </c>
      <c r="L2232" s="102">
        <v>23.0</v>
      </c>
      <c r="M2232" s="13"/>
    </row>
    <row r="2233">
      <c r="A2233" s="101" t="s">
        <v>4834</v>
      </c>
      <c r="B2233" s="101" t="s">
        <v>4835</v>
      </c>
      <c r="C2233" s="13"/>
      <c r="D2233" s="13"/>
      <c r="E2233" s="13"/>
      <c r="F2233" s="13"/>
      <c r="G2233" s="102">
        <v>2.0</v>
      </c>
      <c r="H2233" s="101" t="s">
        <v>2942</v>
      </c>
      <c r="I2233" s="102">
        <v>9.0</v>
      </c>
      <c r="J2233" s="102">
        <v>11.07</v>
      </c>
      <c r="K2233" s="101" t="s">
        <v>2941</v>
      </c>
      <c r="L2233" s="102">
        <v>23.0</v>
      </c>
      <c r="M2233" s="13"/>
    </row>
    <row r="2234">
      <c r="A2234" s="101" t="s">
        <v>4836</v>
      </c>
      <c r="B2234" s="101" t="s">
        <v>4837</v>
      </c>
      <c r="D2234" s="13"/>
      <c r="E2234" s="13"/>
      <c r="F2234" s="13"/>
      <c r="G2234" s="102">
        <v>1.0</v>
      </c>
      <c r="H2234" s="101" t="s">
        <v>2940</v>
      </c>
      <c r="I2234" s="102">
        <v>14.55</v>
      </c>
      <c r="J2234" s="102">
        <v>17.9</v>
      </c>
      <c r="K2234" s="101" t="s">
        <v>2941</v>
      </c>
      <c r="L2234" s="102">
        <v>23.0</v>
      </c>
      <c r="M2234" s="13"/>
    </row>
    <row r="2235">
      <c r="A2235" s="101" t="s">
        <v>4836</v>
      </c>
      <c r="B2235" s="101" t="s">
        <v>4837</v>
      </c>
      <c r="D2235" s="13"/>
      <c r="E2235" s="13"/>
      <c r="F2235" s="13"/>
      <c r="G2235" s="102">
        <v>2.0</v>
      </c>
      <c r="H2235" s="101" t="s">
        <v>2942</v>
      </c>
      <c r="I2235" s="102">
        <v>11.6</v>
      </c>
      <c r="J2235" s="102">
        <v>14.27</v>
      </c>
      <c r="K2235" s="101" t="s">
        <v>2941</v>
      </c>
      <c r="L2235" s="102">
        <v>23.0</v>
      </c>
      <c r="M2235" s="13"/>
    </row>
    <row r="2236">
      <c r="A2236" s="101" t="s">
        <v>4838</v>
      </c>
      <c r="B2236" s="101" t="s">
        <v>4839</v>
      </c>
      <c r="C2236" s="13"/>
      <c r="D2236" s="13"/>
      <c r="E2236" s="13"/>
      <c r="F2236" s="13"/>
      <c r="G2236" s="102">
        <v>1.0</v>
      </c>
      <c r="H2236" s="101" t="s">
        <v>2940</v>
      </c>
      <c r="I2236" s="102">
        <v>22.68</v>
      </c>
      <c r="J2236" s="102">
        <v>27.9</v>
      </c>
      <c r="K2236" s="101" t="s">
        <v>2941</v>
      </c>
      <c r="L2236" s="102">
        <v>23.0</v>
      </c>
      <c r="M2236" s="13"/>
    </row>
    <row r="2237">
      <c r="A2237" s="101" t="s">
        <v>4838</v>
      </c>
      <c r="B2237" s="101" t="s">
        <v>4839</v>
      </c>
      <c r="C2237" s="13"/>
      <c r="D2237" s="13"/>
      <c r="E2237" s="13"/>
      <c r="F2237" s="13"/>
      <c r="G2237" s="102">
        <v>2.0</v>
      </c>
      <c r="H2237" s="101" t="s">
        <v>2942</v>
      </c>
      <c r="I2237" s="102">
        <v>18.1</v>
      </c>
      <c r="J2237" s="102">
        <v>22.26</v>
      </c>
      <c r="K2237" s="101" t="s">
        <v>2941</v>
      </c>
      <c r="L2237" s="102">
        <v>23.0</v>
      </c>
      <c r="M2237" s="13"/>
    </row>
    <row r="2238">
      <c r="A2238" s="101" t="s">
        <v>4840</v>
      </c>
      <c r="B2238" s="101" t="s">
        <v>4841</v>
      </c>
      <c r="D2238" s="13"/>
      <c r="E2238" s="13"/>
      <c r="F2238" s="13"/>
      <c r="G2238" s="102">
        <v>1.0</v>
      </c>
      <c r="H2238" s="101" t="s">
        <v>2940</v>
      </c>
      <c r="I2238" s="102">
        <v>29.11</v>
      </c>
      <c r="J2238" s="102">
        <v>35.81</v>
      </c>
      <c r="K2238" s="101" t="s">
        <v>2941</v>
      </c>
      <c r="L2238" s="102">
        <v>23.0</v>
      </c>
      <c r="M2238" s="13"/>
    </row>
    <row r="2239">
      <c r="A2239" s="101" t="s">
        <v>4840</v>
      </c>
      <c r="B2239" s="101" t="s">
        <v>4841</v>
      </c>
      <c r="D2239" s="13"/>
      <c r="E2239" s="13"/>
      <c r="F2239" s="13"/>
      <c r="G2239" s="102">
        <v>2.0</v>
      </c>
      <c r="H2239" s="101" t="s">
        <v>2942</v>
      </c>
      <c r="I2239" s="102">
        <v>23.3</v>
      </c>
      <c r="J2239" s="102">
        <v>28.66</v>
      </c>
      <c r="K2239" s="101" t="s">
        <v>2941</v>
      </c>
      <c r="L2239" s="102">
        <v>23.0</v>
      </c>
      <c r="M2239" s="13"/>
    </row>
    <row r="2240">
      <c r="A2240" s="101" t="s">
        <v>4842</v>
      </c>
      <c r="B2240" s="101" t="s">
        <v>4843</v>
      </c>
      <c r="D2240" s="13"/>
      <c r="E2240" s="13"/>
      <c r="F2240" s="13"/>
      <c r="G2240" s="102">
        <v>1.0</v>
      </c>
      <c r="H2240" s="101" t="s">
        <v>2940</v>
      </c>
      <c r="I2240" s="102">
        <v>38.21</v>
      </c>
      <c r="J2240" s="102">
        <v>47.0</v>
      </c>
      <c r="K2240" s="101" t="s">
        <v>2941</v>
      </c>
      <c r="L2240" s="102">
        <v>23.0</v>
      </c>
      <c r="M2240" s="13"/>
    </row>
    <row r="2241">
      <c r="A2241" s="101" t="s">
        <v>4842</v>
      </c>
      <c r="B2241" s="101" t="s">
        <v>4843</v>
      </c>
      <c r="D2241" s="13"/>
      <c r="E2241" s="13"/>
      <c r="F2241" s="13"/>
      <c r="G2241" s="102">
        <v>2.0</v>
      </c>
      <c r="H2241" s="101" t="s">
        <v>2942</v>
      </c>
      <c r="I2241" s="102">
        <v>30.5</v>
      </c>
      <c r="J2241" s="102">
        <v>37.52</v>
      </c>
      <c r="K2241" s="101" t="s">
        <v>2941</v>
      </c>
      <c r="L2241" s="102">
        <v>23.0</v>
      </c>
      <c r="M2241" s="13"/>
    </row>
    <row r="2242">
      <c r="A2242" s="101" t="s">
        <v>4844</v>
      </c>
      <c r="B2242" s="101" t="s">
        <v>4845</v>
      </c>
      <c r="D2242" s="13"/>
      <c r="E2242" s="13"/>
      <c r="F2242" s="13"/>
      <c r="G2242" s="102">
        <v>1.0</v>
      </c>
      <c r="H2242" s="101" t="s">
        <v>2940</v>
      </c>
      <c r="I2242" s="102">
        <v>31.22</v>
      </c>
      <c r="J2242" s="102">
        <v>38.4</v>
      </c>
      <c r="K2242" s="101" t="s">
        <v>2941</v>
      </c>
      <c r="L2242" s="102">
        <v>23.0</v>
      </c>
      <c r="M2242" s="13"/>
    </row>
    <row r="2243">
      <c r="A2243" s="101" t="s">
        <v>4844</v>
      </c>
      <c r="B2243" s="101" t="s">
        <v>4845</v>
      </c>
      <c r="D2243" s="13"/>
      <c r="E2243" s="13"/>
      <c r="F2243" s="13"/>
      <c r="G2243" s="102">
        <v>2.0</v>
      </c>
      <c r="H2243" s="101" t="s">
        <v>2942</v>
      </c>
      <c r="I2243" s="102">
        <v>25.3</v>
      </c>
      <c r="J2243" s="102">
        <v>31.12</v>
      </c>
      <c r="K2243" s="101" t="s">
        <v>2941</v>
      </c>
      <c r="L2243" s="102">
        <v>23.0</v>
      </c>
      <c r="M2243" s="13"/>
    </row>
    <row r="2244">
      <c r="A2244" s="101" t="s">
        <v>4846</v>
      </c>
      <c r="B2244" s="101" t="s">
        <v>4847</v>
      </c>
      <c r="D2244" s="13"/>
      <c r="E2244" s="13"/>
      <c r="F2244" s="13"/>
      <c r="G2244" s="102">
        <v>1.0</v>
      </c>
      <c r="H2244" s="101" t="s">
        <v>2940</v>
      </c>
      <c r="I2244" s="102">
        <v>16.67</v>
      </c>
      <c r="J2244" s="102">
        <v>20.5</v>
      </c>
      <c r="K2244" s="101" t="s">
        <v>2941</v>
      </c>
      <c r="L2244" s="102">
        <v>23.0</v>
      </c>
      <c r="M2244" s="13"/>
    </row>
    <row r="2245">
      <c r="A2245" s="101" t="s">
        <v>4846</v>
      </c>
      <c r="B2245" s="101" t="s">
        <v>4847</v>
      </c>
      <c r="D2245" s="13"/>
      <c r="E2245" s="13"/>
      <c r="F2245" s="13"/>
      <c r="G2245" s="102">
        <v>2.0</v>
      </c>
      <c r="H2245" s="101" t="s">
        <v>2942</v>
      </c>
      <c r="I2245" s="102">
        <v>13.3</v>
      </c>
      <c r="J2245" s="102">
        <v>16.36</v>
      </c>
      <c r="K2245" s="101" t="s">
        <v>2941</v>
      </c>
      <c r="L2245" s="102">
        <v>23.0</v>
      </c>
      <c r="M2245" s="13"/>
    </row>
    <row r="2246">
      <c r="A2246" s="101" t="s">
        <v>4848</v>
      </c>
      <c r="B2246" s="101" t="s">
        <v>4849</v>
      </c>
      <c r="D2246" s="13"/>
      <c r="E2246" s="13"/>
      <c r="F2246" s="13"/>
      <c r="G2246" s="102">
        <v>1.0</v>
      </c>
      <c r="H2246" s="101" t="s">
        <v>2940</v>
      </c>
      <c r="I2246" s="102">
        <v>21.22</v>
      </c>
      <c r="J2246" s="102">
        <v>26.1</v>
      </c>
      <c r="K2246" s="101" t="s">
        <v>2941</v>
      </c>
      <c r="L2246" s="102">
        <v>23.0</v>
      </c>
      <c r="M2246" s="13"/>
    </row>
    <row r="2247">
      <c r="A2247" s="101" t="s">
        <v>4848</v>
      </c>
      <c r="B2247" s="101" t="s">
        <v>4849</v>
      </c>
      <c r="D2247" s="13"/>
      <c r="E2247" s="13"/>
      <c r="F2247" s="13"/>
      <c r="G2247" s="102">
        <v>2.0</v>
      </c>
      <c r="H2247" s="101" t="s">
        <v>2942</v>
      </c>
      <c r="I2247" s="102">
        <v>17.0</v>
      </c>
      <c r="J2247" s="102">
        <v>20.91</v>
      </c>
      <c r="K2247" s="101" t="s">
        <v>2941</v>
      </c>
      <c r="L2247" s="102">
        <v>23.0</v>
      </c>
      <c r="M2247" s="13"/>
    </row>
    <row r="2248">
      <c r="A2248" s="101" t="s">
        <v>4850</v>
      </c>
      <c r="B2248" s="101" t="s">
        <v>4851</v>
      </c>
      <c r="D2248" s="13"/>
      <c r="E2248" s="13"/>
      <c r="F2248" s="13"/>
      <c r="G2248" s="102">
        <v>1.0</v>
      </c>
      <c r="H2248" s="101" t="s">
        <v>2940</v>
      </c>
      <c r="I2248" s="102">
        <v>24.8</v>
      </c>
      <c r="J2248" s="102">
        <v>30.5</v>
      </c>
      <c r="K2248" s="101" t="s">
        <v>2941</v>
      </c>
      <c r="L2248" s="102">
        <v>23.0</v>
      </c>
      <c r="M2248" s="13"/>
    </row>
    <row r="2249">
      <c r="A2249" s="101" t="s">
        <v>4850</v>
      </c>
      <c r="B2249" s="101" t="s">
        <v>4851</v>
      </c>
      <c r="D2249" s="13"/>
      <c r="E2249" s="13"/>
      <c r="F2249" s="13"/>
      <c r="G2249" s="102">
        <v>2.0</v>
      </c>
      <c r="H2249" s="101" t="s">
        <v>2942</v>
      </c>
      <c r="I2249" s="102">
        <v>19.9</v>
      </c>
      <c r="J2249" s="102">
        <v>24.48</v>
      </c>
      <c r="K2249" s="101" t="s">
        <v>2941</v>
      </c>
      <c r="L2249" s="102">
        <v>23.0</v>
      </c>
      <c r="M2249" s="13"/>
    </row>
    <row r="2250">
      <c r="A2250" s="101" t="s">
        <v>4852</v>
      </c>
      <c r="B2250" s="101" t="s">
        <v>4853</v>
      </c>
      <c r="D2250" s="13"/>
      <c r="E2250" s="13"/>
      <c r="F2250" s="13"/>
      <c r="G2250" s="102">
        <v>1.0</v>
      </c>
      <c r="H2250" s="101" t="s">
        <v>2940</v>
      </c>
      <c r="I2250" s="102">
        <v>20.33</v>
      </c>
      <c r="J2250" s="102">
        <v>25.0</v>
      </c>
      <c r="K2250" s="101" t="s">
        <v>2941</v>
      </c>
      <c r="L2250" s="102">
        <v>23.0</v>
      </c>
      <c r="M2250" s="13"/>
    </row>
    <row r="2251">
      <c r="A2251" s="101" t="s">
        <v>4852</v>
      </c>
      <c r="B2251" s="101" t="s">
        <v>4853</v>
      </c>
      <c r="D2251" s="13"/>
      <c r="E2251" s="13"/>
      <c r="F2251" s="13"/>
      <c r="G2251" s="102">
        <v>2.0</v>
      </c>
      <c r="H2251" s="101" t="s">
        <v>2942</v>
      </c>
      <c r="I2251" s="102">
        <v>16.2</v>
      </c>
      <c r="J2251" s="102">
        <v>19.93</v>
      </c>
      <c r="K2251" s="101" t="s">
        <v>2941</v>
      </c>
      <c r="L2251" s="102">
        <v>23.0</v>
      </c>
      <c r="M2251" s="13"/>
    </row>
    <row r="2252">
      <c r="A2252" s="101" t="s">
        <v>4854</v>
      </c>
      <c r="B2252" s="101" t="s">
        <v>4855</v>
      </c>
      <c r="D2252" s="13"/>
      <c r="E2252" s="13"/>
      <c r="F2252" s="13"/>
      <c r="G2252" s="102">
        <v>1.0</v>
      </c>
      <c r="H2252" s="101" t="s">
        <v>2940</v>
      </c>
      <c r="I2252" s="102">
        <v>33.41</v>
      </c>
      <c r="J2252" s="102">
        <v>41.09</v>
      </c>
      <c r="K2252" s="101" t="s">
        <v>2941</v>
      </c>
      <c r="L2252" s="102">
        <v>23.0</v>
      </c>
      <c r="M2252" s="13"/>
    </row>
    <row r="2253">
      <c r="A2253" s="101" t="s">
        <v>4854</v>
      </c>
      <c r="B2253" s="101" t="s">
        <v>4855</v>
      </c>
      <c r="D2253" s="13"/>
      <c r="E2253" s="13"/>
      <c r="F2253" s="13"/>
      <c r="G2253" s="102">
        <v>2.0</v>
      </c>
      <c r="H2253" s="101" t="s">
        <v>2942</v>
      </c>
      <c r="I2253" s="102">
        <v>26.7</v>
      </c>
      <c r="J2253" s="102">
        <v>32.84</v>
      </c>
      <c r="K2253" s="101" t="s">
        <v>2941</v>
      </c>
      <c r="L2253" s="102">
        <v>23.0</v>
      </c>
      <c r="M2253" s="13"/>
    </row>
    <row r="2254">
      <c r="A2254" s="101" t="s">
        <v>4856</v>
      </c>
      <c r="B2254" s="101" t="s">
        <v>4857</v>
      </c>
      <c r="D2254" s="13"/>
      <c r="E2254" s="13"/>
      <c r="F2254" s="13"/>
      <c r="G2254" s="102">
        <v>1.0</v>
      </c>
      <c r="H2254" s="101" t="s">
        <v>2940</v>
      </c>
      <c r="I2254" s="102">
        <v>42.52</v>
      </c>
      <c r="J2254" s="102">
        <v>52.3</v>
      </c>
      <c r="K2254" s="101" t="s">
        <v>2941</v>
      </c>
      <c r="L2254" s="102">
        <v>23.0</v>
      </c>
      <c r="M2254" s="13"/>
    </row>
    <row r="2255">
      <c r="A2255" s="101" t="s">
        <v>4856</v>
      </c>
      <c r="B2255" s="101" t="s">
        <v>4857</v>
      </c>
      <c r="D2255" s="13"/>
      <c r="E2255" s="13"/>
      <c r="F2255" s="13"/>
      <c r="G2255" s="102">
        <v>2.0</v>
      </c>
      <c r="H2255" s="101" t="s">
        <v>2942</v>
      </c>
      <c r="I2255" s="102">
        <v>34.0</v>
      </c>
      <c r="J2255" s="102">
        <v>41.82</v>
      </c>
      <c r="K2255" s="101" t="s">
        <v>2941</v>
      </c>
      <c r="L2255" s="102">
        <v>23.0</v>
      </c>
      <c r="M2255" s="13"/>
    </row>
    <row r="2256">
      <c r="A2256" s="101" t="s">
        <v>4858</v>
      </c>
      <c r="B2256" s="101" t="s">
        <v>4859</v>
      </c>
      <c r="D2256" s="13"/>
      <c r="E2256" s="13"/>
      <c r="F2256" s="13"/>
      <c r="G2256" s="102">
        <v>1.0</v>
      </c>
      <c r="H2256" s="101" t="s">
        <v>2940</v>
      </c>
      <c r="I2256" s="102">
        <v>49.67</v>
      </c>
      <c r="J2256" s="102">
        <v>61.1</v>
      </c>
      <c r="K2256" s="101" t="s">
        <v>2941</v>
      </c>
      <c r="L2256" s="102">
        <v>23.0</v>
      </c>
      <c r="M2256" s="13"/>
    </row>
    <row r="2257">
      <c r="A2257" s="101" t="s">
        <v>4858</v>
      </c>
      <c r="B2257" s="101" t="s">
        <v>4859</v>
      </c>
      <c r="D2257" s="13"/>
      <c r="E2257" s="13"/>
      <c r="F2257" s="13"/>
      <c r="G2257" s="102">
        <v>2.0</v>
      </c>
      <c r="H2257" s="101" t="s">
        <v>2942</v>
      </c>
      <c r="I2257" s="102">
        <v>39.8</v>
      </c>
      <c r="J2257" s="102">
        <v>48.95</v>
      </c>
      <c r="K2257" s="101" t="s">
        <v>2941</v>
      </c>
      <c r="L2257" s="102">
        <v>23.0</v>
      </c>
      <c r="M2257" s="13"/>
    </row>
    <row r="2258">
      <c r="A2258" s="101" t="s">
        <v>4860</v>
      </c>
      <c r="B2258" s="101" t="s">
        <v>4861</v>
      </c>
      <c r="D2258" s="13"/>
      <c r="E2258" s="13"/>
      <c r="F2258" s="13"/>
      <c r="G2258" s="102">
        <v>1.0</v>
      </c>
      <c r="H2258" s="101" t="s">
        <v>2940</v>
      </c>
      <c r="I2258" s="102">
        <v>40.65</v>
      </c>
      <c r="J2258" s="102">
        <v>50.0</v>
      </c>
      <c r="K2258" s="101" t="s">
        <v>2941</v>
      </c>
      <c r="L2258" s="102">
        <v>23.0</v>
      </c>
      <c r="M2258" s="13"/>
    </row>
    <row r="2259">
      <c r="A2259" s="101" t="s">
        <v>4860</v>
      </c>
      <c r="B2259" s="101" t="s">
        <v>4861</v>
      </c>
      <c r="D2259" s="13"/>
      <c r="E2259" s="13"/>
      <c r="F2259" s="13"/>
      <c r="G2259" s="102">
        <v>2.0</v>
      </c>
      <c r="H2259" s="101" t="s">
        <v>2942</v>
      </c>
      <c r="I2259" s="102">
        <v>32.5</v>
      </c>
      <c r="J2259" s="102">
        <v>39.98</v>
      </c>
      <c r="K2259" s="101" t="s">
        <v>2941</v>
      </c>
      <c r="L2259" s="102">
        <v>23.0</v>
      </c>
      <c r="M2259" s="13"/>
    </row>
    <row r="2260">
      <c r="A2260" s="101" t="s">
        <v>4862</v>
      </c>
      <c r="B2260" s="101" t="s">
        <v>4863</v>
      </c>
      <c r="D2260" s="13"/>
      <c r="E2260" s="13"/>
      <c r="F2260" s="13"/>
      <c r="G2260" s="102">
        <v>1.0</v>
      </c>
      <c r="H2260" s="101" t="s">
        <v>2940</v>
      </c>
      <c r="I2260" s="102">
        <v>22.93</v>
      </c>
      <c r="J2260" s="102">
        <v>28.2</v>
      </c>
      <c r="K2260" s="101" t="s">
        <v>2941</v>
      </c>
      <c r="L2260" s="102">
        <v>23.0</v>
      </c>
      <c r="M2260" s="13"/>
    </row>
    <row r="2261">
      <c r="A2261" s="101" t="s">
        <v>4862</v>
      </c>
      <c r="B2261" s="101" t="s">
        <v>4863</v>
      </c>
      <c r="D2261" s="13"/>
      <c r="E2261" s="13"/>
      <c r="F2261" s="13"/>
      <c r="G2261" s="102">
        <v>2.0</v>
      </c>
      <c r="H2261" s="101" t="s">
        <v>2942</v>
      </c>
      <c r="I2261" s="102">
        <v>18.3</v>
      </c>
      <c r="J2261" s="102">
        <v>22.51</v>
      </c>
      <c r="K2261" s="101" t="s">
        <v>2941</v>
      </c>
      <c r="L2261" s="102">
        <v>23.0</v>
      </c>
      <c r="M2261" s="13"/>
    </row>
    <row r="2262">
      <c r="A2262" s="101" t="s">
        <v>4864</v>
      </c>
      <c r="B2262" s="101" t="s">
        <v>4865</v>
      </c>
      <c r="D2262" s="13"/>
      <c r="E2262" s="13"/>
      <c r="F2262" s="13"/>
      <c r="G2262" s="102">
        <v>1.0</v>
      </c>
      <c r="H2262" s="101" t="s">
        <v>2940</v>
      </c>
      <c r="I2262" s="102">
        <v>26.5</v>
      </c>
      <c r="J2262" s="102">
        <v>32.6</v>
      </c>
      <c r="K2262" s="101" t="s">
        <v>2941</v>
      </c>
      <c r="L2262" s="102">
        <v>23.0</v>
      </c>
      <c r="M2262" s="13"/>
    </row>
    <row r="2263">
      <c r="A2263" s="101" t="s">
        <v>4864</v>
      </c>
      <c r="B2263" s="101" t="s">
        <v>4865</v>
      </c>
      <c r="D2263" s="13"/>
      <c r="E2263" s="13"/>
      <c r="F2263" s="13"/>
      <c r="G2263" s="102">
        <v>2.0</v>
      </c>
      <c r="H2263" s="101" t="s">
        <v>2942</v>
      </c>
      <c r="I2263" s="102">
        <v>21.2</v>
      </c>
      <c r="J2263" s="102">
        <v>26.08</v>
      </c>
      <c r="K2263" s="101" t="s">
        <v>2941</v>
      </c>
      <c r="L2263" s="102">
        <v>23.0</v>
      </c>
      <c r="M2263" s="13"/>
    </row>
    <row r="2264">
      <c r="A2264" s="101" t="s">
        <v>4866</v>
      </c>
      <c r="B2264" s="101" t="s">
        <v>4867</v>
      </c>
      <c r="D2264" s="13"/>
      <c r="E2264" s="13"/>
      <c r="F2264" s="13"/>
      <c r="G2264" s="102">
        <v>1.0</v>
      </c>
      <c r="H2264" s="101" t="s">
        <v>2940</v>
      </c>
      <c r="I2264" s="102">
        <v>45.93</v>
      </c>
      <c r="J2264" s="102">
        <v>56.5</v>
      </c>
      <c r="K2264" s="101" t="s">
        <v>2941</v>
      </c>
      <c r="L2264" s="102">
        <v>23.0</v>
      </c>
      <c r="M2264" s="13"/>
    </row>
    <row r="2265">
      <c r="A2265" s="101" t="s">
        <v>4866</v>
      </c>
      <c r="B2265" s="101" t="s">
        <v>4867</v>
      </c>
      <c r="D2265" s="13"/>
      <c r="E2265" s="13"/>
      <c r="F2265" s="13"/>
      <c r="G2265" s="102">
        <v>2.0</v>
      </c>
      <c r="H2265" s="101" t="s">
        <v>2942</v>
      </c>
      <c r="I2265" s="102">
        <v>36.7</v>
      </c>
      <c r="J2265" s="102">
        <v>45.14</v>
      </c>
      <c r="K2265" s="101" t="s">
        <v>2941</v>
      </c>
      <c r="L2265" s="102">
        <v>23.0</v>
      </c>
      <c r="M2265" s="13"/>
    </row>
    <row r="2266">
      <c r="A2266" s="101" t="s">
        <v>4868</v>
      </c>
      <c r="B2266" s="101" t="s">
        <v>4869</v>
      </c>
      <c r="D2266" s="13"/>
      <c r="E2266" s="13"/>
      <c r="F2266" s="13"/>
      <c r="G2266" s="102">
        <v>1.0</v>
      </c>
      <c r="H2266" s="101" t="s">
        <v>2940</v>
      </c>
      <c r="I2266" s="102">
        <v>53.09</v>
      </c>
      <c r="J2266" s="102">
        <v>65.3</v>
      </c>
      <c r="K2266" s="101" t="s">
        <v>2941</v>
      </c>
      <c r="L2266" s="102">
        <v>23.0</v>
      </c>
      <c r="M2266" s="13"/>
    </row>
    <row r="2267">
      <c r="A2267" s="101" t="s">
        <v>4868</v>
      </c>
      <c r="B2267" s="101" t="s">
        <v>4869</v>
      </c>
      <c r="D2267" s="13"/>
      <c r="E2267" s="13"/>
      <c r="F2267" s="13"/>
      <c r="G2267" s="102">
        <v>2.0</v>
      </c>
      <c r="H2267" s="101" t="s">
        <v>2942</v>
      </c>
      <c r="I2267" s="102">
        <v>42.5</v>
      </c>
      <c r="J2267" s="102">
        <v>52.28</v>
      </c>
      <c r="K2267" s="101" t="s">
        <v>2941</v>
      </c>
      <c r="L2267" s="102">
        <v>23.0</v>
      </c>
      <c r="M2267" s="13"/>
    </row>
    <row r="2268">
      <c r="A2268" s="101" t="s">
        <v>4870</v>
      </c>
      <c r="B2268" s="101">
        <v>858.0</v>
      </c>
      <c r="C2268" s="13"/>
      <c r="D2268" s="13"/>
      <c r="E2268" s="13"/>
      <c r="F2268" s="13"/>
      <c r="G2268" s="102">
        <v>1.0</v>
      </c>
      <c r="H2268" s="101" t="s">
        <v>2940</v>
      </c>
      <c r="I2268" s="102">
        <v>171.38</v>
      </c>
      <c r="J2268" s="102">
        <v>210.8</v>
      </c>
      <c r="K2268" s="101" t="s">
        <v>2941</v>
      </c>
      <c r="L2268" s="102">
        <v>23.0</v>
      </c>
      <c r="M2268" s="13"/>
    </row>
    <row r="2269">
      <c r="A2269" s="101" t="s">
        <v>4870</v>
      </c>
      <c r="B2269" s="101">
        <v>858.0</v>
      </c>
      <c r="C2269" s="13"/>
      <c r="D2269" s="13"/>
      <c r="E2269" s="13"/>
      <c r="F2269" s="13"/>
      <c r="G2269" s="102">
        <v>2.0</v>
      </c>
      <c r="H2269" s="101" t="s">
        <v>2942</v>
      </c>
      <c r="I2269" s="102">
        <v>137.1</v>
      </c>
      <c r="J2269" s="102">
        <v>168.63</v>
      </c>
      <c r="K2269" s="101" t="s">
        <v>2941</v>
      </c>
      <c r="L2269" s="102">
        <v>23.0</v>
      </c>
      <c r="M2269" s="13"/>
    </row>
    <row r="2270">
      <c r="A2270" s="101" t="s">
        <v>4871</v>
      </c>
      <c r="B2270" s="101">
        <v>859.0</v>
      </c>
      <c r="C2270" s="13"/>
      <c r="D2270" s="13"/>
      <c r="E2270" s="13"/>
      <c r="F2270" s="13"/>
      <c r="G2270" s="102">
        <v>1.0</v>
      </c>
      <c r="H2270" s="101" t="s">
        <v>2940</v>
      </c>
      <c r="I2270" s="102">
        <v>257.07</v>
      </c>
      <c r="J2270" s="102">
        <v>316.2</v>
      </c>
      <c r="K2270" s="101" t="s">
        <v>2941</v>
      </c>
      <c r="L2270" s="102">
        <v>23.0</v>
      </c>
      <c r="M2270" s="13"/>
    </row>
    <row r="2271">
      <c r="A2271" s="101" t="s">
        <v>4871</v>
      </c>
      <c r="B2271" s="101">
        <v>859.0</v>
      </c>
      <c r="C2271" s="13"/>
      <c r="D2271" s="13"/>
      <c r="E2271" s="13"/>
      <c r="F2271" s="13"/>
      <c r="G2271" s="102">
        <v>2.0</v>
      </c>
      <c r="H2271" s="101" t="s">
        <v>2942</v>
      </c>
      <c r="I2271" s="102">
        <v>205.7</v>
      </c>
      <c r="J2271" s="102">
        <v>253.01</v>
      </c>
      <c r="K2271" s="101" t="s">
        <v>2941</v>
      </c>
      <c r="L2271" s="102">
        <v>23.0</v>
      </c>
      <c r="M2271" s="13"/>
    </row>
    <row r="2272">
      <c r="A2272" s="101" t="s">
        <v>4872</v>
      </c>
      <c r="B2272" s="101">
        <v>860.0</v>
      </c>
      <c r="C2272" s="13"/>
      <c r="D2272" s="13"/>
      <c r="E2272" s="13"/>
      <c r="F2272" s="13"/>
      <c r="G2272" s="102">
        <v>1.0</v>
      </c>
      <c r="H2272" s="101" t="s">
        <v>2940</v>
      </c>
      <c r="I2272" s="102">
        <v>422.76</v>
      </c>
      <c r="J2272" s="102">
        <v>519.99</v>
      </c>
      <c r="K2272" s="101" t="s">
        <v>2941</v>
      </c>
      <c r="L2272" s="102">
        <v>23.0</v>
      </c>
      <c r="M2272" s="13"/>
    </row>
    <row r="2273">
      <c r="A2273" s="101" t="s">
        <v>4872</v>
      </c>
      <c r="B2273" s="101">
        <v>860.0</v>
      </c>
      <c r="C2273" s="13"/>
      <c r="D2273" s="13"/>
      <c r="E2273" s="13"/>
      <c r="F2273" s="13"/>
      <c r="G2273" s="102">
        <v>2.0</v>
      </c>
      <c r="H2273" s="101" t="s">
        <v>2942</v>
      </c>
      <c r="I2273" s="102">
        <v>421.58</v>
      </c>
      <c r="J2273" s="102">
        <v>518.54</v>
      </c>
      <c r="K2273" s="101" t="s">
        <v>2941</v>
      </c>
      <c r="L2273" s="102">
        <v>23.0</v>
      </c>
      <c r="M2273" s="13"/>
    </row>
    <row r="2274">
      <c r="A2274" s="101" t="s">
        <v>4873</v>
      </c>
      <c r="B2274" s="101">
        <v>862.0</v>
      </c>
      <c r="C2274" s="13"/>
      <c r="D2274" s="13"/>
      <c r="E2274" s="13"/>
      <c r="F2274" s="13"/>
      <c r="G2274" s="102">
        <v>1.0</v>
      </c>
      <c r="H2274" s="101" t="s">
        <v>2940</v>
      </c>
      <c r="I2274" s="102">
        <v>398.37</v>
      </c>
      <c r="J2274" s="102">
        <v>490.0</v>
      </c>
      <c r="K2274" s="101" t="s">
        <v>2941</v>
      </c>
      <c r="L2274" s="102">
        <v>23.0</v>
      </c>
      <c r="M2274" s="13"/>
    </row>
    <row r="2275">
      <c r="A2275" s="101" t="s">
        <v>4873</v>
      </c>
      <c r="B2275" s="101">
        <v>862.0</v>
      </c>
      <c r="C2275" s="13"/>
      <c r="D2275" s="13"/>
      <c r="E2275" s="13"/>
      <c r="F2275" s="13"/>
      <c r="G2275" s="102">
        <v>2.0</v>
      </c>
      <c r="H2275" s="101" t="s">
        <v>2942</v>
      </c>
      <c r="I2275" s="102">
        <v>395.24</v>
      </c>
      <c r="J2275" s="102">
        <v>486.15</v>
      </c>
      <c r="K2275" s="101" t="s">
        <v>2941</v>
      </c>
      <c r="L2275" s="102">
        <v>23.0</v>
      </c>
      <c r="M2275" s="13"/>
    </row>
    <row r="2276">
      <c r="A2276" s="101" t="s">
        <v>4874</v>
      </c>
      <c r="B2276" s="101">
        <v>90025.0</v>
      </c>
      <c r="C2276" s="13"/>
      <c r="D2276" s="13"/>
      <c r="E2276" s="13"/>
      <c r="F2276" s="13"/>
      <c r="G2276" s="102">
        <v>1.0</v>
      </c>
      <c r="H2276" s="101" t="s">
        <v>2940</v>
      </c>
      <c r="I2276" s="102">
        <v>69.11</v>
      </c>
      <c r="J2276" s="102">
        <v>85.01</v>
      </c>
      <c r="K2276" s="101" t="s">
        <v>2941</v>
      </c>
      <c r="L2276" s="102">
        <v>23.0</v>
      </c>
      <c r="M2276" s="13"/>
    </row>
    <row r="2277">
      <c r="A2277" s="101" t="s">
        <v>4874</v>
      </c>
      <c r="B2277" s="101">
        <v>90025.0</v>
      </c>
      <c r="C2277" s="13"/>
      <c r="D2277" s="13"/>
      <c r="E2277" s="13"/>
      <c r="F2277" s="13"/>
      <c r="G2277" s="102">
        <v>2.0</v>
      </c>
      <c r="H2277" s="101" t="s">
        <v>2942</v>
      </c>
      <c r="I2277" s="102">
        <v>65.79</v>
      </c>
      <c r="J2277" s="102">
        <v>80.92</v>
      </c>
      <c r="K2277" s="101" t="s">
        <v>2941</v>
      </c>
      <c r="L2277" s="102">
        <v>23.0</v>
      </c>
      <c r="M2277" s="13"/>
    </row>
    <row r="2278">
      <c r="A2278" s="101" t="s">
        <v>4875</v>
      </c>
      <c r="B2278" s="101">
        <v>90026.0</v>
      </c>
      <c r="C2278" s="13"/>
      <c r="D2278" s="13"/>
      <c r="E2278" s="13"/>
      <c r="F2278" s="13"/>
      <c r="G2278" s="102">
        <v>1.0</v>
      </c>
      <c r="H2278" s="101" t="s">
        <v>2940</v>
      </c>
      <c r="I2278" s="102">
        <v>69.11</v>
      </c>
      <c r="J2278" s="102">
        <v>85.01</v>
      </c>
      <c r="K2278" s="101" t="s">
        <v>2941</v>
      </c>
      <c r="L2278" s="102">
        <v>23.0</v>
      </c>
      <c r="M2278" s="13"/>
    </row>
    <row r="2279">
      <c r="A2279" s="101" t="s">
        <v>4875</v>
      </c>
      <c r="B2279" s="101">
        <v>90026.0</v>
      </c>
      <c r="C2279" s="13"/>
      <c r="D2279" s="13"/>
      <c r="E2279" s="13"/>
      <c r="F2279" s="13"/>
      <c r="G2279" s="102">
        <v>2.0</v>
      </c>
      <c r="H2279" s="101" t="s">
        <v>2942</v>
      </c>
      <c r="I2279" s="102">
        <v>65.79</v>
      </c>
      <c r="J2279" s="102">
        <v>80.92</v>
      </c>
      <c r="K2279" s="101" t="s">
        <v>2941</v>
      </c>
      <c r="L2279" s="102">
        <v>23.0</v>
      </c>
      <c r="M2279" s="13"/>
    </row>
    <row r="2280">
      <c r="A2280" s="101" t="s">
        <v>4876</v>
      </c>
      <c r="B2280" s="101">
        <v>90027.0</v>
      </c>
      <c r="C2280" s="13"/>
      <c r="D2280" s="13"/>
      <c r="E2280" s="13"/>
      <c r="F2280" s="13"/>
      <c r="G2280" s="102">
        <v>1.0</v>
      </c>
      <c r="H2280" s="101" t="s">
        <v>2940</v>
      </c>
      <c r="I2280" s="102">
        <v>69.11</v>
      </c>
      <c r="J2280" s="102">
        <v>85.01</v>
      </c>
      <c r="K2280" s="101" t="s">
        <v>2941</v>
      </c>
      <c r="L2280" s="102">
        <v>23.0</v>
      </c>
      <c r="M2280" s="13"/>
    </row>
    <row r="2281">
      <c r="A2281" s="101" t="s">
        <v>4876</v>
      </c>
      <c r="B2281" s="101">
        <v>90027.0</v>
      </c>
      <c r="C2281" s="13"/>
      <c r="D2281" s="13"/>
      <c r="E2281" s="13"/>
      <c r="F2281" s="13"/>
      <c r="G2281" s="102">
        <v>2.0</v>
      </c>
      <c r="H2281" s="101" t="s">
        <v>2942</v>
      </c>
      <c r="I2281" s="102">
        <v>65.79</v>
      </c>
      <c r="J2281" s="102">
        <v>80.92</v>
      </c>
      <c r="K2281" s="101" t="s">
        <v>2941</v>
      </c>
      <c r="L2281" s="102">
        <v>23.0</v>
      </c>
      <c r="M2281" s="13"/>
    </row>
    <row r="2282">
      <c r="A2282" s="101" t="s">
        <v>4877</v>
      </c>
      <c r="B2282" s="101">
        <v>90070.0</v>
      </c>
      <c r="C2282" s="13"/>
      <c r="D2282" s="13"/>
      <c r="E2282" s="13"/>
      <c r="F2282" s="13"/>
      <c r="G2282" s="102">
        <v>1.0</v>
      </c>
      <c r="H2282" s="101" t="s">
        <v>2940</v>
      </c>
      <c r="I2282" s="102" t="s">
        <v>4878</v>
      </c>
      <c r="J2282" s="102" t="s">
        <v>4879</v>
      </c>
      <c r="K2282" s="101" t="s">
        <v>2941</v>
      </c>
      <c r="L2282" s="102">
        <v>23.0</v>
      </c>
      <c r="M2282" s="13"/>
    </row>
    <row r="2283">
      <c r="A2283" s="101" t="s">
        <v>4877</v>
      </c>
      <c r="B2283" s="101">
        <v>90070.0</v>
      </c>
      <c r="C2283" s="13"/>
      <c r="D2283" s="13"/>
      <c r="E2283" s="13"/>
      <c r="F2283" s="13"/>
      <c r="G2283" s="102">
        <v>2.0</v>
      </c>
      <c r="H2283" s="101" t="s">
        <v>2942</v>
      </c>
      <c r="I2283" s="102" t="s">
        <v>4880</v>
      </c>
      <c r="J2283" s="102" t="s">
        <v>4881</v>
      </c>
      <c r="K2283" s="101" t="s">
        <v>2941</v>
      </c>
      <c r="L2283" s="102">
        <v>23.0</v>
      </c>
      <c r="M2283" s="13"/>
    </row>
    <row r="2284">
      <c r="A2284" s="101" t="s">
        <v>4882</v>
      </c>
      <c r="B2284" s="101">
        <v>90079.0</v>
      </c>
      <c r="C2284" s="13"/>
      <c r="D2284" s="13"/>
      <c r="E2284" s="13"/>
      <c r="F2284" s="13"/>
      <c r="G2284" s="102">
        <v>1.0</v>
      </c>
      <c r="H2284" s="101" t="s">
        <v>2940</v>
      </c>
      <c r="I2284" s="102" t="s">
        <v>4883</v>
      </c>
      <c r="J2284" s="102" t="s">
        <v>4884</v>
      </c>
      <c r="K2284" s="101" t="s">
        <v>2941</v>
      </c>
      <c r="L2284" s="102">
        <v>23.0</v>
      </c>
      <c r="M2284" s="13"/>
    </row>
    <row r="2285">
      <c r="A2285" s="101" t="s">
        <v>4882</v>
      </c>
      <c r="B2285" s="101">
        <v>90079.0</v>
      </c>
      <c r="C2285" s="13"/>
      <c r="D2285" s="13"/>
      <c r="E2285" s="13"/>
      <c r="F2285" s="13"/>
      <c r="G2285" s="102">
        <v>2.0</v>
      </c>
      <c r="H2285" s="101" t="s">
        <v>2942</v>
      </c>
      <c r="I2285" s="102" t="s">
        <v>4885</v>
      </c>
      <c r="J2285" s="102" t="s">
        <v>4886</v>
      </c>
      <c r="K2285" s="101" t="s">
        <v>2941</v>
      </c>
      <c r="L2285" s="102">
        <v>23.0</v>
      </c>
      <c r="M2285" s="13"/>
    </row>
    <row r="2286">
      <c r="A2286" s="101" t="s">
        <v>4887</v>
      </c>
      <c r="B2286" s="101">
        <v>90080.0</v>
      </c>
      <c r="C2286" s="13"/>
      <c r="D2286" s="13"/>
      <c r="E2286" s="13"/>
      <c r="F2286" s="13"/>
      <c r="G2286" s="102">
        <v>1.0</v>
      </c>
      <c r="H2286" s="101" t="s">
        <v>2940</v>
      </c>
      <c r="I2286" s="102" t="s">
        <v>4888</v>
      </c>
      <c r="J2286" s="102" t="s">
        <v>4889</v>
      </c>
      <c r="K2286" s="101" t="s">
        <v>2941</v>
      </c>
      <c r="L2286" s="102">
        <v>23.0</v>
      </c>
      <c r="M2286" s="13"/>
    </row>
    <row r="2287">
      <c r="A2287" s="101" t="s">
        <v>4887</v>
      </c>
      <c r="B2287" s="101">
        <v>90080.0</v>
      </c>
      <c r="C2287" s="13"/>
      <c r="D2287" s="13"/>
      <c r="E2287" s="13"/>
      <c r="F2287" s="13"/>
      <c r="G2287" s="102">
        <v>2.0</v>
      </c>
      <c r="H2287" s="101" t="s">
        <v>2942</v>
      </c>
      <c r="I2287" s="102" t="s">
        <v>4890</v>
      </c>
      <c r="J2287" s="102" t="s">
        <v>4891</v>
      </c>
      <c r="K2287" s="101" t="s">
        <v>2941</v>
      </c>
      <c r="L2287" s="102">
        <v>23.0</v>
      </c>
      <c r="M2287" s="13"/>
    </row>
    <row r="2288">
      <c r="A2288" s="101" t="s">
        <v>4892</v>
      </c>
      <c r="B2288" s="101">
        <v>90081.0</v>
      </c>
      <c r="C2288" s="13"/>
      <c r="D2288" s="13"/>
      <c r="E2288" s="13"/>
      <c r="F2288" s="13"/>
      <c r="G2288" s="102">
        <v>1.0</v>
      </c>
      <c r="H2288" s="101" t="s">
        <v>2940</v>
      </c>
      <c r="I2288" s="102">
        <v>886.18</v>
      </c>
      <c r="J2288" s="102" t="s">
        <v>4893</v>
      </c>
      <c r="K2288" s="101" t="s">
        <v>2941</v>
      </c>
      <c r="L2288" s="102">
        <v>23.0</v>
      </c>
      <c r="M2288" s="13"/>
    </row>
    <row r="2289">
      <c r="A2289" s="101" t="s">
        <v>4892</v>
      </c>
      <c r="B2289" s="101">
        <v>90081.0</v>
      </c>
      <c r="C2289" s="13"/>
      <c r="D2289" s="13"/>
      <c r="E2289" s="13"/>
      <c r="F2289" s="13"/>
      <c r="G2289" s="102">
        <v>2.0</v>
      </c>
      <c r="H2289" s="101" t="s">
        <v>2942</v>
      </c>
      <c r="I2289" s="102">
        <v>883.76</v>
      </c>
      <c r="J2289" s="102" t="s">
        <v>4894</v>
      </c>
      <c r="K2289" s="101" t="s">
        <v>2941</v>
      </c>
      <c r="L2289" s="102">
        <v>23.0</v>
      </c>
      <c r="M2289" s="13"/>
    </row>
    <row r="2290">
      <c r="A2290" s="101" t="s">
        <v>4895</v>
      </c>
      <c r="B2290" s="101">
        <v>90082.0</v>
      </c>
      <c r="C2290" s="13"/>
      <c r="D2290" s="13"/>
      <c r="E2290" s="13"/>
      <c r="F2290" s="13"/>
      <c r="G2290" s="102">
        <v>1.0</v>
      </c>
      <c r="H2290" s="101" t="s">
        <v>2940</v>
      </c>
      <c r="I2290" s="102" t="s">
        <v>4896</v>
      </c>
      <c r="J2290" s="102" t="s">
        <v>4897</v>
      </c>
      <c r="K2290" s="101" t="s">
        <v>2941</v>
      </c>
      <c r="L2290" s="102">
        <v>23.0</v>
      </c>
      <c r="M2290" s="13"/>
    </row>
    <row r="2291">
      <c r="A2291" s="101" t="s">
        <v>4895</v>
      </c>
      <c r="B2291" s="101">
        <v>90082.0</v>
      </c>
      <c r="C2291" s="13"/>
      <c r="D2291" s="13"/>
      <c r="E2291" s="13"/>
      <c r="F2291" s="13"/>
      <c r="G2291" s="102">
        <v>2.0</v>
      </c>
      <c r="H2291" s="101" t="s">
        <v>2942</v>
      </c>
      <c r="I2291" s="102" t="s">
        <v>4898</v>
      </c>
      <c r="J2291" s="102" t="s">
        <v>4899</v>
      </c>
      <c r="K2291" s="101" t="s">
        <v>2941</v>
      </c>
      <c r="L2291" s="102">
        <v>23.0</v>
      </c>
      <c r="M2291" s="13"/>
    </row>
    <row r="2292">
      <c r="A2292" s="101" t="s">
        <v>4900</v>
      </c>
      <c r="B2292" s="101">
        <v>90083.0</v>
      </c>
      <c r="C2292" s="13"/>
      <c r="D2292" s="13"/>
      <c r="E2292" s="13"/>
      <c r="F2292" s="13"/>
      <c r="G2292" s="102">
        <v>1.0</v>
      </c>
      <c r="H2292" s="101" t="s">
        <v>2940</v>
      </c>
      <c r="I2292" s="102" t="s">
        <v>4901</v>
      </c>
      <c r="J2292" s="102" t="s">
        <v>4902</v>
      </c>
      <c r="K2292" s="101" t="s">
        <v>2941</v>
      </c>
      <c r="L2292" s="102">
        <v>23.0</v>
      </c>
      <c r="M2292" s="13"/>
    </row>
    <row r="2293">
      <c r="A2293" s="101" t="s">
        <v>4900</v>
      </c>
      <c r="B2293" s="101">
        <v>90083.0</v>
      </c>
      <c r="C2293" s="13"/>
      <c r="D2293" s="13"/>
      <c r="E2293" s="13"/>
      <c r="F2293" s="13"/>
      <c r="G2293" s="102">
        <v>2.0</v>
      </c>
      <c r="H2293" s="101" t="s">
        <v>2942</v>
      </c>
      <c r="I2293" s="102" t="s">
        <v>4903</v>
      </c>
      <c r="J2293" s="102" t="s">
        <v>4904</v>
      </c>
      <c r="K2293" s="101" t="s">
        <v>2941</v>
      </c>
      <c r="L2293" s="102">
        <v>23.0</v>
      </c>
      <c r="M2293" s="13"/>
    </row>
    <row r="2294">
      <c r="A2294" s="101" t="s">
        <v>4905</v>
      </c>
      <c r="B2294" s="101">
        <v>90095.0</v>
      </c>
      <c r="C2294" s="13"/>
      <c r="D2294" s="13"/>
      <c r="E2294" s="13"/>
      <c r="F2294" s="13"/>
      <c r="G2294" s="102">
        <v>1.0</v>
      </c>
      <c r="H2294" s="101" t="s">
        <v>2940</v>
      </c>
      <c r="I2294" s="102" t="s">
        <v>4906</v>
      </c>
      <c r="J2294" s="102" t="s">
        <v>4907</v>
      </c>
      <c r="K2294" s="101" t="s">
        <v>2941</v>
      </c>
      <c r="L2294" s="102">
        <v>23.0</v>
      </c>
      <c r="M2294" s="13"/>
    </row>
    <row r="2295">
      <c r="A2295" s="101" t="s">
        <v>4905</v>
      </c>
      <c r="B2295" s="101">
        <v>90095.0</v>
      </c>
      <c r="C2295" s="13"/>
      <c r="D2295" s="13"/>
      <c r="E2295" s="13"/>
      <c r="F2295" s="13"/>
      <c r="G2295" s="102">
        <v>2.0</v>
      </c>
      <c r="H2295" s="101" t="s">
        <v>2942</v>
      </c>
      <c r="I2295" s="102" t="s">
        <v>4908</v>
      </c>
      <c r="J2295" s="102" t="s">
        <v>4909</v>
      </c>
      <c r="K2295" s="101" t="s">
        <v>2941</v>
      </c>
      <c r="L2295" s="102">
        <v>23.0</v>
      </c>
      <c r="M2295" s="13"/>
    </row>
    <row r="2296">
      <c r="A2296" s="101" t="s">
        <v>4910</v>
      </c>
      <c r="B2296" s="101">
        <v>90096.0</v>
      </c>
      <c r="C2296" s="13"/>
      <c r="D2296" s="13"/>
      <c r="E2296" s="13"/>
      <c r="F2296" s="13"/>
      <c r="G2296" s="102">
        <v>1.0</v>
      </c>
      <c r="H2296" s="101" t="s">
        <v>2940</v>
      </c>
      <c r="I2296" s="102">
        <v>967.48</v>
      </c>
      <c r="J2296" s="102" t="s">
        <v>4911</v>
      </c>
      <c r="K2296" s="101" t="s">
        <v>2941</v>
      </c>
      <c r="L2296" s="102">
        <v>23.0</v>
      </c>
      <c r="M2296" s="13"/>
    </row>
    <row r="2297">
      <c r="A2297" s="101" t="s">
        <v>4910</v>
      </c>
      <c r="B2297" s="101">
        <v>90096.0</v>
      </c>
      <c r="C2297" s="13"/>
      <c r="D2297" s="13"/>
      <c r="E2297" s="13"/>
      <c r="F2297" s="13"/>
      <c r="G2297" s="102">
        <v>2.0</v>
      </c>
      <c r="H2297" s="101" t="s">
        <v>2942</v>
      </c>
      <c r="I2297" s="102">
        <v>958.94</v>
      </c>
      <c r="J2297" s="102" t="s">
        <v>4912</v>
      </c>
      <c r="K2297" s="101" t="s">
        <v>2941</v>
      </c>
      <c r="L2297" s="102">
        <v>23.0</v>
      </c>
      <c r="M2297" s="13"/>
    </row>
    <row r="2298">
      <c r="A2298" s="101" t="s">
        <v>4913</v>
      </c>
      <c r="B2298" s="101">
        <v>90097.0</v>
      </c>
      <c r="C2298" s="13"/>
      <c r="D2298" s="13"/>
      <c r="E2298" s="13"/>
      <c r="F2298" s="13"/>
      <c r="G2298" s="102">
        <v>1.0</v>
      </c>
      <c r="H2298" s="101" t="s">
        <v>2940</v>
      </c>
      <c r="I2298" s="102" t="s">
        <v>4914</v>
      </c>
      <c r="J2298" s="102" t="s">
        <v>4915</v>
      </c>
      <c r="K2298" s="101" t="s">
        <v>2941</v>
      </c>
      <c r="L2298" s="102">
        <v>23.0</v>
      </c>
      <c r="M2298" s="13"/>
    </row>
    <row r="2299">
      <c r="A2299" s="101" t="s">
        <v>4913</v>
      </c>
      <c r="B2299" s="101">
        <v>90097.0</v>
      </c>
      <c r="C2299" s="13"/>
      <c r="D2299" s="13"/>
      <c r="E2299" s="13"/>
      <c r="F2299" s="13"/>
      <c r="G2299" s="102">
        <v>2.0</v>
      </c>
      <c r="H2299" s="101" t="s">
        <v>2942</v>
      </c>
      <c r="I2299" s="102" t="s">
        <v>4916</v>
      </c>
      <c r="J2299" s="102" t="s">
        <v>4917</v>
      </c>
      <c r="K2299" s="101" t="s">
        <v>2941</v>
      </c>
      <c r="L2299" s="102">
        <v>23.0</v>
      </c>
      <c r="M2299" s="13"/>
    </row>
    <row r="2300">
      <c r="A2300" s="101" t="s">
        <v>4918</v>
      </c>
      <c r="B2300" s="101">
        <v>90098.0</v>
      </c>
      <c r="C2300" s="13"/>
      <c r="D2300" s="13"/>
      <c r="E2300" s="13"/>
      <c r="F2300" s="13"/>
      <c r="G2300" s="102">
        <v>1.0</v>
      </c>
      <c r="H2300" s="101" t="s">
        <v>2940</v>
      </c>
      <c r="I2300" s="102" t="s">
        <v>4919</v>
      </c>
      <c r="J2300" s="102" t="s">
        <v>4920</v>
      </c>
      <c r="K2300" s="101" t="s">
        <v>2941</v>
      </c>
      <c r="L2300" s="102">
        <v>23.0</v>
      </c>
      <c r="M2300" s="13"/>
    </row>
    <row r="2301">
      <c r="A2301" s="101" t="s">
        <v>4918</v>
      </c>
      <c r="B2301" s="101">
        <v>90098.0</v>
      </c>
      <c r="C2301" s="13"/>
      <c r="D2301" s="13"/>
      <c r="E2301" s="13"/>
      <c r="F2301" s="13"/>
      <c r="G2301" s="102">
        <v>2.0</v>
      </c>
      <c r="H2301" s="101" t="s">
        <v>2942</v>
      </c>
      <c r="I2301" s="102" t="s">
        <v>4921</v>
      </c>
      <c r="J2301" s="102" t="s">
        <v>4922</v>
      </c>
      <c r="K2301" s="101" t="s">
        <v>2941</v>
      </c>
      <c r="L2301" s="102">
        <v>23.0</v>
      </c>
      <c r="M2301" s="13"/>
    </row>
    <row r="2302">
      <c r="A2302" s="101" t="s">
        <v>4923</v>
      </c>
      <c r="B2302" s="101">
        <v>90102.0</v>
      </c>
      <c r="C2302" s="13"/>
      <c r="D2302" s="13"/>
      <c r="E2302" s="13"/>
      <c r="F2302" s="13"/>
      <c r="G2302" s="102">
        <v>1.0</v>
      </c>
      <c r="H2302" s="101" t="s">
        <v>2940</v>
      </c>
      <c r="I2302" s="102" t="s">
        <v>4924</v>
      </c>
      <c r="J2302" s="102" t="s">
        <v>4925</v>
      </c>
      <c r="K2302" s="101" t="s">
        <v>2941</v>
      </c>
      <c r="L2302" s="102">
        <v>23.0</v>
      </c>
      <c r="M2302" s="13"/>
    </row>
    <row r="2303">
      <c r="A2303" s="101" t="s">
        <v>4923</v>
      </c>
      <c r="B2303" s="101">
        <v>90102.0</v>
      </c>
      <c r="C2303" s="13"/>
      <c r="D2303" s="13"/>
      <c r="E2303" s="13"/>
      <c r="F2303" s="13"/>
      <c r="G2303" s="102">
        <v>2.0</v>
      </c>
      <c r="H2303" s="101" t="s">
        <v>2942</v>
      </c>
      <c r="I2303" s="102" t="s">
        <v>4926</v>
      </c>
      <c r="J2303" s="102" t="s">
        <v>4927</v>
      </c>
      <c r="K2303" s="101" t="s">
        <v>2941</v>
      </c>
      <c r="L2303" s="102">
        <v>23.0</v>
      </c>
      <c r="M2303" s="13"/>
    </row>
    <row r="2304">
      <c r="A2304" s="101" t="s">
        <v>4928</v>
      </c>
      <c r="B2304" s="101">
        <v>90071.0</v>
      </c>
      <c r="C2304" s="13"/>
      <c r="D2304" s="13"/>
      <c r="E2304" s="13"/>
      <c r="F2304" s="13"/>
      <c r="G2304" s="102">
        <v>1.0</v>
      </c>
      <c r="H2304" s="101" t="s">
        <v>2940</v>
      </c>
      <c r="I2304" s="102" t="s">
        <v>4929</v>
      </c>
      <c r="J2304" s="102" t="s">
        <v>4930</v>
      </c>
      <c r="K2304" s="101" t="s">
        <v>2941</v>
      </c>
      <c r="L2304" s="102">
        <v>23.0</v>
      </c>
      <c r="M2304" s="13"/>
    </row>
    <row r="2305">
      <c r="A2305" s="101" t="s">
        <v>4928</v>
      </c>
      <c r="B2305" s="101">
        <v>90071.0</v>
      </c>
      <c r="C2305" s="13"/>
      <c r="D2305" s="13"/>
      <c r="E2305" s="13"/>
      <c r="F2305" s="13"/>
      <c r="G2305" s="102">
        <v>2.0</v>
      </c>
      <c r="H2305" s="101" t="s">
        <v>2942</v>
      </c>
      <c r="I2305" s="102" t="s">
        <v>4931</v>
      </c>
      <c r="J2305" s="102" t="s">
        <v>4932</v>
      </c>
      <c r="K2305" s="101" t="s">
        <v>2941</v>
      </c>
      <c r="L2305" s="102">
        <v>23.0</v>
      </c>
      <c r="M2305" s="13"/>
    </row>
    <row r="2306">
      <c r="A2306" s="101" t="s">
        <v>4933</v>
      </c>
      <c r="B2306" s="101">
        <v>90072.0</v>
      </c>
      <c r="C2306" s="13"/>
      <c r="D2306" s="13"/>
      <c r="E2306" s="13"/>
      <c r="F2306" s="13"/>
      <c r="G2306" s="102">
        <v>1.0</v>
      </c>
      <c r="H2306" s="101" t="s">
        <v>2940</v>
      </c>
      <c r="I2306" s="102" t="s">
        <v>4934</v>
      </c>
      <c r="J2306" s="102" t="s">
        <v>4935</v>
      </c>
      <c r="K2306" s="101" t="s">
        <v>2941</v>
      </c>
      <c r="L2306" s="102">
        <v>23.0</v>
      </c>
      <c r="M2306" s="13"/>
    </row>
    <row r="2307">
      <c r="A2307" s="101" t="s">
        <v>4933</v>
      </c>
      <c r="B2307" s="101">
        <v>90072.0</v>
      </c>
      <c r="C2307" s="13"/>
      <c r="D2307" s="13"/>
      <c r="E2307" s="13"/>
      <c r="F2307" s="13"/>
      <c r="G2307" s="102">
        <v>2.0</v>
      </c>
      <c r="H2307" s="101" t="s">
        <v>2942</v>
      </c>
      <c r="I2307" s="102" t="s">
        <v>4936</v>
      </c>
      <c r="J2307" s="102" t="s">
        <v>4937</v>
      </c>
      <c r="K2307" s="101" t="s">
        <v>2941</v>
      </c>
      <c r="L2307" s="102">
        <v>23.0</v>
      </c>
      <c r="M2307" s="13"/>
    </row>
    <row r="2308">
      <c r="A2308" s="101" t="s">
        <v>4938</v>
      </c>
      <c r="B2308" s="101">
        <v>90073.0</v>
      </c>
      <c r="C2308" s="13"/>
      <c r="D2308" s="13"/>
      <c r="E2308" s="13"/>
      <c r="F2308" s="13"/>
      <c r="G2308" s="102">
        <v>1.0</v>
      </c>
      <c r="H2308" s="101" t="s">
        <v>2940</v>
      </c>
      <c r="I2308" s="102" t="s">
        <v>4939</v>
      </c>
      <c r="J2308" s="102" t="s">
        <v>4940</v>
      </c>
      <c r="K2308" s="101" t="s">
        <v>2941</v>
      </c>
      <c r="L2308" s="102">
        <v>23.0</v>
      </c>
      <c r="M2308" s="13"/>
    </row>
    <row r="2309">
      <c r="A2309" s="101" t="s">
        <v>4938</v>
      </c>
      <c r="B2309" s="101">
        <v>90073.0</v>
      </c>
      <c r="C2309" s="13"/>
      <c r="D2309" s="13"/>
      <c r="E2309" s="13"/>
      <c r="F2309" s="13"/>
      <c r="G2309" s="102">
        <v>2.0</v>
      </c>
      <c r="H2309" s="101" t="s">
        <v>2942</v>
      </c>
      <c r="I2309" s="102" t="s">
        <v>4941</v>
      </c>
      <c r="J2309" s="102" t="s">
        <v>4942</v>
      </c>
      <c r="K2309" s="101" t="s">
        <v>2941</v>
      </c>
      <c r="L2309" s="102">
        <v>23.0</v>
      </c>
      <c r="M2309" s="13"/>
    </row>
    <row r="2310">
      <c r="A2310" s="101" t="s">
        <v>4943</v>
      </c>
      <c r="B2310" s="101">
        <v>90074.0</v>
      </c>
      <c r="C2310" s="13"/>
      <c r="D2310" s="13"/>
      <c r="E2310" s="13"/>
      <c r="F2310" s="13"/>
      <c r="G2310" s="102">
        <v>1.0</v>
      </c>
      <c r="H2310" s="101" t="s">
        <v>2940</v>
      </c>
      <c r="I2310" s="102">
        <v>926.83</v>
      </c>
      <c r="J2310" s="102" t="s">
        <v>4944</v>
      </c>
      <c r="K2310" s="101" t="s">
        <v>2941</v>
      </c>
      <c r="L2310" s="102">
        <v>23.0</v>
      </c>
      <c r="M2310" s="13"/>
    </row>
    <row r="2311">
      <c r="A2311" s="101" t="s">
        <v>4943</v>
      </c>
      <c r="B2311" s="101">
        <v>90074.0</v>
      </c>
      <c r="C2311" s="13"/>
      <c r="D2311" s="13"/>
      <c r="E2311" s="13"/>
      <c r="F2311" s="13"/>
      <c r="G2311" s="102">
        <v>2.0</v>
      </c>
      <c r="H2311" s="101" t="s">
        <v>2942</v>
      </c>
      <c r="I2311" s="102">
        <v>925.83</v>
      </c>
      <c r="J2311" s="102" t="s">
        <v>4945</v>
      </c>
      <c r="K2311" s="101" t="s">
        <v>2941</v>
      </c>
      <c r="L2311" s="102">
        <v>23.0</v>
      </c>
      <c r="M2311" s="13"/>
    </row>
    <row r="2312">
      <c r="A2312" s="101" t="s">
        <v>4946</v>
      </c>
      <c r="B2312" s="101">
        <v>90075.0</v>
      </c>
      <c r="C2312" s="13"/>
      <c r="D2312" s="13"/>
      <c r="E2312" s="13"/>
      <c r="F2312" s="13"/>
      <c r="G2312" s="102">
        <v>1.0</v>
      </c>
      <c r="H2312" s="101" t="s">
        <v>2940</v>
      </c>
      <c r="I2312" s="102" t="s">
        <v>4947</v>
      </c>
      <c r="J2312" s="102" t="s">
        <v>4948</v>
      </c>
      <c r="K2312" s="101" t="s">
        <v>2941</v>
      </c>
      <c r="L2312" s="102">
        <v>23.0</v>
      </c>
      <c r="M2312" s="13"/>
    </row>
    <row r="2313">
      <c r="A2313" s="101" t="s">
        <v>4946</v>
      </c>
      <c r="B2313" s="101">
        <v>90075.0</v>
      </c>
      <c r="C2313" s="13"/>
      <c r="D2313" s="13"/>
      <c r="E2313" s="13"/>
      <c r="F2313" s="13"/>
      <c r="G2313" s="102">
        <v>2.0</v>
      </c>
      <c r="H2313" s="101" t="s">
        <v>2942</v>
      </c>
      <c r="I2313" s="102" t="s">
        <v>4947</v>
      </c>
      <c r="J2313" s="102" t="s">
        <v>4948</v>
      </c>
      <c r="K2313" s="101" t="s">
        <v>2941</v>
      </c>
      <c r="L2313" s="102">
        <v>23.0</v>
      </c>
      <c r="M2313" s="13"/>
    </row>
    <row r="2314">
      <c r="A2314" s="101" t="s">
        <v>4949</v>
      </c>
      <c r="B2314" s="101">
        <v>90076.0</v>
      </c>
      <c r="C2314" s="13"/>
      <c r="D2314" s="13"/>
      <c r="E2314" s="13"/>
      <c r="F2314" s="13"/>
      <c r="G2314" s="102">
        <v>1.0</v>
      </c>
      <c r="H2314" s="101" t="s">
        <v>2940</v>
      </c>
      <c r="I2314" s="102">
        <v>995.94</v>
      </c>
      <c r="J2314" s="102" t="s">
        <v>4950</v>
      </c>
      <c r="K2314" s="101" t="s">
        <v>2941</v>
      </c>
      <c r="L2314" s="102">
        <v>23.0</v>
      </c>
      <c r="M2314" s="13"/>
    </row>
    <row r="2315">
      <c r="A2315" s="101" t="s">
        <v>4949</v>
      </c>
      <c r="B2315" s="101">
        <v>90076.0</v>
      </c>
      <c r="C2315" s="13"/>
      <c r="D2315" s="13"/>
      <c r="E2315" s="13"/>
      <c r="F2315" s="13"/>
      <c r="G2315" s="102">
        <v>2.0</v>
      </c>
      <c r="H2315" s="101" t="s">
        <v>2942</v>
      </c>
      <c r="I2315" s="102">
        <v>993.6</v>
      </c>
      <c r="J2315" s="102" t="s">
        <v>4951</v>
      </c>
      <c r="K2315" s="101" t="s">
        <v>2941</v>
      </c>
      <c r="L2315" s="102">
        <v>23.0</v>
      </c>
      <c r="M2315" s="13"/>
    </row>
    <row r="2316">
      <c r="A2316" s="101" t="s">
        <v>4952</v>
      </c>
      <c r="B2316" s="101">
        <v>90077.0</v>
      </c>
      <c r="C2316" s="13"/>
      <c r="D2316" s="13"/>
      <c r="E2316" s="13"/>
      <c r="F2316" s="13"/>
      <c r="G2316" s="102">
        <v>1.0</v>
      </c>
      <c r="H2316" s="101" t="s">
        <v>2940</v>
      </c>
      <c r="I2316" s="102" t="s">
        <v>4953</v>
      </c>
      <c r="J2316" s="102" t="s">
        <v>4954</v>
      </c>
      <c r="K2316" s="101" t="s">
        <v>2941</v>
      </c>
      <c r="L2316" s="102">
        <v>23.0</v>
      </c>
      <c r="M2316" s="13"/>
    </row>
    <row r="2317">
      <c r="A2317" s="101" t="s">
        <v>4952</v>
      </c>
      <c r="B2317" s="101">
        <v>90077.0</v>
      </c>
      <c r="C2317" s="13"/>
      <c r="D2317" s="13"/>
      <c r="E2317" s="13"/>
      <c r="F2317" s="13"/>
      <c r="G2317" s="102">
        <v>2.0</v>
      </c>
      <c r="H2317" s="101" t="s">
        <v>2942</v>
      </c>
      <c r="I2317" s="102" t="s">
        <v>4955</v>
      </c>
      <c r="J2317" s="102" t="s">
        <v>4956</v>
      </c>
      <c r="K2317" s="101" t="s">
        <v>2941</v>
      </c>
      <c r="L2317" s="102">
        <v>23.0</v>
      </c>
      <c r="M2317" s="13"/>
    </row>
    <row r="2318">
      <c r="A2318" s="101" t="s">
        <v>4957</v>
      </c>
      <c r="B2318" s="101">
        <v>90078.0</v>
      </c>
      <c r="C2318" s="13"/>
      <c r="D2318" s="13"/>
      <c r="E2318" s="13"/>
      <c r="F2318" s="13"/>
      <c r="G2318" s="102">
        <v>1.0</v>
      </c>
      <c r="H2318" s="101" t="s">
        <v>2940</v>
      </c>
      <c r="I2318" s="102" t="s">
        <v>4958</v>
      </c>
      <c r="J2318" s="102" t="s">
        <v>4959</v>
      </c>
      <c r="K2318" s="101" t="s">
        <v>2941</v>
      </c>
      <c r="L2318" s="102">
        <v>23.0</v>
      </c>
      <c r="M2318" s="13"/>
    </row>
    <row r="2319">
      <c r="A2319" s="101" t="s">
        <v>4957</v>
      </c>
      <c r="B2319" s="101">
        <v>90078.0</v>
      </c>
      <c r="C2319" s="13"/>
      <c r="D2319" s="13"/>
      <c r="E2319" s="13"/>
      <c r="F2319" s="13"/>
      <c r="G2319" s="102">
        <v>2.0</v>
      </c>
      <c r="H2319" s="101" t="s">
        <v>2942</v>
      </c>
      <c r="I2319" s="102" t="s">
        <v>4960</v>
      </c>
      <c r="J2319" s="102" t="s">
        <v>4961</v>
      </c>
      <c r="K2319" s="101" t="s">
        <v>2941</v>
      </c>
      <c r="L2319" s="102">
        <v>23.0</v>
      </c>
      <c r="M2319" s="13"/>
    </row>
    <row r="2320">
      <c r="A2320" s="101" t="s">
        <v>4962</v>
      </c>
      <c r="B2320" s="101">
        <v>90151.0</v>
      </c>
      <c r="C2320" s="13"/>
      <c r="D2320" s="13"/>
      <c r="E2320" s="13"/>
      <c r="F2320" s="13"/>
      <c r="G2320" s="102">
        <v>1.0</v>
      </c>
      <c r="H2320" s="101" t="s">
        <v>2940</v>
      </c>
      <c r="I2320" s="102">
        <v>243.9</v>
      </c>
      <c r="J2320" s="102">
        <v>300.0</v>
      </c>
      <c r="K2320" s="101" t="s">
        <v>2941</v>
      </c>
      <c r="L2320" s="102">
        <v>23.0</v>
      </c>
      <c r="M2320" s="13"/>
    </row>
    <row r="2321">
      <c r="A2321" s="101" t="s">
        <v>4962</v>
      </c>
      <c r="B2321" s="101">
        <v>90151.0</v>
      </c>
      <c r="C2321" s="13"/>
      <c r="D2321" s="13"/>
      <c r="E2321" s="13"/>
      <c r="F2321" s="13"/>
      <c r="G2321" s="102">
        <v>2.0</v>
      </c>
      <c r="H2321" s="101" t="s">
        <v>2942</v>
      </c>
      <c r="I2321" s="102">
        <v>235.67</v>
      </c>
      <c r="J2321" s="102">
        <v>289.87</v>
      </c>
      <c r="K2321" s="101" t="s">
        <v>2941</v>
      </c>
      <c r="L2321" s="102">
        <v>23.0</v>
      </c>
      <c r="M2321" s="13"/>
    </row>
    <row r="2322">
      <c r="A2322" s="101" t="s">
        <v>4963</v>
      </c>
      <c r="B2322" s="101">
        <v>329.0</v>
      </c>
      <c r="C2322" s="13"/>
      <c r="D2322" s="13"/>
      <c r="E2322" s="13"/>
      <c r="F2322" s="13"/>
      <c r="G2322" s="102">
        <v>1.0</v>
      </c>
      <c r="H2322" s="101" t="s">
        <v>2940</v>
      </c>
      <c r="I2322" s="102" t="s">
        <v>4906</v>
      </c>
      <c r="J2322" s="102" t="s">
        <v>4907</v>
      </c>
      <c r="K2322" s="101" t="s">
        <v>2941</v>
      </c>
      <c r="L2322" s="102">
        <v>23.0</v>
      </c>
      <c r="M2322" s="13"/>
    </row>
    <row r="2323">
      <c r="A2323" s="101" t="s">
        <v>4963</v>
      </c>
      <c r="B2323" s="101">
        <v>329.0</v>
      </c>
      <c r="C2323" s="13"/>
      <c r="D2323" s="13"/>
      <c r="E2323" s="13"/>
      <c r="F2323" s="13"/>
      <c r="G2323" s="102">
        <v>2.0</v>
      </c>
      <c r="H2323" s="101" t="s">
        <v>2942</v>
      </c>
      <c r="I2323" s="102" t="s">
        <v>4964</v>
      </c>
      <c r="J2323" s="102" t="s">
        <v>4965</v>
      </c>
      <c r="K2323" s="101" t="s">
        <v>2941</v>
      </c>
      <c r="L2323" s="102">
        <v>23.0</v>
      </c>
      <c r="M2323" s="13"/>
    </row>
    <row r="2324">
      <c r="A2324" s="101" t="s">
        <v>4966</v>
      </c>
      <c r="B2324" s="101">
        <v>90087.0</v>
      </c>
      <c r="C2324" s="13"/>
      <c r="D2324" s="13"/>
      <c r="E2324" s="13"/>
      <c r="F2324" s="13"/>
      <c r="G2324" s="102">
        <v>1.0</v>
      </c>
      <c r="H2324" s="101" t="s">
        <v>2940</v>
      </c>
      <c r="I2324" s="102" t="s">
        <v>4967</v>
      </c>
      <c r="J2324" s="102" t="s">
        <v>4968</v>
      </c>
      <c r="K2324" s="101" t="s">
        <v>2941</v>
      </c>
      <c r="L2324" s="102">
        <v>23.0</v>
      </c>
      <c r="M2324" s="13"/>
    </row>
    <row r="2325">
      <c r="A2325" s="101" t="s">
        <v>4966</v>
      </c>
      <c r="B2325" s="101">
        <v>90087.0</v>
      </c>
      <c r="C2325" s="13"/>
      <c r="D2325" s="13"/>
      <c r="E2325" s="13"/>
      <c r="F2325" s="13"/>
      <c r="G2325" s="102">
        <v>2.0</v>
      </c>
      <c r="H2325" s="101" t="s">
        <v>2942</v>
      </c>
      <c r="I2325" s="102" t="s">
        <v>4969</v>
      </c>
      <c r="J2325" s="102" t="s">
        <v>4970</v>
      </c>
      <c r="K2325" s="101" t="s">
        <v>2941</v>
      </c>
      <c r="L2325" s="102">
        <v>23.0</v>
      </c>
      <c r="M2325" s="13"/>
    </row>
    <row r="2326">
      <c r="A2326" s="101" t="s">
        <v>4971</v>
      </c>
      <c r="B2326" s="101">
        <v>90051.0</v>
      </c>
      <c r="C2326" s="13"/>
      <c r="D2326" s="13"/>
      <c r="E2326" s="13"/>
      <c r="F2326" s="13"/>
      <c r="G2326" s="102">
        <v>1.0</v>
      </c>
      <c r="H2326" s="101" t="s">
        <v>2940</v>
      </c>
      <c r="I2326" s="102">
        <v>161.62</v>
      </c>
      <c r="J2326" s="102">
        <v>198.79</v>
      </c>
      <c r="K2326" s="101" t="s">
        <v>2941</v>
      </c>
      <c r="L2326" s="102">
        <v>23.0</v>
      </c>
      <c r="M2326" s="13"/>
    </row>
    <row r="2327">
      <c r="A2327" s="101" t="s">
        <v>4971</v>
      </c>
      <c r="B2327" s="101">
        <v>90051.0</v>
      </c>
      <c r="C2327" s="13"/>
      <c r="D2327" s="13"/>
      <c r="E2327" s="13"/>
      <c r="F2327" s="13"/>
      <c r="G2327" s="102">
        <v>2.0</v>
      </c>
      <c r="H2327" s="101" t="s">
        <v>2942</v>
      </c>
      <c r="I2327" s="102">
        <v>161.62</v>
      </c>
      <c r="J2327" s="102">
        <v>198.79</v>
      </c>
      <c r="K2327" s="101" t="s">
        <v>2941</v>
      </c>
      <c r="L2327" s="102">
        <v>23.0</v>
      </c>
      <c r="M2327" s="13"/>
    </row>
    <row r="2328">
      <c r="A2328" s="101" t="s">
        <v>4972</v>
      </c>
      <c r="B2328" s="101">
        <v>90052.0</v>
      </c>
      <c r="C2328" s="13"/>
      <c r="D2328" s="13"/>
      <c r="E2328" s="13"/>
      <c r="F2328" s="13"/>
      <c r="G2328" s="102">
        <v>1.0</v>
      </c>
      <c r="H2328" s="101" t="s">
        <v>2940</v>
      </c>
      <c r="I2328" s="102">
        <v>263.25</v>
      </c>
      <c r="J2328" s="102">
        <v>323.8</v>
      </c>
      <c r="K2328" s="101" t="s">
        <v>2941</v>
      </c>
      <c r="L2328" s="102">
        <v>23.0</v>
      </c>
      <c r="M2328" s="13"/>
    </row>
    <row r="2329">
      <c r="A2329" s="101" t="s">
        <v>4972</v>
      </c>
      <c r="B2329" s="101">
        <v>90052.0</v>
      </c>
      <c r="C2329" s="13"/>
      <c r="D2329" s="13"/>
      <c r="E2329" s="13"/>
      <c r="F2329" s="13"/>
      <c r="G2329" s="102">
        <v>2.0</v>
      </c>
      <c r="H2329" s="101" t="s">
        <v>2942</v>
      </c>
      <c r="I2329" s="102">
        <v>263.25</v>
      </c>
      <c r="J2329" s="102">
        <v>323.8</v>
      </c>
      <c r="K2329" s="101" t="s">
        <v>2941</v>
      </c>
      <c r="L2329" s="102">
        <v>23.0</v>
      </c>
      <c r="M2329" s="13"/>
    </row>
    <row r="2330">
      <c r="A2330" s="101" t="s">
        <v>4973</v>
      </c>
      <c r="B2330" s="101">
        <v>90053.0</v>
      </c>
      <c r="C2330" s="13"/>
      <c r="D2330" s="13"/>
      <c r="E2330" s="13"/>
      <c r="F2330" s="13"/>
      <c r="G2330" s="102">
        <v>1.0</v>
      </c>
      <c r="H2330" s="101" t="s">
        <v>2940</v>
      </c>
      <c r="I2330" s="102">
        <v>163.03</v>
      </c>
      <c r="J2330" s="102">
        <v>200.53</v>
      </c>
      <c r="K2330" s="101" t="s">
        <v>2941</v>
      </c>
      <c r="L2330" s="102">
        <v>23.0</v>
      </c>
      <c r="M2330" s="13"/>
    </row>
    <row r="2331">
      <c r="A2331" s="101" t="s">
        <v>4973</v>
      </c>
      <c r="B2331" s="101">
        <v>90053.0</v>
      </c>
      <c r="C2331" s="13"/>
      <c r="D2331" s="13"/>
      <c r="E2331" s="13"/>
      <c r="F2331" s="13"/>
      <c r="G2331" s="102">
        <v>2.0</v>
      </c>
      <c r="H2331" s="101" t="s">
        <v>2942</v>
      </c>
      <c r="I2331" s="102">
        <v>163.03</v>
      </c>
      <c r="J2331" s="102">
        <v>200.53</v>
      </c>
      <c r="K2331" s="101" t="s">
        <v>2941</v>
      </c>
      <c r="L2331" s="102">
        <v>23.0</v>
      </c>
      <c r="M2331" s="13"/>
    </row>
    <row r="2332">
      <c r="A2332" s="101" t="s">
        <v>4974</v>
      </c>
      <c r="B2332" s="101">
        <v>90054.0</v>
      </c>
      <c r="C2332" s="13"/>
      <c r="D2332" s="13"/>
      <c r="E2332" s="13"/>
      <c r="F2332" s="13"/>
      <c r="G2332" s="102">
        <v>1.0</v>
      </c>
      <c r="H2332" s="101" t="s">
        <v>2940</v>
      </c>
      <c r="I2332" s="102">
        <v>169.4</v>
      </c>
      <c r="J2332" s="102">
        <v>208.36</v>
      </c>
      <c r="K2332" s="101" t="s">
        <v>2941</v>
      </c>
      <c r="L2332" s="102">
        <v>23.0</v>
      </c>
      <c r="M2332" s="13"/>
    </row>
    <row r="2333">
      <c r="A2333" s="101" t="s">
        <v>4974</v>
      </c>
      <c r="B2333" s="101">
        <v>90054.0</v>
      </c>
      <c r="C2333" s="13"/>
      <c r="D2333" s="13"/>
      <c r="E2333" s="13"/>
      <c r="F2333" s="13"/>
      <c r="G2333" s="102">
        <v>2.0</v>
      </c>
      <c r="H2333" s="101" t="s">
        <v>2942</v>
      </c>
      <c r="I2333" s="102">
        <v>169.4</v>
      </c>
      <c r="J2333" s="102">
        <v>208.36</v>
      </c>
      <c r="K2333" s="101" t="s">
        <v>2941</v>
      </c>
      <c r="L2333" s="102">
        <v>23.0</v>
      </c>
      <c r="M2333" s="13"/>
    </row>
    <row r="2334">
      <c r="A2334" s="101" t="s">
        <v>4975</v>
      </c>
      <c r="B2334" s="101">
        <v>90124.0</v>
      </c>
      <c r="C2334" s="13"/>
      <c r="D2334" s="13"/>
      <c r="E2334" s="13"/>
      <c r="F2334" s="13"/>
      <c r="G2334" s="102">
        <v>1.0</v>
      </c>
      <c r="H2334" s="101" t="s">
        <v>2940</v>
      </c>
      <c r="I2334" s="102">
        <v>107.39</v>
      </c>
      <c r="J2334" s="102">
        <v>132.09</v>
      </c>
      <c r="K2334" s="101" t="s">
        <v>2941</v>
      </c>
      <c r="L2334" s="102">
        <v>23.0</v>
      </c>
      <c r="M2334" s="13"/>
    </row>
    <row r="2335">
      <c r="A2335" s="101" t="s">
        <v>4975</v>
      </c>
      <c r="B2335" s="101">
        <v>90124.0</v>
      </c>
      <c r="C2335" s="13"/>
      <c r="D2335" s="13"/>
      <c r="E2335" s="13"/>
      <c r="F2335" s="13"/>
      <c r="G2335" s="102">
        <v>2.0</v>
      </c>
      <c r="H2335" s="101" t="s">
        <v>2942</v>
      </c>
      <c r="I2335" s="102">
        <v>107.39</v>
      </c>
      <c r="J2335" s="102">
        <v>132.09</v>
      </c>
      <c r="K2335" s="101" t="s">
        <v>2941</v>
      </c>
      <c r="L2335" s="102">
        <v>23.0</v>
      </c>
      <c r="M2335" s="13"/>
    </row>
    <row r="2336">
      <c r="A2336" s="101" t="s">
        <v>4976</v>
      </c>
      <c r="B2336" s="101">
        <v>90125.0</v>
      </c>
      <c r="C2336" s="13"/>
      <c r="D2336" s="13"/>
      <c r="E2336" s="13"/>
      <c r="F2336" s="13"/>
      <c r="G2336" s="102">
        <v>1.0</v>
      </c>
      <c r="H2336" s="101" t="s">
        <v>2940</v>
      </c>
      <c r="I2336" s="102">
        <v>115.51</v>
      </c>
      <c r="J2336" s="102">
        <v>142.08</v>
      </c>
      <c r="K2336" s="101" t="s">
        <v>2941</v>
      </c>
      <c r="L2336" s="102">
        <v>23.0</v>
      </c>
      <c r="M2336" s="13"/>
    </row>
    <row r="2337">
      <c r="A2337" s="101" t="s">
        <v>4976</v>
      </c>
      <c r="B2337" s="101">
        <v>90125.0</v>
      </c>
      <c r="C2337" s="13"/>
      <c r="D2337" s="13"/>
      <c r="E2337" s="13"/>
      <c r="F2337" s="13"/>
      <c r="G2337" s="102">
        <v>2.0</v>
      </c>
      <c r="H2337" s="101" t="s">
        <v>2942</v>
      </c>
      <c r="I2337" s="102">
        <v>115.51</v>
      </c>
      <c r="J2337" s="102">
        <v>142.08</v>
      </c>
      <c r="K2337" s="101" t="s">
        <v>2941</v>
      </c>
      <c r="L2337" s="102">
        <v>23.0</v>
      </c>
      <c r="M2337" s="13"/>
    </row>
    <row r="2338">
      <c r="A2338" s="101" t="s">
        <v>4977</v>
      </c>
      <c r="B2338" s="101">
        <v>90126.0</v>
      </c>
      <c r="C2338" s="13"/>
      <c r="D2338" s="13"/>
      <c r="E2338" s="13"/>
      <c r="F2338" s="13"/>
      <c r="G2338" s="102">
        <v>1.0</v>
      </c>
      <c r="H2338" s="101" t="s">
        <v>2940</v>
      </c>
      <c r="I2338" s="102">
        <v>114.99</v>
      </c>
      <c r="J2338" s="102">
        <v>141.44</v>
      </c>
      <c r="K2338" s="101" t="s">
        <v>2941</v>
      </c>
      <c r="L2338" s="102">
        <v>23.0</v>
      </c>
      <c r="M2338" s="13"/>
    </row>
    <row r="2339">
      <c r="A2339" s="101" t="s">
        <v>4977</v>
      </c>
      <c r="B2339" s="101">
        <v>90126.0</v>
      </c>
      <c r="C2339" s="13"/>
      <c r="D2339" s="13"/>
      <c r="E2339" s="13"/>
      <c r="F2339" s="13"/>
      <c r="G2339" s="102">
        <v>2.0</v>
      </c>
      <c r="H2339" s="101" t="s">
        <v>2942</v>
      </c>
      <c r="I2339" s="102">
        <v>114.99</v>
      </c>
      <c r="J2339" s="102">
        <v>141.44</v>
      </c>
      <c r="K2339" s="101" t="s">
        <v>2941</v>
      </c>
      <c r="L2339" s="102">
        <v>23.0</v>
      </c>
      <c r="M2339" s="13"/>
    </row>
    <row r="2340">
      <c r="A2340" s="101" t="s">
        <v>4978</v>
      </c>
      <c r="B2340" s="101" t="s">
        <v>4979</v>
      </c>
      <c r="D2340" s="13"/>
      <c r="E2340" s="13"/>
      <c r="F2340" s="13"/>
      <c r="G2340" s="102">
        <v>1.0</v>
      </c>
      <c r="H2340" s="101" t="s">
        <v>2940</v>
      </c>
      <c r="I2340" s="102">
        <v>5.0</v>
      </c>
      <c r="J2340" s="102">
        <v>6.15</v>
      </c>
      <c r="K2340" s="101" t="s">
        <v>2941</v>
      </c>
      <c r="L2340" s="102">
        <v>23.0</v>
      </c>
      <c r="M2340" s="13"/>
    </row>
    <row r="2341">
      <c r="A2341" s="101" t="s">
        <v>4978</v>
      </c>
      <c r="B2341" s="101" t="s">
        <v>4979</v>
      </c>
      <c r="D2341" s="13"/>
      <c r="E2341" s="13"/>
      <c r="F2341" s="13"/>
      <c r="G2341" s="102">
        <v>2.0</v>
      </c>
      <c r="H2341" s="101" t="s">
        <v>2942</v>
      </c>
      <c r="I2341" s="102">
        <v>5.0</v>
      </c>
      <c r="J2341" s="102">
        <v>6.15</v>
      </c>
      <c r="K2341" s="101" t="s">
        <v>2941</v>
      </c>
      <c r="L2341" s="102">
        <v>23.0</v>
      </c>
      <c r="M2341" s="13"/>
    </row>
    <row r="2342">
      <c r="A2342" s="101" t="s">
        <v>4980</v>
      </c>
      <c r="B2342" s="101" t="s">
        <v>4981</v>
      </c>
      <c r="D2342" s="13"/>
      <c r="E2342" s="13"/>
      <c r="F2342" s="13"/>
      <c r="G2342" s="102">
        <v>1.0</v>
      </c>
      <c r="H2342" s="101" t="s">
        <v>2940</v>
      </c>
      <c r="I2342" s="102">
        <v>5.0</v>
      </c>
      <c r="J2342" s="102">
        <v>6.15</v>
      </c>
      <c r="K2342" s="101" t="s">
        <v>2941</v>
      </c>
      <c r="L2342" s="102">
        <v>23.0</v>
      </c>
      <c r="M2342" s="13"/>
    </row>
    <row r="2343">
      <c r="A2343" s="101" t="s">
        <v>4980</v>
      </c>
      <c r="B2343" s="101" t="s">
        <v>4981</v>
      </c>
      <c r="D2343" s="13"/>
      <c r="E2343" s="13"/>
      <c r="F2343" s="13"/>
      <c r="G2343" s="102">
        <v>2.0</v>
      </c>
      <c r="H2343" s="101" t="s">
        <v>2942</v>
      </c>
      <c r="I2343" s="102">
        <v>5.0</v>
      </c>
      <c r="J2343" s="102">
        <v>6.15</v>
      </c>
      <c r="K2343" s="101" t="s">
        <v>2941</v>
      </c>
      <c r="L2343" s="102">
        <v>23.0</v>
      </c>
      <c r="M2343" s="13"/>
    </row>
    <row r="2344">
      <c r="A2344" s="101" t="s">
        <v>4982</v>
      </c>
      <c r="B2344" s="101">
        <v>1327.0</v>
      </c>
      <c r="C2344" s="13"/>
      <c r="D2344" s="13"/>
      <c r="E2344" s="13"/>
      <c r="F2344" s="13"/>
      <c r="G2344" s="102">
        <v>1.0</v>
      </c>
      <c r="H2344" s="101" t="s">
        <v>2940</v>
      </c>
      <c r="I2344" s="102">
        <v>32.52</v>
      </c>
      <c r="J2344" s="102">
        <v>40.0</v>
      </c>
      <c r="K2344" s="101" t="s">
        <v>2941</v>
      </c>
      <c r="L2344" s="102">
        <v>23.0</v>
      </c>
      <c r="M2344" s="13"/>
    </row>
    <row r="2345">
      <c r="A2345" s="101" t="s">
        <v>4982</v>
      </c>
      <c r="B2345" s="101">
        <v>1327.0</v>
      </c>
      <c r="C2345" s="13"/>
      <c r="D2345" s="13"/>
      <c r="E2345" s="13"/>
      <c r="F2345" s="13"/>
      <c r="G2345" s="102">
        <v>2.0</v>
      </c>
      <c r="H2345" s="101" t="s">
        <v>2942</v>
      </c>
      <c r="I2345" s="102">
        <v>31.0</v>
      </c>
      <c r="J2345" s="102">
        <v>38.13</v>
      </c>
      <c r="K2345" s="101" t="s">
        <v>2941</v>
      </c>
      <c r="L2345" s="102">
        <v>23.0</v>
      </c>
      <c r="M2345" s="13"/>
    </row>
    <row r="2346">
      <c r="A2346" s="101" t="s">
        <v>4983</v>
      </c>
      <c r="B2346" s="101">
        <v>242.0</v>
      </c>
      <c r="C2346" s="13"/>
      <c r="D2346" s="13"/>
      <c r="E2346" s="13"/>
      <c r="F2346" s="13"/>
      <c r="G2346" s="102">
        <v>1.0</v>
      </c>
      <c r="H2346" s="101" t="s">
        <v>2940</v>
      </c>
      <c r="I2346" s="102">
        <v>32.52</v>
      </c>
      <c r="J2346" s="102">
        <v>40.0</v>
      </c>
      <c r="K2346" s="101" t="s">
        <v>2941</v>
      </c>
      <c r="L2346" s="102">
        <v>23.0</v>
      </c>
      <c r="M2346" s="13"/>
    </row>
    <row r="2347">
      <c r="A2347" s="101" t="s">
        <v>4983</v>
      </c>
      <c r="B2347" s="101">
        <v>242.0</v>
      </c>
      <c r="C2347" s="13"/>
      <c r="D2347" s="13"/>
      <c r="E2347" s="13"/>
      <c r="F2347" s="13"/>
      <c r="G2347" s="102">
        <v>2.0</v>
      </c>
      <c r="H2347" s="101" t="s">
        <v>2942</v>
      </c>
      <c r="I2347" s="102">
        <v>31.0</v>
      </c>
      <c r="J2347" s="102">
        <v>38.13</v>
      </c>
      <c r="K2347" s="101" t="s">
        <v>2941</v>
      </c>
      <c r="L2347" s="102">
        <v>23.0</v>
      </c>
      <c r="M2347" s="13"/>
    </row>
    <row r="2348">
      <c r="A2348" s="101" t="s">
        <v>4984</v>
      </c>
      <c r="B2348" s="101">
        <v>855.0</v>
      </c>
      <c r="C2348" s="13"/>
      <c r="D2348" s="13"/>
      <c r="E2348" s="13"/>
      <c r="F2348" s="13"/>
      <c r="G2348" s="102">
        <v>1.0</v>
      </c>
      <c r="H2348" s="101" t="s">
        <v>2940</v>
      </c>
      <c r="I2348" s="102">
        <v>43.9</v>
      </c>
      <c r="J2348" s="102">
        <v>54.0</v>
      </c>
      <c r="K2348" s="101" t="s">
        <v>2941</v>
      </c>
      <c r="L2348" s="102">
        <v>23.0</v>
      </c>
      <c r="M2348" s="13"/>
    </row>
    <row r="2349">
      <c r="A2349" s="101" t="s">
        <v>4984</v>
      </c>
      <c r="B2349" s="101">
        <v>855.0</v>
      </c>
      <c r="C2349" s="13"/>
      <c r="D2349" s="13"/>
      <c r="E2349" s="13"/>
      <c r="F2349" s="13"/>
      <c r="G2349" s="102">
        <v>2.0</v>
      </c>
      <c r="H2349" s="101" t="s">
        <v>2942</v>
      </c>
      <c r="I2349" s="102">
        <v>43.86</v>
      </c>
      <c r="J2349" s="102">
        <v>53.95</v>
      </c>
      <c r="K2349" s="101" t="s">
        <v>2941</v>
      </c>
      <c r="L2349" s="102">
        <v>23.0</v>
      </c>
      <c r="M2349" s="13"/>
    </row>
    <row r="2350">
      <c r="A2350" s="101" t="s">
        <v>4985</v>
      </c>
      <c r="B2350" s="101">
        <v>837.0</v>
      </c>
      <c r="C2350" s="13"/>
      <c r="D2350" s="13"/>
      <c r="E2350" s="13"/>
      <c r="F2350" s="13"/>
      <c r="G2350" s="102">
        <v>1.0</v>
      </c>
      <c r="H2350" s="101" t="s">
        <v>2940</v>
      </c>
      <c r="I2350" s="102">
        <v>31.71</v>
      </c>
      <c r="J2350" s="102">
        <v>39.0</v>
      </c>
      <c r="K2350" s="101" t="s">
        <v>2941</v>
      </c>
      <c r="L2350" s="102">
        <v>23.0</v>
      </c>
      <c r="M2350" s="13"/>
    </row>
    <row r="2351">
      <c r="A2351" s="101" t="s">
        <v>4985</v>
      </c>
      <c r="B2351" s="101">
        <v>837.0</v>
      </c>
      <c r="C2351" s="13"/>
      <c r="D2351" s="13"/>
      <c r="E2351" s="13"/>
      <c r="F2351" s="13"/>
      <c r="G2351" s="102">
        <v>2.0</v>
      </c>
      <c r="H2351" s="101" t="s">
        <v>2942</v>
      </c>
      <c r="I2351" s="102">
        <v>31.0</v>
      </c>
      <c r="J2351" s="102">
        <v>38.13</v>
      </c>
      <c r="K2351" s="101" t="s">
        <v>2941</v>
      </c>
      <c r="L2351" s="102">
        <v>23.0</v>
      </c>
      <c r="M2351" s="13"/>
    </row>
    <row r="2352">
      <c r="A2352" s="101" t="s">
        <v>4986</v>
      </c>
      <c r="B2352" s="101" t="s">
        <v>4987</v>
      </c>
      <c r="D2352" s="13"/>
      <c r="E2352" s="13"/>
      <c r="F2352" s="13"/>
      <c r="G2352" s="102">
        <v>1.0</v>
      </c>
      <c r="H2352" s="101" t="s">
        <v>2940</v>
      </c>
      <c r="I2352" s="102">
        <v>15.38</v>
      </c>
      <c r="J2352" s="102">
        <v>18.92</v>
      </c>
      <c r="K2352" s="101" t="s">
        <v>2941</v>
      </c>
      <c r="L2352" s="102">
        <v>23.0</v>
      </c>
      <c r="M2352" s="13"/>
    </row>
    <row r="2353">
      <c r="A2353" s="101" t="s">
        <v>4986</v>
      </c>
      <c r="B2353" s="101" t="s">
        <v>4987</v>
      </c>
      <c r="D2353" s="13"/>
      <c r="E2353" s="13"/>
      <c r="F2353" s="13"/>
      <c r="G2353" s="102">
        <v>2.0</v>
      </c>
      <c r="H2353" s="101" t="s">
        <v>2942</v>
      </c>
      <c r="I2353" s="102">
        <v>15.38</v>
      </c>
      <c r="J2353" s="102">
        <v>18.92</v>
      </c>
      <c r="K2353" s="101" t="s">
        <v>2941</v>
      </c>
      <c r="L2353" s="102">
        <v>23.0</v>
      </c>
      <c r="M2353" s="13"/>
    </row>
    <row r="2354">
      <c r="A2354" s="101" t="s">
        <v>4988</v>
      </c>
      <c r="B2354" s="101" t="s">
        <v>4989</v>
      </c>
      <c r="D2354" s="13"/>
      <c r="E2354" s="13"/>
      <c r="F2354" s="13"/>
      <c r="G2354" s="102">
        <v>1.0</v>
      </c>
      <c r="H2354" s="101" t="s">
        <v>2940</v>
      </c>
      <c r="I2354" s="102">
        <v>60.49</v>
      </c>
      <c r="J2354" s="102">
        <v>74.4</v>
      </c>
      <c r="K2354" s="101" t="s">
        <v>2941</v>
      </c>
      <c r="L2354" s="102">
        <v>23.0</v>
      </c>
      <c r="M2354" s="13"/>
    </row>
    <row r="2355">
      <c r="A2355" s="101" t="s">
        <v>4988</v>
      </c>
      <c r="B2355" s="101" t="s">
        <v>4989</v>
      </c>
      <c r="D2355" s="13"/>
      <c r="E2355" s="13"/>
      <c r="F2355" s="13"/>
      <c r="G2355" s="102">
        <v>2.0</v>
      </c>
      <c r="H2355" s="101" t="s">
        <v>2942</v>
      </c>
      <c r="I2355" s="102">
        <v>48.4</v>
      </c>
      <c r="J2355" s="102">
        <v>59.53</v>
      </c>
      <c r="K2355" s="101" t="s">
        <v>2941</v>
      </c>
      <c r="L2355" s="102">
        <v>23.0</v>
      </c>
      <c r="M2355" s="13"/>
    </row>
    <row r="2356">
      <c r="A2356" s="101" t="s">
        <v>4990</v>
      </c>
      <c r="B2356" s="101" t="s">
        <v>4991</v>
      </c>
      <c r="D2356" s="13"/>
      <c r="E2356" s="13"/>
      <c r="F2356" s="13"/>
      <c r="G2356" s="102">
        <v>1.0</v>
      </c>
      <c r="H2356" s="101" t="s">
        <v>2940</v>
      </c>
      <c r="I2356" s="102">
        <v>5.28</v>
      </c>
      <c r="J2356" s="102">
        <v>6.5</v>
      </c>
      <c r="K2356" s="101" t="s">
        <v>2941</v>
      </c>
      <c r="L2356" s="102">
        <v>23.0</v>
      </c>
      <c r="M2356" s="13"/>
    </row>
    <row r="2357">
      <c r="A2357" s="101" t="s">
        <v>4990</v>
      </c>
      <c r="B2357" s="101" t="s">
        <v>4991</v>
      </c>
      <c r="D2357" s="13"/>
      <c r="E2357" s="13"/>
      <c r="F2357" s="13"/>
      <c r="G2357" s="102">
        <v>2.0</v>
      </c>
      <c r="H2357" s="101" t="s">
        <v>2942</v>
      </c>
      <c r="I2357" s="102">
        <v>5.0</v>
      </c>
      <c r="J2357" s="102">
        <v>6.15</v>
      </c>
      <c r="K2357" s="101" t="s">
        <v>2941</v>
      </c>
      <c r="L2357" s="102">
        <v>23.0</v>
      </c>
      <c r="M2357" s="13"/>
    </row>
    <row r="2358">
      <c r="A2358" s="101" t="s">
        <v>4992</v>
      </c>
      <c r="B2358" s="101">
        <v>42703.0</v>
      </c>
      <c r="C2358" s="13"/>
      <c r="D2358" s="13"/>
      <c r="E2358" s="13"/>
      <c r="F2358" s="13"/>
      <c r="G2358" s="102">
        <v>1.0</v>
      </c>
      <c r="H2358" s="101" t="s">
        <v>2940</v>
      </c>
      <c r="I2358" s="102">
        <v>36.18</v>
      </c>
      <c r="J2358" s="102">
        <v>44.5</v>
      </c>
      <c r="K2358" s="101" t="s">
        <v>2941</v>
      </c>
      <c r="L2358" s="102">
        <v>23.0</v>
      </c>
      <c r="M2358" s="13"/>
    </row>
    <row r="2359">
      <c r="A2359" s="101" t="s">
        <v>4992</v>
      </c>
      <c r="B2359" s="101">
        <v>42703.0</v>
      </c>
      <c r="C2359" s="13"/>
      <c r="D2359" s="13"/>
      <c r="E2359" s="13"/>
      <c r="F2359" s="13"/>
      <c r="G2359" s="102">
        <v>2.0</v>
      </c>
      <c r="H2359" s="101" t="s">
        <v>2942</v>
      </c>
      <c r="I2359" s="102">
        <v>28.9</v>
      </c>
      <c r="J2359" s="102">
        <v>35.55</v>
      </c>
      <c r="K2359" s="101" t="s">
        <v>2941</v>
      </c>
      <c r="L2359" s="102">
        <v>23.0</v>
      </c>
      <c r="M2359" s="13"/>
    </row>
    <row r="2360">
      <c r="A2360" s="101" t="s">
        <v>4993</v>
      </c>
      <c r="B2360" s="101">
        <v>42731.0</v>
      </c>
      <c r="C2360" s="13"/>
      <c r="D2360" s="13"/>
      <c r="E2360" s="13"/>
      <c r="F2360" s="13"/>
      <c r="G2360" s="102">
        <v>1.0</v>
      </c>
      <c r="H2360" s="101" t="s">
        <v>2940</v>
      </c>
      <c r="I2360" s="102">
        <v>2.28</v>
      </c>
      <c r="J2360" s="102">
        <v>2.8</v>
      </c>
      <c r="K2360" s="101" t="s">
        <v>2941</v>
      </c>
      <c r="L2360" s="102">
        <v>23.0</v>
      </c>
      <c r="M2360" s="13"/>
    </row>
    <row r="2361">
      <c r="A2361" s="101" t="s">
        <v>4993</v>
      </c>
      <c r="B2361" s="101">
        <v>42731.0</v>
      </c>
      <c r="C2361" s="13"/>
      <c r="D2361" s="13"/>
      <c r="E2361" s="13"/>
      <c r="F2361" s="13"/>
      <c r="G2361" s="102">
        <v>2.0</v>
      </c>
      <c r="H2361" s="101" t="s">
        <v>2942</v>
      </c>
      <c r="I2361" s="102">
        <v>1.8</v>
      </c>
      <c r="J2361" s="102">
        <v>2.21</v>
      </c>
      <c r="K2361" s="101" t="s">
        <v>2941</v>
      </c>
      <c r="L2361" s="102">
        <v>23.0</v>
      </c>
      <c r="M2361" s="13"/>
    </row>
    <row r="2362">
      <c r="A2362" s="101" t="s">
        <v>4994</v>
      </c>
      <c r="B2362" s="101">
        <v>844.0</v>
      </c>
      <c r="C2362" s="13"/>
      <c r="D2362" s="13"/>
      <c r="E2362" s="13"/>
      <c r="F2362" s="13"/>
      <c r="G2362" s="102">
        <v>1.0</v>
      </c>
      <c r="H2362" s="101" t="s">
        <v>2940</v>
      </c>
      <c r="I2362" s="102">
        <v>5.28</v>
      </c>
      <c r="J2362" s="102">
        <v>6.49</v>
      </c>
      <c r="K2362" s="101" t="s">
        <v>2941</v>
      </c>
      <c r="L2362" s="102">
        <v>23.0</v>
      </c>
      <c r="M2362" s="13"/>
    </row>
    <row r="2363">
      <c r="A2363" s="101" t="s">
        <v>4994</v>
      </c>
      <c r="B2363" s="101">
        <v>844.0</v>
      </c>
      <c r="C2363" s="13"/>
      <c r="D2363" s="13"/>
      <c r="E2363" s="13"/>
      <c r="F2363" s="13"/>
      <c r="G2363" s="102">
        <v>2.0</v>
      </c>
      <c r="H2363" s="101" t="s">
        <v>2942</v>
      </c>
      <c r="I2363" s="102">
        <v>4.2</v>
      </c>
      <c r="J2363" s="102">
        <v>5.17</v>
      </c>
      <c r="K2363" s="101" t="s">
        <v>2941</v>
      </c>
      <c r="L2363" s="102">
        <v>23.0</v>
      </c>
      <c r="M2363" s="13"/>
    </row>
    <row r="2364">
      <c r="A2364" s="101" t="s">
        <v>4995</v>
      </c>
      <c r="B2364" s="101" t="s">
        <v>4996</v>
      </c>
      <c r="C2364" s="13"/>
      <c r="D2364" s="13"/>
      <c r="E2364" s="13"/>
      <c r="F2364" s="13"/>
      <c r="G2364" s="102">
        <v>1.0</v>
      </c>
      <c r="H2364" s="101" t="s">
        <v>2940</v>
      </c>
      <c r="I2364" s="102">
        <v>5.28</v>
      </c>
      <c r="J2364" s="102">
        <v>6.49</v>
      </c>
      <c r="K2364" s="101" t="s">
        <v>2941</v>
      </c>
      <c r="L2364" s="102">
        <v>23.0</v>
      </c>
      <c r="M2364" s="13"/>
    </row>
    <row r="2365">
      <c r="A2365" s="101" t="s">
        <v>4995</v>
      </c>
      <c r="B2365" s="101" t="s">
        <v>4996</v>
      </c>
      <c r="C2365" s="13"/>
      <c r="D2365" s="13"/>
      <c r="E2365" s="13"/>
      <c r="F2365" s="13"/>
      <c r="G2365" s="102">
        <v>2.0</v>
      </c>
      <c r="H2365" s="101" t="s">
        <v>2942</v>
      </c>
      <c r="I2365" s="102">
        <v>4.2</v>
      </c>
      <c r="J2365" s="102">
        <v>5.17</v>
      </c>
      <c r="K2365" s="101" t="s">
        <v>2941</v>
      </c>
      <c r="L2365" s="102">
        <v>23.0</v>
      </c>
      <c r="M2365" s="13"/>
    </row>
    <row r="2366">
      <c r="A2366" s="101" t="s">
        <v>4997</v>
      </c>
      <c r="B2366" s="101">
        <v>339.0</v>
      </c>
      <c r="C2366" s="13"/>
      <c r="D2366" s="13"/>
      <c r="E2366" s="13"/>
      <c r="F2366" s="13"/>
      <c r="G2366" s="102">
        <v>1.0</v>
      </c>
      <c r="H2366" s="101" t="s">
        <v>2940</v>
      </c>
      <c r="I2366" s="102">
        <v>2.6</v>
      </c>
      <c r="J2366" s="102">
        <v>3.2</v>
      </c>
      <c r="K2366" s="101" t="s">
        <v>2941</v>
      </c>
      <c r="L2366" s="102">
        <v>23.0</v>
      </c>
      <c r="M2366" s="13"/>
    </row>
    <row r="2367">
      <c r="A2367" s="101" t="s">
        <v>4997</v>
      </c>
      <c r="B2367" s="101">
        <v>339.0</v>
      </c>
      <c r="C2367" s="13"/>
      <c r="D2367" s="13"/>
      <c r="E2367" s="13"/>
      <c r="F2367" s="13"/>
      <c r="G2367" s="102">
        <v>2.0</v>
      </c>
      <c r="H2367" s="101" t="s">
        <v>2942</v>
      </c>
      <c r="I2367" s="102">
        <v>2.6</v>
      </c>
      <c r="J2367" s="102">
        <v>3.2</v>
      </c>
      <c r="K2367" s="101" t="s">
        <v>2941</v>
      </c>
      <c r="L2367" s="102">
        <v>23.0</v>
      </c>
      <c r="M2367" s="13"/>
    </row>
    <row r="2368">
      <c r="A2368" s="101" t="s">
        <v>4998</v>
      </c>
      <c r="B2368" s="101">
        <v>293.0</v>
      </c>
      <c r="C2368" s="13"/>
      <c r="D2368" s="13"/>
      <c r="E2368" s="13"/>
      <c r="F2368" s="13"/>
      <c r="G2368" s="102">
        <v>1.0</v>
      </c>
      <c r="H2368" s="101" t="s">
        <v>2940</v>
      </c>
      <c r="I2368" s="102">
        <v>3.25</v>
      </c>
      <c r="J2368" s="102">
        <v>4.0</v>
      </c>
      <c r="K2368" s="101" t="s">
        <v>2941</v>
      </c>
      <c r="L2368" s="102">
        <v>23.0</v>
      </c>
      <c r="M2368" s="13"/>
    </row>
    <row r="2369">
      <c r="A2369" s="101" t="s">
        <v>4998</v>
      </c>
      <c r="B2369" s="101">
        <v>293.0</v>
      </c>
      <c r="C2369" s="13"/>
      <c r="D2369" s="13"/>
      <c r="E2369" s="13"/>
      <c r="F2369" s="13"/>
      <c r="G2369" s="102">
        <v>2.0</v>
      </c>
      <c r="H2369" s="101" t="s">
        <v>2942</v>
      </c>
      <c r="I2369" s="102">
        <v>2.6</v>
      </c>
      <c r="J2369" s="102">
        <v>3.2</v>
      </c>
      <c r="K2369" s="101" t="s">
        <v>2941</v>
      </c>
      <c r="L2369" s="102">
        <v>23.0</v>
      </c>
      <c r="M2369" s="13"/>
    </row>
    <row r="2370">
      <c r="A2370" s="101" t="s">
        <v>4999</v>
      </c>
      <c r="B2370" s="101">
        <v>800.0</v>
      </c>
      <c r="C2370" s="13"/>
      <c r="D2370" s="13"/>
      <c r="E2370" s="13"/>
      <c r="F2370" s="13"/>
      <c r="G2370" s="102">
        <v>1.0</v>
      </c>
      <c r="H2370" s="101" t="s">
        <v>2940</v>
      </c>
      <c r="I2370" s="102">
        <v>3.25</v>
      </c>
      <c r="J2370" s="102">
        <v>4.0</v>
      </c>
      <c r="K2370" s="101" t="s">
        <v>2941</v>
      </c>
      <c r="L2370" s="102">
        <v>23.0</v>
      </c>
      <c r="M2370" s="13"/>
    </row>
    <row r="2371">
      <c r="A2371" s="101" t="s">
        <v>4999</v>
      </c>
      <c r="B2371" s="101">
        <v>800.0</v>
      </c>
      <c r="C2371" s="13"/>
      <c r="D2371" s="13"/>
      <c r="E2371" s="13"/>
      <c r="F2371" s="13"/>
      <c r="G2371" s="102">
        <v>2.0</v>
      </c>
      <c r="H2371" s="101" t="s">
        <v>2942</v>
      </c>
      <c r="I2371" s="102">
        <v>2.6</v>
      </c>
      <c r="J2371" s="102">
        <v>3.2</v>
      </c>
      <c r="K2371" s="101" t="s">
        <v>2941</v>
      </c>
      <c r="L2371" s="102">
        <v>23.0</v>
      </c>
      <c r="M2371" s="13"/>
    </row>
    <row r="2372">
      <c r="A2372" s="101" t="s">
        <v>5000</v>
      </c>
      <c r="B2372" s="101">
        <v>801.0</v>
      </c>
      <c r="C2372" s="13"/>
      <c r="D2372" s="13"/>
      <c r="E2372" s="13"/>
      <c r="F2372" s="13"/>
      <c r="G2372" s="102">
        <v>1.0</v>
      </c>
      <c r="H2372" s="101" t="s">
        <v>2940</v>
      </c>
      <c r="I2372" s="102">
        <v>3.25</v>
      </c>
      <c r="J2372" s="102">
        <v>4.0</v>
      </c>
      <c r="K2372" s="101" t="s">
        <v>2941</v>
      </c>
      <c r="L2372" s="102">
        <v>23.0</v>
      </c>
      <c r="M2372" s="13"/>
    </row>
    <row r="2373">
      <c r="A2373" s="101" t="s">
        <v>5000</v>
      </c>
      <c r="B2373" s="101">
        <v>801.0</v>
      </c>
      <c r="C2373" s="13"/>
      <c r="D2373" s="13"/>
      <c r="E2373" s="13"/>
      <c r="F2373" s="13"/>
      <c r="G2373" s="102">
        <v>2.0</v>
      </c>
      <c r="H2373" s="101" t="s">
        <v>2942</v>
      </c>
      <c r="I2373" s="102">
        <v>2.6</v>
      </c>
      <c r="J2373" s="102">
        <v>3.2</v>
      </c>
      <c r="K2373" s="101" t="s">
        <v>2941</v>
      </c>
      <c r="L2373" s="102">
        <v>23.0</v>
      </c>
      <c r="M2373" s="13"/>
    </row>
    <row r="2374">
      <c r="A2374" s="101" t="s">
        <v>5001</v>
      </c>
      <c r="B2374" s="101">
        <v>95.0</v>
      </c>
      <c r="C2374" s="13"/>
      <c r="D2374" s="13"/>
      <c r="E2374" s="13"/>
      <c r="F2374" s="13"/>
      <c r="G2374" s="102">
        <v>1.0</v>
      </c>
      <c r="H2374" s="101" t="s">
        <v>2940</v>
      </c>
      <c r="I2374" s="102">
        <v>1.05</v>
      </c>
      <c r="J2374" s="102">
        <v>1.29</v>
      </c>
      <c r="K2374" s="101" t="s">
        <v>2941</v>
      </c>
      <c r="L2374" s="102">
        <v>23.0</v>
      </c>
      <c r="M2374" s="13"/>
    </row>
    <row r="2375">
      <c r="A2375" s="101" t="s">
        <v>5001</v>
      </c>
      <c r="B2375" s="101">
        <v>95.0</v>
      </c>
      <c r="C2375" s="13"/>
      <c r="D2375" s="13"/>
      <c r="E2375" s="13"/>
      <c r="F2375" s="13"/>
      <c r="G2375" s="102">
        <v>2.0</v>
      </c>
      <c r="H2375" s="101" t="s">
        <v>2942</v>
      </c>
      <c r="I2375" s="102">
        <v>1.05</v>
      </c>
      <c r="J2375" s="102">
        <v>1.29</v>
      </c>
      <c r="K2375" s="101" t="s">
        <v>2941</v>
      </c>
      <c r="L2375" s="102">
        <v>23.0</v>
      </c>
      <c r="M2375" s="13"/>
    </row>
    <row r="2376">
      <c r="A2376" s="101" t="s">
        <v>5002</v>
      </c>
      <c r="B2376" s="101">
        <v>79004.0</v>
      </c>
      <c r="C2376" s="13"/>
      <c r="D2376" s="13"/>
      <c r="E2376" s="13"/>
      <c r="F2376" s="13"/>
      <c r="G2376" s="102">
        <v>1.0</v>
      </c>
      <c r="H2376" s="101" t="s">
        <v>2940</v>
      </c>
      <c r="I2376" s="102">
        <v>60.98</v>
      </c>
      <c r="J2376" s="102">
        <v>75.01</v>
      </c>
      <c r="K2376" s="101" t="s">
        <v>2941</v>
      </c>
      <c r="L2376" s="102">
        <v>23.0</v>
      </c>
      <c r="M2376" s="13"/>
    </row>
    <row r="2377">
      <c r="A2377" s="101" t="s">
        <v>5002</v>
      </c>
      <c r="B2377" s="101">
        <v>79004.0</v>
      </c>
      <c r="C2377" s="13"/>
      <c r="D2377" s="13"/>
      <c r="E2377" s="13"/>
      <c r="F2377" s="13"/>
      <c r="G2377" s="102">
        <v>2.0</v>
      </c>
      <c r="H2377" s="101" t="s">
        <v>2942</v>
      </c>
      <c r="I2377" s="102">
        <v>60.0</v>
      </c>
      <c r="J2377" s="102">
        <v>73.8</v>
      </c>
      <c r="K2377" s="101" t="s">
        <v>2941</v>
      </c>
      <c r="L2377" s="102">
        <v>23.0</v>
      </c>
      <c r="M2377" s="13"/>
    </row>
    <row r="2378">
      <c r="A2378" s="101" t="s">
        <v>5003</v>
      </c>
      <c r="B2378" s="101">
        <v>297.0</v>
      </c>
      <c r="C2378" s="13"/>
      <c r="D2378" s="13"/>
      <c r="E2378" s="13"/>
      <c r="F2378" s="13"/>
      <c r="G2378" s="102">
        <v>1.0</v>
      </c>
      <c r="H2378" s="101" t="s">
        <v>2940</v>
      </c>
      <c r="I2378" s="102">
        <v>13.82</v>
      </c>
      <c r="J2378" s="102">
        <v>17.0</v>
      </c>
      <c r="K2378" s="101" t="s">
        <v>2941</v>
      </c>
      <c r="L2378" s="102">
        <v>23.0</v>
      </c>
      <c r="M2378" s="13"/>
    </row>
    <row r="2379">
      <c r="A2379" s="101" t="s">
        <v>5003</v>
      </c>
      <c r="B2379" s="101">
        <v>297.0</v>
      </c>
      <c r="C2379" s="13"/>
      <c r="D2379" s="13"/>
      <c r="E2379" s="13"/>
      <c r="F2379" s="13"/>
      <c r="G2379" s="102">
        <v>2.0</v>
      </c>
      <c r="H2379" s="101" t="s">
        <v>2942</v>
      </c>
      <c r="I2379" s="102">
        <v>13.21</v>
      </c>
      <c r="J2379" s="102">
        <v>16.25</v>
      </c>
      <c r="K2379" s="101" t="s">
        <v>2941</v>
      </c>
      <c r="L2379" s="102">
        <v>23.0</v>
      </c>
      <c r="M2379" s="13"/>
    </row>
    <row r="2380">
      <c r="A2380" s="101" t="s">
        <v>5004</v>
      </c>
      <c r="B2380" s="101">
        <v>2972.0</v>
      </c>
      <c r="C2380" s="13"/>
      <c r="D2380" s="13"/>
      <c r="E2380" s="13"/>
      <c r="F2380" s="13"/>
      <c r="G2380" s="102">
        <v>1.0</v>
      </c>
      <c r="H2380" s="101" t="s">
        <v>2940</v>
      </c>
      <c r="I2380" s="102">
        <v>27.64</v>
      </c>
      <c r="J2380" s="102">
        <v>34.0</v>
      </c>
      <c r="K2380" s="101" t="s">
        <v>2941</v>
      </c>
      <c r="L2380" s="102">
        <v>23.0</v>
      </c>
      <c r="M2380" s="13"/>
    </row>
    <row r="2381">
      <c r="A2381" s="101" t="s">
        <v>5004</v>
      </c>
      <c r="B2381" s="101">
        <v>170012.0</v>
      </c>
      <c r="C2381" s="13"/>
      <c r="D2381" s="13"/>
      <c r="E2381" s="13"/>
      <c r="F2381" s="13"/>
      <c r="G2381" s="102">
        <v>1.0</v>
      </c>
      <c r="H2381" s="101" t="s">
        <v>2940</v>
      </c>
      <c r="I2381" s="102">
        <v>26.4</v>
      </c>
      <c r="J2381" s="102">
        <v>32.47</v>
      </c>
      <c r="K2381" s="101" t="s">
        <v>2941</v>
      </c>
      <c r="L2381" s="102">
        <v>23.0</v>
      </c>
      <c r="M2381" s="13"/>
    </row>
    <row r="2382">
      <c r="A2382" s="101" t="s">
        <v>5004</v>
      </c>
      <c r="B2382" s="101">
        <v>170012.0</v>
      </c>
      <c r="C2382" s="13"/>
      <c r="D2382" s="13"/>
      <c r="E2382" s="13"/>
      <c r="F2382" s="13"/>
      <c r="G2382" s="102">
        <v>2.0</v>
      </c>
      <c r="H2382" s="101" t="s">
        <v>2942</v>
      </c>
      <c r="I2382" s="102">
        <v>26.4</v>
      </c>
      <c r="J2382" s="102">
        <v>32.47</v>
      </c>
      <c r="K2382" s="101" t="s">
        <v>2941</v>
      </c>
      <c r="L2382" s="102">
        <v>23.0</v>
      </c>
      <c r="M2382" s="13"/>
    </row>
    <row r="2383">
      <c r="A2383" s="101" t="s">
        <v>5004</v>
      </c>
      <c r="B2383" s="101">
        <v>2972.0</v>
      </c>
      <c r="C2383" s="13"/>
      <c r="D2383" s="13"/>
      <c r="E2383" s="13"/>
      <c r="F2383" s="13"/>
      <c r="G2383" s="102">
        <v>2.0</v>
      </c>
      <c r="H2383" s="101" t="s">
        <v>2942</v>
      </c>
      <c r="I2383" s="102">
        <v>26.42</v>
      </c>
      <c r="J2383" s="102">
        <v>32.5</v>
      </c>
      <c r="K2383" s="101" t="s">
        <v>2941</v>
      </c>
      <c r="L2383" s="102">
        <v>23.0</v>
      </c>
      <c r="M2383" s="13"/>
    </row>
    <row r="2384">
      <c r="A2384" s="101" t="s">
        <v>5005</v>
      </c>
      <c r="B2384" s="101">
        <v>1424.0</v>
      </c>
      <c r="C2384" s="13"/>
      <c r="D2384" s="13"/>
      <c r="E2384" s="13"/>
      <c r="F2384" s="13"/>
      <c r="G2384" s="102">
        <v>1.0</v>
      </c>
      <c r="H2384" s="101" t="s">
        <v>2940</v>
      </c>
      <c r="I2384" s="102">
        <v>7.8</v>
      </c>
      <c r="J2384" s="102">
        <v>9.59</v>
      </c>
      <c r="K2384" s="101" t="s">
        <v>2941</v>
      </c>
      <c r="L2384" s="102">
        <v>23.0</v>
      </c>
      <c r="M2384" s="13"/>
    </row>
    <row r="2385">
      <c r="A2385" s="101" t="s">
        <v>5005</v>
      </c>
      <c r="B2385" s="101">
        <v>1424.0</v>
      </c>
      <c r="C2385" s="13"/>
      <c r="D2385" s="13"/>
      <c r="E2385" s="13"/>
      <c r="F2385" s="13"/>
      <c r="G2385" s="102">
        <v>2.0</v>
      </c>
      <c r="H2385" s="101" t="s">
        <v>2942</v>
      </c>
      <c r="I2385" s="102">
        <v>7.8</v>
      </c>
      <c r="J2385" s="102">
        <v>9.59</v>
      </c>
      <c r="K2385" s="101" t="s">
        <v>2941</v>
      </c>
      <c r="L2385" s="102">
        <v>23.0</v>
      </c>
      <c r="M2385" s="13"/>
    </row>
    <row r="2386">
      <c r="A2386" s="101" t="s">
        <v>5006</v>
      </c>
      <c r="B2386" s="101" t="s">
        <v>5007</v>
      </c>
      <c r="D2386" s="13"/>
      <c r="E2386" s="13"/>
      <c r="F2386" s="13"/>
      <c r="G2386" s="102">
        <v>1.0</v>
      </c>
      <c r="H2386" s="101" t="s">
        <v>2940</v>
      </c>
      <c r="I2386" s="102">
        <v>4.07</v>
      </c>
      <c r="J2386" s="102">
        <v>5.0</v>
      </c>
      <c r="K2386" s="101" t="s">
        <v>2941</v>
      </c>
      <c r="L2386" s="102">
        <v>23.0</v>
      </c>
      <c r="M2386" s="13"/>
    </row>
    <row r="2387">
      <c r="A2387" s="101" t="s">
        <v>5006</v>
      </c>
      <c r="B2387" s="101" t="s">
        <v>5007</v>
      </c>
      <c r="D2387" s="13"/>
      <c r="E2387" s="13"/>
      <c r="F2387" s="13"/>
      <c r="G2387" s="102">
        <v>2.0</v>
      </c>
      <c r="H2387" s="101" t="s">
        <v>2942</v>
      </c>
      <c r="I2387" s="102">
        <v>3.2</v>
      </c>
      <c r="J2387" s="102">
        <v>3.94</v>
      </c>
      <c r="K2387" s="101" t="s">
        <v>2941</v>
      </c>
      <c r="L2387" s="102">
        <v>23.0</v>
      </c>
      <c r="M2387" s="13"/>
    </row>
    <row r="2388">
      <c r="A2388" s="101" t="s">
        <v>5008</v>
      </c>
      <c r="B2388" s="101">
        <v>1455.0</v>
      </c>
      <c r="C2388" s="13"/>
      <c r="D2388" s="13"/>
      <c r="E2388" s="13"/>
      <c r="F2388" s="13"/>
      <c r="G2388" s="102">
        <v>1.0</v>
      </c>
      <c r="H2388" s="101" t="s">
        <v>2940</v>
      </c>
      <c r="I2388" s="102">
        <v>5.69</v>
      </c>
      <c r="J2388" s="102">
        <v>7.0</v>
      </c>
      <c r="K2388" s="101" t="s">
        <v>2941</v>
      </c>
      <c r="L2388" s="102">
        <v>23.0</v>
      </c>
      <c r="M2388" s="13"/>
    </row>
    <row r="2389">
      <c r="A2389" s="101" t="s">
        <v>5008</v>
      </c>
      <c r="B2389" s="101">
        <v>1455.0</v>
      </c>
      <c r="C2389" s="13"/>
      <c r="D2389" s="13"/>
      <c r="E2389" s="13"/>
      <c r="F2389" s="13"/>
      <c r="G2389" s="102">
        <v>2.0</v>
      </c>
      <c r="H2389" s="101" t="s">
        <v>2942</v>
      </c>
      <c r="I2389" s="102">
        <v>5.2</v>
      </c>
      <c r="J2389" s="102">
        <v>6.4</v>
      </c>
      <c r="K2389" s="101" t="s">
        <v>2941</v>
      </c>
      <c r="L2389" s="102">
        <v>23.0</v>
      </c>
      <c r="M2389" s="13"/>
    </row>
    <row r="2390">
      <c r="A2390" s="101" t="s">
        <v>5009</v>
      </c>
      <c r="B2390" s="101">
        <v>24310.0</v>
      </c>
      <c r="C2390" s="13"/>
      <c r="D2390" s="13"/>
      <c r="E2390" s="13"/>
      <c r="F2390" s="13"/>
      <c r="G2390" s="102">
        <v>1.0</v>
      </c>
      <c r="H2390" s="101" t="s">
        <v>2940</v>
      </c>
      <c r="I2390" s="102">
        <v>5.61</v>
      </c>
      <c r="J2390" s="102">
        <v>6.9</v>
      </c>
      <c r="K2390" s="101" t="s">
        <v>2941</v>
      </c>
      <c r="L2390" s="102">
        <v>23.0</v>
      </c>
      <c r="M2390" s="13"/>
    </row>
    <row r="2391">
      <c r="A2391" s="101" t="s">
        <v>5009</v>
      </c>
      <c r="B2391" s="101">
        <v>24332.0</v>
      </c>
      <c r="C2391" s="13"/>
      <c r="D2391" s="13"/>
      <c r="E2391" s="13"/>
      <c r="F2391" s="13"/>
      <c r="G2391" s="102">
        <v>1.0</v>
      </c>
      <c r="H2391" s="101" t="s">
        <v>2940</v>
      </c>
      <c r="I2391" s="102">
        <v>5.61</v>
      </c>
      <c r="J2391" s="102">
        <v>6.9</v>
      </c>
      <c r="K2391" s="101" t="s">
        <v>2941</v>
      </c>
      <c r="L2391" s="102">
        <v>23.0</v>
      </c>
      <c r="M2391" s="13"/>
    </row>
    <row r="2392">
      <c r="A2392" s="101" t="s">
        <v>5009</v>
      </c>
      <c r="B2392" s="101">
        <v>24332.0</v>
      </c>
      <c r="C2392" s="13"/>
      <c r="D2392" s="13"/>
      <c r="E2392" s="13"/>
      <c r="F2392" s="13"/>
      <c r="G2392" s="102">
        <v>2.0</v>
      </c>
      <c r="H2392" s="101" t="s">
        <v>2942</v>
      </c>
      <c r="I2392" s="102">
        <v>4.5</v>
      </c>
      <c r="J2392" s="102">
        <v>5.54</v>
      </c>
      <c r="K2392" s="101" t="s">
        <v>2941</v>
      </c>
      <c r="L2392" s="102">
        <v>23.0</v>
      </c>
      <c r="M2392" s="13"/>
    </row>
    <row r="2393">
      <c r="A2393" s="101" t="s">
        <v>5009</v>
      </c>
      <c r="B2393" s="101">
        <v>24310.0</v>
      </c>
      <c r="C2393" s="13"/>
      <c r="D2393" s="13"/>
      <c r="E2393" s="13"/>
      <c r="F2393" s="13"/>
      <c r="G2393" s="102">
        <v>2.0</v>
      </c>
      <c r="H2393" s="101" t="s">
        <v>2942</v>
      </c>
      <c r="I2393" s="102">
        <v>4.5</v>
      </c>
      <c r="J2393" s="102">
        <v>5.54</v>
      </c>
      <c r="K2393" s="101" t="s">
        <v>2941</v>
      </c>
      <c r="L2393" s="102">
        <v>23.0</v>
      </c>
      <c r="M2393" s="13"/>
    </row>
    <row r="2394">
      <c r="A2394" s="101" t="s">
        <v>5010</v>
      </c>
      <c r="B2394" s="101">
        <v>24328.0</v>
      </c>
      <c r="C2394" s="13"/>
      <c r="D2394" s="13"/>
      <c r="E2394" s="13"/>
      <c r="F2394" s="13"/>
      <c r="G2394" s="102">
        <v>1.0</v>
      </c>
      <c r="H2394" s="101" t="s">
        <v>2940</v>
      </c>
      <c r="I2394" s="102">
        <v>5.61</v>
      </c>
      <c r="J2394" s="102">
        <v>6.9</v>
      </c>
      <c r="K2394" s="101" t="s">
        <v>2941</v>
      </c>
      <c r="L2394" s="102">
        <v>23.0</v>
      </c>
      <c r="M2394" s="13"/>
    </row>
    <row r="2395">
      <c r="A2395" s="101" t="s">
        <v>5010</v>
      </c>
      <c r="B2395" s="101">
        <v>24328.0</v>
      </c>
      <c r="C2395" s="13"/>
      <c r="D2395" s="13"/>
      <c r="E2395" s="13"/>
      <c r="F2395" s="13"/>
      <c r="G2395" s="102">
        <v>2.0</v>
      </c>
      <c r="H2395" s="101" t="s">
        <v>2942</v>
      </c>
      <c r="I2395" s="102">
        <v>4.5</v>
      </c>
      <c r="J2395" s="102">
        <v>5.54</v>
      </c>
      <c r="K2395" s="101" t="s">
        <v>2941</v>
      </c>
      <c r="L2395" s="102">
        <v>23.0</v>
      </c>
      <c r="M2395" s="13"/>
    </row>
    <row r="2396">
      <c r="A2396" s="101" t="s">
        <v>5011</v>
      </c>
      <c r="B2396" s="101">
        <v>24271.0</v>
      </c>
      <c r="C2396" s="13"/>
      <c r="D2396" s="13"/>
      <c r="E2396" s="13"/>
      <c r="F2396" s="13"/>
      <c r="G2396" s="102">
        <v>1.0</v>
      </c>
      <c r="H2396" s="101" t="s">
        <v>2940</v>
      </c>
      <c r="I2396" s="102">
        <v>16.34</v>
      </c>
      <c r="J2396" s="102">
        <v>20.1</v>
      </c>
      <c r="K2396" s="101" t="s">
        <v>2941</v>
      </c>
      <c r="L2396" s="102">
        <v>23.0</v>
      </c>
      <c r="M2396" s="13"/>
    </row>
    <row r="2397">
      <c r="A2397" s="101" t="s">
        <v>5011</v>
      </c>
      <c r="B2397" s="101">
        <v>24271.0</v>
      </c>
      <c r="C2397" s="13"/>
      <c r="D2397" s="13"/>
      <c r="E2397" s="13"/>
      <c r="F2397" s="13"/>
      <c r="G2397" s="102">
        <v>2.0</v>
      </c>
      <c r="H2397" s="101" t="s">
        <v>2942</v>
      </c>
      <c r="I2397" s="102">
        <v>13.1</v>
      </c>
      <c r="J2397" s="102">
        <v>16.11</v>
      </c>
      <c r="K2397" s="101" t="s">
        <v>2941</v>
      </c>
      <c r="L2397" s="102">
        <v>23.0</v>
      </c>
      <c r="M2397" s="13"/>
    </row>
    <row r="2398">
      <c r="A2398" s="101" t="s">
        <v>5012</v>
      </c>
      <c r="B2398" s="101">
        <v>24155.0</v>
      </c>
      <c r="C2398" s="13"/>
      <c r="D2398" s="13"/>
      <c r="E2398" s="13"/>
      <c r="F2398" s="13"/>
      <c r="G2398" s="102">
        <v>1.0</v>
      </c>
      <c r="H2398" s="101" t="s">
        <v>2940</v>
      </c>
      <c r="I2398" s="102">
        <v>17.07</v>
      </c>
      <c r="J2398" s="102">
        <v>21.0</v>
      </c>
      <c r="K2398" s="101" t="s">
        <v>2941</v>
      </c>
      <c r="L2398" s="102">
        <v>23.0</v>
      </c>
      <c r="M2398" s="13"/>
    </row>
    <row r="2399">
      <c r="A2399" s="101" t="s">
        <v>5012</v>
      </c>
      <c r="B2399" s="101">
        <v>24155.0</v>
      </c>
      <c r="C2399" s="13"/>
      <c r="D2399" s="13"/>
      <c r="E2399" s="13"/>
      <c r="F2399" s="13"/>
      <c r="G2399" s="102">
        <v>2.0</v>
      </c>
      <c r="H2399" s="101" t="s">
        <v>2942</v>
      </c>
      <c r="I2399" s="102">
        <v>16.96</v>
      </c>
      <c r="J2399" s="102">
        <v>20.86</v>
      </c>
      <c r="K2399" s="101" t="s">
        <v>2941</v>
      </c>
      <c r="L2399" s="102">
        <v>23.0</v>
      </c>
      <c r="M2399" s="13"/>
    </row>
    <row r="2400">
      <c r="A2400" s="101" t="s">
        <v>5013</v>
      </c>
      <c r="B2400" s="101">
        <v>1399.0</v>
      </c>
      <c r="C2400" s="13"/>
      <c r="D2400" s="13"/>
      <c r="E2400" s="13"/>
      <c r="F2400" s="13"/>
      <c r="G2400" s="102">
        <v>1.0</v>
      </c>
      <c r="H2400" s="101" t="s">
        <v>2940</v>
      </c>
      <c r="I2400" s="102">
        <v>3.25</v>
      </c>
      <c r="J2400" s="102">
        <v>4.0</v>
      </c>
      <c r="K2400" s="101" t="s">
        <v>2941</v>
      </c>
      <c r="L2400" s="102">
        <v>23.0</v>
      </c>
      <c r="M2400" s="13"/>
    </row>
    <row r="2401">
      <c r="A2401" s="101" t="s">
        <v>5013</v>
      </c>
      <c r="B2401" s="101">
        <v>1399.0</v>
      </c>
      <c r="C2401" s="13"/>
      <c r="D2401" s="13"/>
      <c r="E2401" s="13"/>
      <c r="F2401" s="13"/>
      <c r="G2401" s="102">
        <v>2.0</v>
      </c>
      <c r="H2401" s="101" t="s">
        <v>2942</v>
      </c>
      <c r="I2401" s="102">
        <v>2.5</v>
      </c>
      <c r="J2401" s="102">
        <v>3.08</v>
      </c>
      <c r="K2401" s="101" t="s">
        <v>2941</v>
      </c>
      <c r="L2401" s="102">
        <v>23.0</v>
      </c>
      <c r="M2401" s="13"/>
    </row>
    <row r="2402">
      <c r="A2402" s="101" t="s">
        <v>5014</v>
      </c>
      <c r="B2402" s="101">
        <v>24144.0</v>
      </c>
      <c r="C2402" s="13"/>
      <c r="D2402" s="13"/>
      <c r="E2402" s="13"/>
      <c r="F2402" s="13"/>
      <c r="G2402" s="102">
        <v>1.0</v>
      </c>
      <c r="H2402" s="101" t="s">
        <v>2940</v>
      </c>
      <c r="I2402" s="102">
        <v>1.95</v>
      </c>
      <c r="J2402" s="102">
        <v>2.4</v>
      </c>
      <c r="K2402" s="101" t="s">
        <v>2941</v>
      </c>
      <c r="L2402" s="102">
        <v>23.0</v>
      </c>
      <c r="M2402" s="13"/>
    </row>
    <row r="2403">
      <c r="A2403" s="101" t="s">
        <v>5014</v>
      </c>
      <c r="B2403" s="101">
        <v>24144.0</v>
      </c>
      <c r="C2403" s="13"/>
      <c r="D2403" s="13"/>
      <c r="E2403" s="13"/>
      <c r="F2403" s="13"/>
      <c r="G2403" s="102">
        <v>2.0</v>
      </c>
      <c r="H2403" s="101" t="s">
        <v>2942</v>
      </c>
      <c r="I2403" s="102">
        <v>1.6</v>
      </c>
      <c r="J2403" s="102">
        <v>1.97</v>
      </c>
      <c r="K2403" s="101" t="s">
        <v>2941</v>
      </c>
      <c r="L2403" s="102">
        <v>23.0</v>
      </c>
      <c r="M2403" s="13"/>
    </row>
    <row r="2404">
      <c r="A2404" s="101" t="s">
        <v>5015</v>
      </c>
      <c r="B2404" s="101">
        <v>24041.0</v>
      </c>
      <c r="C2404" s="13"/>
      <c r="D2404" s="13"/>
      <c r="E2404" s="13"/>
      <c r="F2404" s="13"/>
      <c r="G2404" s="102">
        <v>1.0</v>
      </c>
      <c r="H2404" s="101" t="s">
        <v>2940</v>
      </c>
      <c r="I2404" s="102">
        <v>1.63</v>
      </c>
      <c r="J2404" s="102">
        <v>2.0</v>
      </c>
      <c r="K2404" s="101" t="s">
        <v>2941</v>
      </c>
      <c r="L2404" s="102">
        <v>23.0</v>
      </c>
      <c r="M2404" s="13"/>
    </row>
    <row r="2405">
      <c r="A2405" s="101" t="s">
        <v>5015</v>
      </c>
      <c r="B2405" s="101">
        <v>24041.0</v>
      </c>
      <c r="C2405" s="13"/>
      <c r="D2405" s="13"/>
      <c r="E2405" s="13"/>
      <c r="F2405" s="13"/>
      <c r="G2405" s="102">
        <v>2.0</v>
      </c>
      <c r="H2405" s="101" t="s">
        <v>2942</v>
      </c>
      <c r="I2405" s="102">
        <v>1.3</v>
      </c>
      <c r="J2405" s="102">
        <v>1.6</v>
      </c>
      <c r="K2405" s="101" t="s">
        <v>2941</v>
      </c>
      <c r="L2405" s="102">
        <v>23.0</v>
      </c>
      <c r="M2405" s="13"/>
    </row>
    <row r="2406">
      <c r="A2406" s="101" t="s">
        <v>5016</v>
      </c>
      <c r="B2406" s="101">
        <v>24270.0</v>
      </c>
      <c r="C2406" s="13"/>
      <c r="D2406" s="13"/>
      <c r="E2406" s="13"/>
      <c r="F2406" s="13"/>
      <c r="G2406" s="102">
        <v>1.0</v>
      </c>
      <c r="H2406" s="101" t="s">
        <v>2940</v>
      </c>
      <c r="I2406" s="102">
        <v>15.28</v>
      </c>
      <c r="J2406" s="102">
        <v>18.79</v>
      </c>
      <c r="K2406" s="101" t="s">
        <v>2941</v>
      </c>
      <c r="L2406" s="102">
        <v>23.0</v>
      </c>
      <c r="M2406" s="13"/>
    </row>
    <row r="2407">
      <c r="A2407" s="101" t="s">
        <v>5016</v>
      </c>
      <c r="B2407" s="101">
        <v>24270.0</v>
      </c>
      <c r="C2407" s="13"/>
      <c r="D2407" s="13"/>
      <c r="E2407" s="13"/>
      <c r="F2407" s="13"/>
      <c r="G2407" s="102">
        <v>2.0</v>
      </c>
      <c r="H2407" s="101" t="s">
        <v>2942</v>
      </c>
      <c r="I2407" s="102">
        <v>12.2</v>
      </c>
      <c r="J2407" s="102">
        <v>15.01</v>
      </c>
      <c r="K2407" s="101" t="s">
        <v>2941</v>
      </c>
      <c r="L2407" s="102">
        <v>23.0</v>
      </c>
      <c r="M2407" s="13"/>
    </row>
    <row r="2408">
      <c r="A2408" s="101" t="s">
        <v>5017</v>
      </c>
      <c r="B2408" s="101">
        <v>24223.0</v>
      </c>
      <c r="C2408" s="13"/>
      <c r="D2408" s="13"/>
      <c r="E2408" s="13"/>
      <c r="F2408" s="13"/>
      <c r="G2408" s="102">
        <v>1.0</v>
      </c>
      <c r="H2408" s="101" t="s">
        <v>2940</v>
      </c>
      <c r="I2408" s="102">
        <v>4.23</v>
      </c>
      <c r="J2408" s="102">
        <v>5.2</v>
      </c>
      <c r="K2408" s="101" t="s">
        <v>2941</v>
      </c>
      <c r="L2408" s="102">
        <v>23.0</v>
      </c>
      <c r="M2408" s="13"/>
    </row>
    <row r="2409">
      <c r="A2409" s="101" t="s">
        <v>5017</v>
      </c>
      <c r="B2409" s="101">
        <v>24223.0</v>
      </c>
      <c r="C2409" s="13"/>
      <c r="D2409" s="13"/>
      <c r="E2409" s="13"/>
      <c r="F2409" s="13"/>
      <c r="G2409" s="102">
        <v>2.0</v>
      </c>
      <c r="H2409" s="101" t="s">
        <v>2942</v>
      </c>
      <c r="I2409" s="102">
        <v>3.4</v>
      </c>
      <c r="J2409" s="102">
        <v>4.18</v>
      </c>
      <c r="K2409" s="101" t="s">
        <v>2941</v>
      </c>
      <c r="L2409" s="102">
        <v>23.0</v>
      </c>
      <c r="M2409" s="13"/>
    </row>
    <row r="2410">
      <c r="A2410" s="101" t="s">
        <v>5018</v>
      </c>
      <c r="B2410" s="101">
        <v>24189.0</v>
      </c>
      <c r="C2410" s="13"/>
      <c r="D2410" s="13"/>
      <c r="E2410" s="13"/>
      <c r="F2410" s="13"/>
      <c r="G2410" s="102">
        <v>1.0</v>
      </c>
      <c r="H2410" s="101" t="s">
        <v>2940</v>
      </c>
      <c r="I2410" s="102">
        <v>4.23</v>
      </c>
      <c r="J2410" s="102">
        <v>5.2</v>
      </c>
      <c r="K2410" s="101" t="s">
        <v>2941</v>
      </c>
      <c r="L2410" s="102">
        <v>23.0</v>
      </c>
      <c r="M2410" s="13"/>
    </row>
    <row r="2411">
      <c r="A2411" s="101" t="s">
        <v>5018</v>
      </c>
      <c r="B2411" s="101">
        <v>24189.0</v>
      </c>
      <c r="C2411" s="13"/>
      <c r="D2411" s="13"/>
      <c r="E2411" s="13"/>
      <c r="F2411" s="13"/>
      <c r="G2411" s="102">
        <v>2.0</v>
      </c>
      <c r="H2411" s="101" t="s">
        <v>2942</v>
      </c>
      <c r="I2411" s="102">
        <v>3.4</v>
      </c>
      <c r="J2411" s="102">
        <v>4.18</v>
      </c>
      <c r="K2411" s="101" t="s">
        <v>2941</v>
      </c>
      <c r="L2411" s="102">
        <v>23.0</v>
      </c>
      <c r="M2411" s="13"/>
    </row>
    <row r="2412">
      <c r="A2412" s="101" t="s">
        <v>5019</v>
      </c>
      <c r="B2412" s="101" t="s">
        <v>5020</v>
      </c>
      <c r="D2412" s="13"/>
      <c r="E2412" s="13"/>
      <c r="F2412" s="13"/>
      <c r="G2412" s="102">
        <v>1.0</v>
      </c>
      <c r="H2412" s="101" t="s">
        <v>2940</v>
      </c>
      <c r="I2412" s="102">
        <v>6.26</v>
      </c>
      <c r="J2412" s="102">
        <v>7.7</v>
      </c>
      <c r="K2412" s="101" t="s">
        <v>2941</v>
      </c>
      <c r="L2412" s="102">
        <v>23.0</v>
      </c>
      <c r="M2412" s="13"/>
    </row>
    <row r="2413">
      <c r="A2413" s="101" t="s">
        <v>5019</v>
      </c>
      <c r="B2413" s="101" t="s">
        <v>5020</v>
      </c>
      <c r="D2413" s="13"/>
      <c r="E2413" s="13"/>
      <c r="F2413" s="13"/>
      <c r="G2413" s="102">
        <v>2.0</v>
      </c>
      <c r="H2413" s="101" t="s">
        <v>2942</v>
      </c>
      <c r="I2413" s="102">
        <v>5.0</v>
      </c>
      <c r="J2413" s="102">
        <v>6.15</v>
      </c>
      <c r="K2413" s="101" t="s">
        <v>2941</v>
      </c>
      <c r="L2413" s="102">
        <v>23.0</v>
      </c>
      <c r="M2413" s="13"/>
    </row>
    <row r="2414">
      <c r="A2414" s="101" t="s">
        <v>5021</v>
      </c>
      <c r="B2414" s="101" t="s">
        <v>5022</v>
      </c>
      <c r="D2414" s="13"/>
      <c r="E2414" s="13"/>
      <c r="F2414" s="13"/>
      <c r="G2414" s="102">
        <v>1.0</v>
      </c>
      <c r="H2414" s="101" t="s">
        <v>2940</v>
      </c>
      <c r="I2414" s="102">
        <v>6.26</v>
      </c>
      <c r="J2414" s="102">
        <v>7.7</v>
      </c>
      <c r="K2414" s="101" t="s">
        <v>2941</v>
      </c>
      <c r="L2414" s="102">
        <v>23.0</v>
      </c>
      <c r="M2414" s="13"/>
    </row>
    <row r="2415">
      <c r="A2415" s="101" t="s">
        <v>5021</v>
      </c>
      <c r="B2415" s="101" t="s">
        <v>5022</v>
      </c>
      <c r="D2415" s="13"/>
      <c r="E2415" s="13"/>
      <c r="F2415" s="13"/>
      <c r="G2415" s="102">
        <v>2.0</v>
      </c>
      <c r="H2415" s="101" t="s">
        <v>2942</v>
      </c>
      <c r="I2415" s="102">
        <v>5.0</v>
      </c>
      <c r="J2415" s="102">
        <v>6.15</v>
      </c>
      <c r="K2415" s="101" t="s">
        <v>2941</v>
      </c>
      <c r="L2415" s="102">
        <v>23.0</v>
      </c>
      <c r="M2415" s="13"/>
    </row>
    <row r="2416">
      <c r="A2416" s="101" t="s">
        <v>5023</v>
      </c>
      <c r="B2416" s="101">
        <v>1345.0</v>
      </c>
      <c r="C2416" s="13"/>
      <c r="D2416" s="13"/>
      <c r="E2416" s="13"/>
      <c r="F2416" s="13"/>
      <c r="G2416" s="102">
        <v>1.0</v>
      </c>
      <c r="H2416" s="101" t="s">
        <v>2940</v>
      </c>
      <c r="I2416" s="102">
        <v>24.55</v>
      </c>
      <c r="J2416" s="102">
        <v>30.2</v>
      </c>
      <c r="K2416" s="101" t="s">
        <v>2941</v>
      </c>
      <c r="L2416" s="102">
        <v>23.0</v>
      </c>
      <c r="M2416" s="13"/>
    </row>
    <row r="2417">
      <c r="A2417" s="101" t="s">
        <v>5023</v>
      </c>
      <c r="B2417" s="101">
        <v>1345.0</v>
      </c>
      <c r="C2417" s="13"/>
      <c r="D2417" s="13"/>
      <c r="E2417" s="13"/>
      <c r="F2417" s="13"/>
      <c r="G2417" s="102">
        <v>2.0</v>
      </c>
      <c r="H2417" s="101" t="s">
        <v>2942</v>
      </c>
      <c r="I2417" s="102">
        <v>19.6</v>
      </c>
      <c r="J2417" s="102">
        <v>24.11</v>
      </c>
      <c r="K2417" s="101" t="s">
        <v>2941</v>
      </c>
      <c r="L2417" s="102">
        <v>23.0</v>
      </c>
      <c r="M2417" s="13"/>
    </row>
    <row r="2418">
      <c r="A2418" s="101" t="s">
        <v>5024</v>
      </c>
      <c r="B2418" s="101">
        <v>24190.0</v>
      </c>
      <c r="C2418" s="13"/>
      <c r="D2418" s="13"/>
      <c r="E2418" s="13"/>
      <c r="F2418" s="13"/>
      <c r="G2418" s="102">
        <v>1.0</v>
      </c>
      <c r="H2418" s="101" t="s">
        <v>2940</v>
      </c>
      <c r="I2418" s="102">
        <v>2.44</v>
      </c>
      <c r="J2418" s="102">
        <v>3.0</v>
      </c>
      <c r="K2418" s="101" t="s">
        <v>2941</v>
      </c>
      <c r="L2418" s="102">
        <v>23.0</v>
      </c>
      <c r="M2418" s="13"/>
    </row>
    <row r="2419">
      <c r="A2419" s="101" t="s">
        <v>5024</v>
      </c>
      <c r="B2419" s="101">
        <v>24190.0</v>
      </c>
      <c r="C2419" s="13"/>
      <c r="D2419" s="13"/>
      <c r="E2419" s="13"/>
      <c r="F2419" s="13"/>
      <c r="G2419" s="102">
        <v>2.0</v>
      </c>
      <c r="H2419" s="101" t="s">
        <v>2942</v>
      </c>
      <c r="I2419" s="102">
        <v>2.0</v>
      </c>
      <c r="J2419" s="102">
        <v>2.46</v>
      </c>
      <c r="K2419" s="101" t="s">
        <v>2941</v>
      </c>
      <c r="L2419" s="102">
        <v>23.0</v>
      </c>
      <c r="M2419" s="13"/>
    </row>
    <row r="2420">
      <c r="A2420" s="101" t="s">
        <v>5025</v>
      </c>
      <c r="B2420" s="101">
        <v>1072.0</v>
      </c>
      <c r="C2420" s="13"/>
      <c r="D2420" s="13"/>
      <c r="E2420" s="13"/>
      <c r="F2420" s="13"/>
      <c r="G2420" s="102">
        <v>1.0</v>
      </c>
      <c r="H2420" s="101" t="s">
        <v>2940</v>
      </c>
      <c r="I2420" s="102">
        <v>2.85</v>
      </c>
      <c r="J2420" s="102">
        <v>3.51</v>
      </c>
      <c r="K2420" s="101" t="s">
        <v>2941</v>
      </c>
      <c r="L2420" s="102">
        <v>23.0</v>
      </c>
      <c r="M2420" s="13"/>
    </row>
    <row r="2421">
      <c r="A2421" s="101" t="s">
        <v>5025</v>
      </c>
      <c r="B2421" s="101">
        <v>1072.0</v>
      </c>
      <c r="C2421" s="13"/>
      <c r="D2421" s="13"/>
      <c r="E2421" s="13"/>
      <c r="F2421" s="13"/>
      <c r="G2421" s="102">
        <v>2.0</v>
      </c>
      <c r="H2421" s="101" t="s">
        <v>2942</v>
      </c>
      <c r="I2421" s="102">
        <v>2.5</v>
      </c>
      <c r="J2421" s="102">
        <v>3.08</v>
      </c>
      <c r="K2421" s="101" t="s">
        <v>2941</v>
      </c>
      <c r="L2421" s="102">
        <v>23.0</v>
      </c>
      <c r="M2421" s="13"/>
    </row>
    <row r="2422">
      <c r="A2422" s="101" t="s">
        <v>5026</v>
      </c>
      <c r="B2422" s="101">
        <v>24154.0</v>
      </c>
      <c r="C2422" s="13"/>
      <c r="D2422" s="13"/>
      <c r="E2422" s="13"/>
      <c r="F2422" s="13"/>
      <c r="G2422" s="102">
        <v>1.0</v>
      </c>
      <c r="H2422" s="101" t="s">
        <v>2940</v>
      </c>
      <c r="I2422" s="102">
        <v>16.18</v>
      </c>
      <c r="J2422" s="102">
        <v>19.9</v>
      </c>
      <c r="K2422" s="101" t="s">
        <v>2941</v>
      </c>
      <c r="L2422" s="102">
        <v>23.0</v>
      </c>
      <c r="M2422" s="13"/>
    </row>
    <row r="2423">
      <c r="A2423" s="101" t="s">
        <v>5026</v>
      </c>
      <c r="B2423" s="101">
        <v>24154.0</v>
      </c>
      <c r="C2423" s="13"/>
      <c r="D2423" s="13"/>
      <c r="E2423" s="13"/>
      <c r="F2423" s="13"/>
      <c r="G2423" s="102">
        <v>2.0</v>
      </c>
      <c r="H2423" s="101" t="s">
        <v>2942</v>
      </c>
      <c r="I2423" s="102">
        <v>15.92</v>
      </c>
      <c r="J2423" s="102">
        <v>19.58</v>
      </c>
      <c r="K2423" s="101" t="s">
        <v>2941</v>
      </c>
      <c r="L2423" s="102">
        <v>23.0</v>
      </c>
      <c r="M2423" s="13"/>
    </row>
    <row r="2424">
      <c r="A2424" s="101" t="s">
        <v>5027</v>
      </c>
      <c r="B2424" s="101">
        <v>42216.0</v>
      </c>
      <c r="C2424" s="13"/>
      <c r="D2424" s="13"/>
      <c r="E2424" s="13"/>
      <c r="F2424" s="13"/>
      <c r="G2424" s="102">
        <v>1.0</v>
      </c>
      <c r="H2424" s="101" t="s">
        <v>2940</v>
      </c>
      <c r="I2424" s="102">
        <v>14.15</v>
      </c>
      <c r="J2424" s="102">
        <v>17.4</v>
      </c>
      <c r="K2424" s="101" t="s">
        <v>2941</v>
      </c>
      <c r="L2424" s="102">
        <v>23.0</v>
      </c>
      <c r="M2424" s="13"/>
    </row>
    <row r="2425">
      <c r="A2425" s="101" t="s">
        <v>5027</v>
      </c>
      <c r="B2425" s="101">
        <v>42216.0</v>
      </c>
      <c r="C2425" s="13"/>
      <c r="D2425" s="13"/>
      <c r="E2425" s="13"/>
      <c r="F2425" s="13"/>
      <c r="G2425" s="102">
        <v>2.0</v>
      </c>
      <c r="H2425" s="101" t="s">
        <v>2942</v>
      </c>
      <c r="I2425" s="102">
        <v>11.3</v>
      </c>
      <c r="J2425" s="102">
        <v>13.9</v>
      </c>
      <c r="K2425" s="101" t="s">
        <v>2941</v>
      </c>
      <c r="L2425" s="102">
        <v>23.0</v>
      </c>
      <c r="M2425" s="13"/>
    </row>
    <row r="2426">
      <c r="A2426" s="101" t="s">
        <v>5028</v>
      </c>
      <c r="B2426" s="101">
        <v>42218.0</v>
      </c>
      <c r="C2426" s="13"/>
      <c r="D2426" s="13"/>
      <c r="E2426" s="13"/>
      <c r="F2426" s="13"/>
      <c r="G2426" s="102">
        <v>1.0</v>
      </c>
      <c r="H2426" s="101" t="s">
        <v>2940</v>
      </c>
      <c r="I2426" s="102">
        <v>19.6</v>
      </c>
      <c r="J2426" s="102">
        <v>24.11</v>
      </c>
      <c r="K2426" s="101" t="s">
        <v>2941</v>
      </c>
      <c r="L2426" s="102">
        <v>23.0</v>
      </c>
      <c r="M2426" s="13"/>
    </row>
    <row r="2427">
      <c r="A2427" s="101" t="s">
        <v>5028</v>
      </c>
      <c r="B2427" s="101">
        <v>42218.0</v>
      </c>
      <c r="C2427" s="13"/>
      <c r="D2427" s="13"/>
      <c r="E2427" s="13"/>
      <c r="F2427" s="13"/>
      <c r="G2427" s="102">
        <v>2.0</v>
      </c>
      <c r="H2427" s="101" t="s">
        <v>2942</v>
      </c>
      <c r="I2427" s="102">
        <v>19.6</v>
      </c>
      <c r="J2427" s="102">
        <v>24.11</v>
      </c>
      <c r="K2427" s="101" t="s">
        <v>2941</v>
      </c>
      <c r="L2427" s="102">
        <v>23.0</v>
      </c>
      <c r="M2427" s="13"/>
    </row>
    <row r="2428">
      <c r="A2428" s="101" t="s">
        <v>5029</v>
      </c>
      <c r="B2428" s="101">
        <v>24122.0</v>
      </c>
      <c r="C2428" s="13"/>
      <c r="D2428" s="13"/>
      <c r="E2428" s="13"/>
      <c r="F2428" s="13"/>
      <c r="G2428" s="102">
        <v>1.0</v>
      </c>
      <c r="H2428" s="101" t="s">
        <v>2940</v>
      </c>
      <c r="I2428" s="102">
        <v>8.62</v>
      </c>
      <c r="J2428" s="102">
        <v>10.6</v>
      </c>
      <c r="K2428" s="101" t="s">
        <v>2941</v>
      </c>
      <c r="L2428" s="102">
        <v>23.0</v>
      </c>
      <c r="M2428" s="13"/>
    </row>
    <row r="2429">
      <c r="A2429" s="101" t="s">
        <v>5029</v>
      </c>
      <c r="B2429" s="101">
        <v>24122.0</v>
      </c>
      <c r="C2429" s="13"/>
      <c r="D2429" s="13"/>
      <c r="E2429" s="13"/>
      <c r="F2429" s="13"/>
      <c r="G2429" s="102">
        <v>2.0</v>
      </c>
      <c r="H2429" s="101" t="s">
        <v>2942</v>
      </c>
      <c r="I2429" s="102">
        <v>6.9</v>
      </c>
      <c r="J2429" s="102">
        <v>8.49</v>
      </c>
      <c r="K2429" s="101" t="s">
        <v>2941</v>
      </c>
      <c r="L2429" s="102">
        <v>23.0</v>
      </c>
      <c r="M2429" s="13"/>
    </row>
    <row r="2430">
      <c r="A2430" s="101" t="s">
        <v>5030</v>
      </c>
      <c r="B2430" s="101">
        <v>24121.0</v>
      </c>
      <c r="C2430" s="13"/>
      <c r="D2430" s="13"/>
      <c r="E2430" s="13"/>
      <c r="F2430" s="13"/>
      <c r="G2430" s="102">
        <v>1.0</v>
      </c>
      <c r="H2430" s="101" t="s">
        <v>2940</v>
      </c>
      <c r="I2430" s="102">
        <v>8.62</v>
      </c>
      <c r="J2430" s="102">
        <v>10.6</v>
      </c>
      <c r="K2430" s="101" t="s">
        <v>2941</v>
      </c>
      <c r="L2430" s="102">
        <v>23.0</v>
      </c>
      <c r="M2430" s="13"/>
    </row>
    <row r="2431">
      <c r="A2431" s="101" t="s">
        <v>5030</v>
      </c>
      <c r="B2431" s="101">
        <v>24121.0</v>
      </c>
      <c r="C2431" s="13"/>
      <c r="D2431" s="13"/>
      <c r="E2431" s="13"/>
      <c r="F2431" s="13"/>
      <c r="G2431" s="102">
        <v>2.0</v>
      </c>
      <c r="H2431" s="101" t="s">
        <v>2942</v>
      </c>
      <c r="I2431" s="102">
        <v>6.9</v>
      </c>
      <c r="J2431" s="102">
        <v>8.49</v>
      </c>
      <c r="K2431" s="101" t="s">
        <v>2941</v>
      </c>
      <c r="L2431" s="102">
        <v>23.0</v>
      </c>
      <c r="M2431" s="13"/>
    </row>
    <row r="2432">
      <c r="A2432" s="101" t="s">
        <v>5031</v>
      </c>
      <c r="B2432" s="101">
        <v>24112.0</v>
      </c>
      <c r="C2432" s="13"/>
      <c r="D2432" s="13"/>
      <c r="E2432" s="13"/>
      <c r="F2432" s="13"/>
      <c r="G2432" s="102">
        <v>1.0</v>
      </c>
      <c r="H2432" s="101" t="s">
        <v>2940</v>
      </c>
      <c r="I2432" s="102">
        <v>5.37</v>
      </c>
      <c r="J2432" s="102">
        <v>6.61</v>
      </c>
      <c r="K2432" s="101" t="s">
        <v>2941</v>
      </c>
      <c r="L2432" s="102">
        <v>23.0</v>
      </c>
      <c r="M2432" s="13"/>
    </row>
    <row r="2433">
      <c r="A2433" s="101" t="s">
        <v>5031</v>
      </c>
      <c r="B2433" s="101">
        <v>24112.0</v>
      </c>
      <c r="C2433" s="13"/>
      <c r="D2433" s="13"/>
      <c r="E2433" s="13"/>
      <c r="F2433" s="13"/>
      <c r="G2433" s="102">
        <v>2.0</v>
      </c>
      <c r="H2433" s="101" t="s">
        <v>2942</v>
      </c>
      <c r="I2433" s="102">
        <v>4.3</v>
      </c>
      <c r="J2433" s="102">
        <v>5.29</v>
      </c>
      <c r="K2433" s="101" t="s">
        <v>2941</v>
      </c>
      <c r="L2433" s="102">
        <v>23.0</v>
      </c>
      <c r="M2433" s="13"/>
    </row>
    <row r="2434">
      <c r="A2434" s="101" t="s">
        <v>5032</v>
      </c>
      <c r="B2434" s="101" t="s">
        <v>5033</v>
      </c>
      <c r="D2434" s="13"/>
      <c r="E2434" s="13"/>
      <c r="F2434" s="13"/>
      <c r="G2434" s="102">
        <v>1.0</v>
      </c>
      <c r="H2434" s="101" t="s">
        <v>2940</v>
      </c>
      <c r="I2434" s="102">
        <v>3.33</v>
      </c>
      <c r="J2434" s="102">
        <v>4.1</v>
      </c>
      <c r="K2434" s="101" t="s">
        <v>2941</v>
      </c>
      <c r="L2434" s="102">
        <v>23.0</v>
      </c>
      <c r="M2434" s="13"/>
    </row>
    <row r="2435">
      <c r="A2435" s="101" t="s">
        <v>5032</v>
      </c>
      <c r="B2435" s="101" t="s">
        <v>5033</v>
      </c>
      <c r="D2435" s="13"/>
      <c r="E2435" s="13"/>
      <c r="F2435" s="13"/>
      <c r="G2435" s="102">
        <v>2.0</v>
      </c>
      <c r="H2435" s="101" t="s">
        <v>2942</v>
      </c>
      <c r="I2435" s="102">
        <v>2.7</v>
      </c>
      <c r="J2435" s="102">
        <v>3.32</v>
      </c>
      <c r="K2435" s="101" t="s">
        <v>2941</v>
      </c>
      <c r="L2435" s="102">
        <v>23.0</v>
      </c>
      <c r="M2435" s="13"/>
    </row>
    <row r="2436">
      <c r="A2436" s="101" t="s">
        <v>5034</v>
      </c>
      <c r="B2436" s="101" t="s">
        <v>5035</v>
      </c>
      <c r="D2436" s="13"/>
      <c r="E2436" s="13"/>
      <c r="F2436" s="13"/>
      <c r="G2436" s="102">
        <v>1.0</v>
      </c>
      <c r="H2436" s="101" t="s">
        <v>2940</v>
      </c>
      <c r="I2436" s="102">
        <v>6.67</v>
      </c>
      <c r="J2436" s="102">
        <v>8.2</v>
      </c>
      <c r="K2436" s="101" t="s">
        <v>2941</v>
      </c>
      <c r="L2436" s="102">
        <v>23.0</v>
      </c>
      <c r="M2436" s="13"/>
    </row>
    <row r="2437">
      <c r="A2437" s="101" t="s">
        <v>5034</v>
      </c>
      <c r="B2437" s="101" t="s">
        <v>5035</v>
      </c>
      <c r="D2437" s="13"/>
      <c r="E2437" s="13"/>
      <c r="F2437" s="13"/>
      <c r="G2437" s="102">
        <v>2.0</v>
      </c>
      <c r="H2437" s="101" t="s">
        <v>2942</v>
      </c>
      <c r="I2437" s="102">
        <v>5.3</v>
      </c>
      <c r="J2437" s="102">
        <v>6.52</v>
      </c>
      <c r="K2437" s="101" t="s">
        <v>2941</v>
      </c>
      <c r="L2437" s="102">
        <v>23.0</v>
      </c>
      <c r="M2437" s="13"/>
    </row>
    <row r="2438">
      <c r="A2438" s="101" t="s">
        <v>5036</v>
      </c>
      <c r="B2438" s="101" t="s">
        <v>5037</v>
      </c>
      <c r="D2438" s="13"/>
      <c r="E2438" s="13"/>
      <c r="F2438" s="13"/>
      <c r="G2438" s="102">
        <v>1.0</v>
      </c>
      <c r="H2438" s="101" t="s">
        <v>2940</v>
      </c>
      <c r="I2438" s="102">
        <v>10.0</v>
      </c>
      <c r="J2438" s="102">
        <v>12.3</v>
      </c>
      <c r="K2438" s="101" t="s">
        <v>2941</v>
      </c>
      <c r="L2438" s="102">
        <v>23.0</v>
      </c>
      <c r="M2438" s="13"/>
    </row>
    <row r="2439">
      <c r="A2439" s="101" t="s">
        <v>5036</v>
      </c>
      <c r="B2439" s="101" t="s">
        <v>5037</v>
      </c>
      <c r="D2439" s="13"/>
      <c r="E2439" s="13"/>
      <c r="F2439" s="13"/>
      <c r="G2439" s="102">
        <v>2.0</v>
      </c>
      <c r="H2439" s="101" t="s">
        <v>2942</v>
      </c>
      <c r="I2439" s="102">
        <v>8.0</v>
      </c>
      <c r="J2439" s="102">
        <v>9.84</v>
      </c>
      <c r="K2439" s="101" t="s">
        <v>2941</v>
      </c>
      <c r="L2439" s="102">
        <v>23.0</v>
      </c>
      <c r="M2439" s="13"/>
    </row>
    <row r="2440">
      <c r="A2440" s="101" t="s">
        <v>5038</v>
      </c>
      <c r="B2440" s="101">
        <v>171241.0</v>
      </c>
      <c r="C2440" s="13"/>
      <c r="D2440" s="13"/>
      <c r="E2440" s="13"/>
      <c r="F2440" s="13"/>
      <c r="G2440" s="102">
        <v>1.0</v>
      </c>
      <c r="H2440" s="101" t="s">
        <v>2940</v>
      </c>
      <c r="I2440" s="102">
        <v>4.8</v>
      </c>
      <c r="J2440" s="102">
        <v>5.9</v>
      </c>
      <c r="K2440" s="101" t="s">
        <v>2941</v>
      </c>
      <c r="L2440" s="102">
        <v>23.0</v>
      </c>
      <c r="M2440" s="13"/>
    </row>
    <row r="2441">
      <c r="A2441" s="101" t="s">
        <v>5038</v>
      </c>
      <c r="B2441" s="101">
        <v>171241.0</v>
      </c>
      <c r="C2441" s="13"/>
      <c r="D2441" s="13"/>
      <c r="E2441" s="13"/>
      <c r="F2441" s="13"/>
      <c r="G2441" s="102">
        <v>2.0</v>
      </c>
      <c r="H2441" s="101" t="s">
        <v>2942</v>
      </c>
      <c r="I2441" s="102">
        <v>3.8</v>
      </c>
      <c r="J2441" s="102">
        <v>4.67</v>
      </c>
      <c r="K2441" s="101" t="s">
        <v>2941</v>
      </c>
      <c r="L2441" s="102">
        <v>23.0</v>
      </c>
      <c r="M2441" s="13"/>
    </row>
    <row r="2442">
      <c r="A2442" s="101" t="s">
        <v>5039</v>
      </c>
      <c r="B2442" s="101">
        <v>171242.0</v>
      </c>
      <c r="C2442" s="13"/>
      <c r="D2442" s="13"/>
      <c r="E2442" s="13"/>
      <c r="F2442" s="13"/>
      <c r="G2442" s="102">
        <v>1.0</v>
      </c>
      <c r="H2442" s="101" t="s">
        <v>2940</v>
      </c>
      <c r="I2442" s="102">
        <v>9.43</v>
      </c>
      <c r="J2442" s="102">
        <v>11.6</v>
      </c>
      <c r="K2442" s="101" t="s">
        <v>2941</v>
      </c>
      <c r="L2442" s="102">
        <v>23.0</v>
      </c>
      <c r="M2442" s="13"/>
    </row>
    <row r="2443">
      <c r="A2443" s="101" t="s">
        <v>5039</v>
      </c>
      <c r="B2443" s="101">
        <v>171242.0</v>
      </c>
      <c r="C2443" s="13"/>
      <c r="D2443" s="13"/>
      <c r="E2443" s="13"/>
      <c r="F2443" s="13"/>
      <c r="G2443" s="102">
        <v>2.0</v>
      </c>
      <c r="H2443" s="101" t="s">
        <v>2942</v>
      </c>
      <c r="I2443" s="102">
        <v>7.5</v>
      </c>
      <c r="J2443" s="102">
        <v>9.23</v>
      </c>
      <c r="K2443" s="101" t="s">
        <v>2941</v>
      </c>
      <c r="L2443" s="102">
        <v>23.0</v>
      </c>
      <c r="M2443" s="13"/>
    </row>
    <row r="2444">
      <c r="A2444" s="101" t="s">
        <v>5040</v>
      </c>
      <c r="B2444" s="101">
        <v>171243.0</v>
      </c>
      <c r="C2444" s="13"/>
      <c r="D2444" s="13"/>
      <c r="E2444" s="13"/>
      <c r="F2444" s="13"/>
      <c r="G2444" s="102">
        <v>1.0</v>
      </c>
      <c r="H2444" s="101" t="s">
        <v>2940</v>
      </c>
      <c r="I2444" s="102">
        <v>14.23</v>
      </c>
      <c r="J2444" s="102">
        <v>17.5</v>
      </c>
      <c r="K2444" s="101" t="s">
        <v>2941</v>
      </c>
      <c r="L2444" s="102">
        <v>23.0</v>
      </c>
      <c r="M2444" s="13"/>
    </row>
    <row r="2445">
      <c r="A2445" s="101" t="s">
        <v>5040</v>
      </c>
      <c r="B2445" s="101">
        <v>171243.0</v>
      </c>
      <c r="C2445" s="13"/>
      <c r="D2445" s="13"/>
      <c r="E2445" s="13"/>
      <c r="F2445" s="13"/>
      <c r="G2445" s="102">
        <v>2.0</v>
      </c>
      <c r="H2445" s="101" t="s">
        <v>2942</v>
      </c>
      <c r="I2445" s="102">
        <v>11.4</v>
      </c>
      <c r="J2445" s="102">
        <v>14.02</v>
      </c>
      <c r="K2445" s="101" t="s">
        <v>2941</v>
      </c>
      <c r="L2445" s="102">
        <v>23.0</v>
      </c>
      <c r="M2445" s="13"/>
    </row>
    <row r="2446">
      <c r="A2446" s="101" t="s">
        <v>5041</v>
      </c>
      <c r="B2446" s="101">
        <v>233.0</v>
      </c>
      <c r="C2446" s="13"/>
      <c r="D2446" s="13"/>
      <c r="E2446" s="13"/>
      <c r="F2446" s="13"/>
      <c r="G2446" s="102">
        <v>1.0</v>
      </c>
      <c r="H2446" s="101" t="s">
        <v>2940</v>
      </c>
      <c r="I2446" s="102">
        <v>16.42</v>
      </c>
      <c r="J2446" s="102">
        <v>20.2</v>
      </c>
      <c r="K2446" s="101" t="s">
        <v>2941</v>
      </c>
      <c r="L2446" s="102">
        <v>23.0</v>
      </c>
      <c r="M2446" s="13"/>
    </row>
    <row r="2447">
      <c r="A2447" s="101" t="s">
        <v>5041</v>
      </c>
      <c r="B2447" s="101">
        <v>233.0</v>
      </c>
      <c r="C2447" s="13"/>
      <c r="D2447" s="13"/>
      <c r="E2447" s="13"/>
      <c r="F2447" s="13"/>
      <c r="G2447" s="102">
        <v>2.0</v>
      </c>
      <c r="H2447" s="101" t="s">
        <v>2942</v>
      </c>
      <c r="I2447" s="102">
        <v>13.1</v>
      </c>
      <c r="J2447" s="102">
        <v>16.11</v>
      </c>
      <c r="K2447" s="101" t="s">
        <v>2941</v>
      </c>
      <c r="L2447" s="102">
        <v>23.0</v>
      </c>
      <c r="M2447" s="13"/>
    </row>
    <row r="2448">
      <c r="A2448" s="101" t="s">
        <v>5042</v>
      </c>
      <c r="B2448" s="101">
        <v>1345.0</v>
      </c>
      <c r="C2448" s="13"/>
      <c r="D2448" s="13"/>
      <c r="E2448" s="13"/>
      <c r="F2448" s="13"/>
      <c r="G2448" s="102">
        <v>1.0</v>
      </c>
      <c r="H2448" s="101" t="s">
        <v>2940</v>
      </c>
      <c r="I2448" s="102">
        <v>27.32</v>
      </c>
      <c r="J2448" s="102">
        <v>33.6</v>
      </c>
      <c r="K2448" s="101" t="s">
        <v>2941</v>
      </c>
      <c r="L2448" s="102">
        <v>23.0</v>
      </c>
      <c r="M2448" s="13"/>
    </row>
    <row r="2449">
      <c r="A2449" s="101" t="s">
        <v>5042</v>
      </c>
      <c r="B2449" s="101">
        <v>1345.0</v>
      </c>
      <c r="C2449" s="13"/>
      <c r="D2449" s="13"/>
      <c r="E2449" s="13"/>
      <c r="F2449" s="13"/>
      <c r="G2449" s="102">
        <v>2.0</v>
      </c>
      <c r="H2449" s="101" t="s">
        <v>2942</v>
      </c>
      <c r="I2449" s="102">
        <v>27.3</v>
      </c>
      <c r="J2449" s="102">
        <v>33.58</v>
      </c>
      <c r="K2449" s="101" t="s">
        <v>2941</v>
      </c>
      <c r="L2449" s="102">
        <v>23.0</v>
      </c>
      <c r="M2449" s="13"/>
    </row>
    <row r="2450">
      <c r="A2450" s="101" t="s">
        <v>5043</v>
      </c>
      <c r="B2450" s="101" t="s">
        <v>5044</v>
      </c>
      <c r="D2450" s="13"/>
      <c r="E2450" s="13"/>
      <c r="F2450" s="13"/>
      <c r="G2450" s="102">
        <v>1.0</v>
      </c>
      <c r="H2450" s="101" t="s">
        <v>2940</v>
      </c>
      <c r="I2450" s="102">
        <v>19.59</v>
      </c>
      <c r="J2450" s="102">
        <v>24.1</v>
      </c>
      <c r="K2450" s="101" t="s">
        <v>2941</v>
      </c>
      <c r="L2450" s="102">
        <v>23.0</v>
      </c>
      <c r="M2450" s="13"/>
    </row>
    <row r="2451">
      <c r="A2451" s="101" t="s">
        <v>5043</v>
      </c>
      <c r="B2451" s="101" t="s">
        <v>5044</v>
      </c>
      <c r="D2451" s="13"/>
      <c r="E2451" s="13"/>
      <c r="F2451" s="13"/>
      <c r="G2451" s="102">
        <v>2.0</v>
      </c>
      <c r="H2451" s="101" t="s">
        <v>2942</v>
      </c>
      <c r="I2451" s="102">
        <v>19.6</v>
      </c>
      <c r="J2451" s="102">
        <v>24.11</v>
      </c>
      <c r="K2451" s="101" t="s">
        <v>2941</v>
      </c>
      <c r="L2451" s="102">
        <v>23.0</v>
      </c>
      <c r="M2451" s="13"/>
    </row>
    <row r="2452">
      <c r="A2452" s="101" t="s">
        <v>5045</v>
      </c>
      <c r="B2452" s="101">
        <v>1720.0</v>
      </c>
      <c r="C2452" s="13"/>
      <c r="D2452" s="13"/>
      <c r="E2452" s="13"/>
      <c r="F2452" s="13"/>
      <c r="G2452" s="102">
        <v>1.0</v>
      </c>
      <c r="H2452" s="101" t="s">
        <v>2940</v>
      </c>
      <c r="I2452" s="102">
        <v>29.43</v>
      </c>
      <c r="J2452" s="102">
        <v>36.2</v>
      </c>
      <c r="K2452" s="101" t="s">
        <v>2941</v>
      </c>
      <c r="L2452" s="102">
        <v>23.0</v>
      </c>
      <c r="M2452" s="13"/>
    </row>
    <row r="2453">
      <c r="A2453" s="101" t="s">
        <v>5045</v>
      </c>
      <c r="B2453" s="101">
        <v>1720.0</v>
      </c>
      <c r="C2453" s="13"/>
      <c r="D2453" s="13"/>
      <c r="E2453" s="13"/>
      <c r="F2453" s="13"/>
      <c r="G2453" s="102">
        <v>2.0</v>
      </c>
      <c r="H2453" s="101" t="s">
        <v>2942</v>
      </c>
      <c r="I2453" s="102">
        <v>29.4</v>
      </c>
      <c r="J2453" s="102">
        <v>36.16</v>
      </c>
      <c r="K2453" s="101" t="s">
        <v>2941</v>
      </c>
      <c r="L2453" s="102">
        <v>23.0</v>
      </c>
      <c r="M2453" s="13"/>
    </row>
    <row r="2454">
      <c r="A2454" s="101" t="s">
        <v>5046</v>
      </c>
      <c r="B2454" s="101">
        <v>171251.0</v>
      </c>
      <c r="C2454" s="13"/>
      <c r="D2454" s="13"/>
      <c r="E2454" s="13"/>
      <c r="F2454" s="13"/>
      <c r="G2454" s="102">
        <v>1.0</v>
      </c>
      <c r="H2454" s="101" t="s">
        <v>2940</v>
      </c>
      <c r="I2454" s="102">
        <v>7.4</v>
      </c>
      <c r="J2454" s="102">
        <v>9.1</v>
      </c>
      <c r="K2454" s="101" t="s">
        <v>2941</v>
      </c>
      <c r="L2454" s="102">
        <v>23.0</v>
      </c>
      <c r="M2454" s="13"/>
    </row>
    <row r="2455">
      <c r="A2455" s="101" t="s">
        <v>5046</v>
      </c>
      <c r="B2455" s="101">
        <v>171251.0</v>
      </c>
      <c r="C2455" s="13"/>
      <c r="D2455" s="13"/>
      <c r="E2455" s="13"/>
      <c r="F2455" s="13"/>
      <c r="G2455" s="102">
        <v>2.0</v>
      </c>
      <c r="H2455" s="101" t="s">
        <v>2942</v>
      </c>
      <c r="I2455" s="102">
        <v>5.9</v>
      </c>
      <c r="J2455" s="102">
        <v>7.26</v>
      </c>
      <c r="K2455" s="101" t="s">
        <v>2941</v>
      </c>
      <c r="L2455" s="102">
        <v>23.0</v>
      </c>
      <c r="M2455" s="13"/>
    </row>
    <row r="2456">
      <c r="A2456" s="101" t="s">
        <v>5047</v>
      </c>
      <c r="B2456" s="101">
        <v>171252.0</v>
      </c>
      <c r="C2456" s="13"/>
      <c r="D2456" s="13"/>
      <c r="E2456" s="13"/>
      <c r="F2456" s="13"/>
      <c r="G2456" s="102">
        <v>1.0</v>
      </c>
      <c r="H2456" s="101" t="s">
        <v>2940</v>
      </c>
      <c r="I2456" s="102">
        <v>14.63</v>
      </c>
      <c r="J2456" s="102">
        <v>17.99</v>
      </c>
      <c r="K2456" s="101" t="s">
        <v>2941</v>
      </c>
      <c r="L2456" s="102">
        <v>23.0</v>
      </c>
      <c r="M2456" s="13"/>
    </row>
    <row r="2457">
      <c r="A2457" s="101" t="s">
        <v>5047</v>
      </c>
      <c r="B2457" s="101">
        <v>171252.0</v>
      </c>
      <c r="C2457" s="13"/>
      <c r="D2457" s="13"/>
      <c r="E2457" s="13"/>
      <c r="F2457" s="13"/>
      <c r="G2457" s="102">
        <v>2.0</v>
      </c>
      <c r="H2457" s="101" t="s">
        <v>2942</v>
      </c>
      <c r="I2457" s="102">
        <v>11.7</v>
      </c>
      <c r="J2457" s="102">
        <v>14.39</v>
      </c>
      <c r="K2457" s="101" t="s">
        <v>2941</v>
      </c>
      <c r="L2457" s="102">
        <v>23.0</v>
      </c>
      <c r="M2457" s="13"/>
    </row>
    <row r="2458">
      <c r="A2458" s="101" t="s">
        <v>5048</v>
      </c>
      <c r="B2458" s="101">
        <v>171253.0</v>
      </c>
      <c r="C2458" s="13"/>
      <c r="D2458" s="13"/>
      <c r="E2458" s="13"/>
      <c r="F2458" s="13"/>
      <c r="G2458" s="102">
        <v>1.0</v>
      </c>
      <c r="H2458" s="101" t="s">
        <v>2940</v>
      </c>
      <c r="I2458" s="102">
        <v>22.03</v>
      </c>
      <c r="J2458" s="102">
        <v>27.1</v>
      </c>
      <c r="K2458" s="101" t="s">
        <v>2941</v>
      </c>
      <c r="L2458" s="102">
        <v>23.0</v>
      </c>
      <c r="M2458" s="13"/>
    </row>
    <row r="2459">
      <c r="A2459" s="101" t="s">
        <v>5048</v>
      </c>
      <c r="B2459" s="101">
        <v>171253.0</v>
      </c>
      <c r="C2459" s="13"/>
      <c r="D2459" s="13"/>
      <c r="E2459" s="13"/>
      <c r="F2459" s="13"/>
      <c r="G2459" s="102">
        <v>2.0</v>
      </c>
      <c r="H2459" s="101" t="s">
        <v>2942</v>
      </c>
      <c r="I2459" s="102">
        <v>17.6</v>
      </c>
      <c r="J2459" s="102">
        <v>21.65</v>
      </c>
      <c r="K2459" s="101" t="s">
        <v>2941</v>
      </c>
      <c r="L2459" s="102">
        <v>23.0</v>
      </c>
      <c r="M2459" s="13"/>
    </row>
    <row r="2460">
      <c r="A2460" s="101" t="s">
        <v>5049</v>
      </c>
      <c r="B2460" s="101" t="s">
        <v>5050</v>
      </c>
      <c r="D2460" s="13"/>
      <c r="E2460" s="13"/>
      <c r="F2460" s="13"/>
      <c r="G2460" s="102">
        <v>1.0</v>
      </c>
      <c r="H2460" s="101" t="s">
        <v>2940</v>
      </c>
      <c r="I2460" s="102">
        <v>2.52</v>
      </c>
      <c r="J2460" s="102">
        <v>3.1</v>
      </c>
      <c r="K2460" s="101" t="s">
        <v>2941</v>
      </c>
      <c r="L2460" s="102">
        <v>23.0</v>
      </c>
      <c r="M2460" s="13"/>
    </row>
    <row r="2461">
      <c r="A2461" s="101" t="s">
        <v>5049</v>
      </c>
      <c r="B2461" s="101" t="s">
        <v>5050</v>
      </c>
      <c r="D2461" s="13"/>
      <c r="E2461" s="13"/>
      <c r="F2461" s="13"/>
      <c r="G2461" s="102">
        <v>2.0</v>
      </c>
      <c r="H2461" s="101" t="s">
        <v>2942</v>
      </c>
      <c r="I2461" s="102">
        <v>2.0</v>
      </c>
      <c r="J2461" s="102">
        <v>2.46</v>
      </c>
      <c r="K2461" s="101" t="s">
        <v>2941</v>
      </c>
      <c r="L2461" s="102">
        <v>23.0</v>
      </c>
      <c r="M2461" s="13"/>
    </row>
    <row r="2462">
      <c r="A2462" s="101" t="s">
        <v>5051</v>
      </c>
      <c r="B2462" s="101" t="s">
        <v>5052</v>
      </c>
      <c r="D2462" s="13"/>
      <c r="E2462" s="13"/>
      <c r="F2462" s="13"/>
      <c r="G2462" s="102">
        <v>1.0</v>
      </c>
      <c r="H2462" s="101" t="s">
        <v>2940</v>
      </c>
      <c r="I2462" s="102">
        <v>4.96</v>
      </c>
      <c r="J2462" s="102">
        <v>6.1</v>
      </c>
      <c r="K2462" s="101" t="s">
        <v>2941</v>
      </c>
      <c r="L2462" s="102">
        <v>23.0</v>
      </c>
      <c r="M2462" s="13"/>
    </row>
    <row r="2463">
      <c r="A2463" s="101" t="s">
        <v>5051</v>
      </c>
      <c r="B2463" s="101" t="s">
        <v>5052</v>
      </c>
      <c r="D2463" s="13"/>
      <c r="E2463" s="13"/>
      <c r="F2463" s="13"/>
      <c r="G2463" s="102">
        <v>2.0</v>
      </c>
      <c r="H2463" s="101" t="s">
        <v>2942</v>
      </c>
      <c r="I2463" s="102">
        <v>4.0</v>
      </c>
      <c r="J2463" s="102">
        <v>4.92</v>
      </c>
      <c r="K2463" s="101" t="s">
        <v>2941</v>
      </c>
      <c r="L2463" s="102">
        <v>23.0</v>
      </c>
      <c r="M2463" s="13"/>
    </row>
    <row r="2464">
      <c r="A2464" s="101" t="s">
        <v>5053</v>
      </c>
      <c r="B2464" s="101" t="s">
        <v>5054</v>
      </c>
      <c r="D2464" s="13"/>
      <c r="E2464" s="13"/>
      <c r="F2464" s="13"/>
      <c r="G2464" s="102">
        <v>1.0</v>
      </c>
      <c r="H2464" s="101" t="s">
        <v>2940</v>
      </c>
      <c r="I2464" s="102">
        <v>7.48</v>
      </c>
      <c r="J2464" s="102">
        <v>9.2</v>
      </c>
      <c r="K2464" s="101" t="s">
        <v>2941</v>
      </c>
      <c r="L2464" s="102">
        <v>23.0</v>
      </c>
      <c r="M2464" s="13"/>
    </row>
    <row r="2465">
      <c r="A2465" s="101" t="s">
        <v>5053</v>
      </c>
      <c r="B2465" s="101" t="s">
        <v>5054</v>
      </c>
      <c r="D2465" s="13"/>
      <c r="E2465" s="13"/>
      <c r="F2465" s="13"/>
      <c r="G2465" s="102">
        <v>2.0</v>
      </c>
      <c r="H2465" s="101" t="s">
        <v>2942</v>
      </c>
      <c r="I2465" s="102">
        <v>6.0</v>
      </c>
      <c r="J2465" s="102">
        <v>7.38</v>
      </c>
      <c r="K2465" s="101" t="s">
        <v>2941</v>
      </c>
      <c r="L2465" s="102">
        <v>23.0</v>
      </c>
      <c r="M2465" s="13"/>
    </row>
    <row r="2466">
      <c r="A2466" s="101" t="s">
        <v>5055</v>
      </c>
      <c r="B2466" s="101">
        <v>1576.0</v>
      </c>
      <c r="C2466" s="13"/>
      <c r="D2466" s="13"/>
      <c r="E2466" s="13"/>
      <c r="F2466" s="13"/>
      <c r="G2466" s="102">
        <v>1.0</v>
      </c>
      <c r="H2466" s="101" t="s">
        <v>2940</v>
      </c>
      <c r="I2466" s="102">
        <v>39.67</v>
      </c>
      <c r="J2466" s="102">
        <v>48.8</v>
      </c>
      <c r="K2466" s="101" t="s">
        <v>2941</v>
      </c>
      <c r="L2466" s="102">
        <v>23.0</v>
      </c>
      <c r="M2466" s="13"/>
    </row>
    <row r="2467">
      <c r="A2467" s="101" t="s">
        <v>5055</v>
      </c>
      <c r="B2467" s="101">
        <v>1576.0</v>
      </c>
      <c r="C2467" s="13"/>
      <c r="D2467" s="13"/>
      <c r="E2467" s="13"/>
      <c r="F2467" s="13"/>
      <c r="G2467" s="102">
        <v>2.0</v>
      </c>
      <c r="H2467" s="101" t="s">
        <v>2942</v>
      </c>
      <c r="I2467" s="102">
        <v>31.68</v>
      </c>
      <c r="J2467" s="102">
        <v>38.97</v>
      </c>
      <c r="K2467" s="101" t="s">
        <v>2941</v>
      </c>
      <c r="L2467" s="102">
        <v>23.0</v>
      </c>
      <c r="M2467" s="13"/>
    </row>
    <row r="2468">
      <c r="A2468" s="101" t="s">
        <v>5056</v>
      </c>
      <c r="B2468" s="101" t="s">
        <v>5057</v>
      </c>
      <c r="D2468" s="13"/>
      <c r="E2468" s="13"/>
      <c r="F2468" s="13"/>
      <c r="G2468" s="102">
        <v>1.0</v>
      </c>
      <c r="H2468" s="101" t="s">
        <v>2940</v>
      </c>
      <c r="I2468" s="102">
        <v>67.48</v>
      </c>
      <c r="J2468" s="102">
        <v>83.0</v>
      </c>
      <c r="K2468" s="101" t="s">
        <v>2941</v>
      </c>
      <c r="L2468" s="102">
        <v>23.0</v>
      </c>
      <c r="M2468" s="13"/>
    </row>
    <row r="2469">
      <c r="A2469" s="101" t="s">
        <v>5056</v>
      </c>
      <c r="B2469" s="101" t="s">
        <v>5057</v>
      </c>
      <c r="D2469" s="13"/>
      <c r="E2469" s="13"/>
      <c r="F2469" s="13"/>
      <c r="G2469" s="102">
        <v>2.0</v>
      </c>
      <c r="H2469" s="101" t="s">
        <v>2942</v>
      </c>
      <c r="I2469" s="102">
        <v>54.0</v>
      </c>
      <c r="J2469" s="102">
        <v>66.42</v>
      </c>
      <c r="K2469" s="101" t="s">
        <v>2941</v>
      </c>
      <c r="L2469" s="102">
        <v>23.0</v>
      </c>
      <c r="M2469" s="13"/>
    </row>
    <row r="2470">
      <c r="A2470" s="101" t="s">
        <v>5058</v>
      </c>
      <c r="B2470" s="101">
        <v>234.0</v>
      </c>
      <c r="C2470" s="13"/>
      <c r="D2470" s="13"/>
      <c r="E2470" s="13"/>
      <c r="F2470" s="13"/>
      <c r="G2470" s="102">
        <v>1.0</v>
      </c>
      <c r="H2470" s="101" t="s">
        <v>2940</v>
      </c>
      <c r="I2470" s="102">
        <v>69.11</v>
      </c>
      <c r="J2470" s="102">
        <v>85.01</v>
      </c>
      <c r="K2470" s="101" t="s">
        <v>2941</v>
      </c>
      <c r="L2470" s="102">
        <v>23.0</v>
      </c>
      <c r="M2470" s="13"/>
    </row>
    <row r="2471">
      <c r="A2471" s="101" t="s">
        <v>5058</v>
      </c>
      <c r="B2471" s="101">
        <v>234.0</v>
      </c>
      <c r="C2471" s="13"/>
      <c r="D2471" s="13"/>
      <c r="E2471" s="13"/>
      <c r="F2471" s="13"/>
      <c r="G2471" s="102">
        <v>2.0</v>
      </c>
      <c r="H2471" s="101" t="s">
        <v>2942</v>
      </c>
      <c r="I2471" s="102">
        <v>68.35</v>
      </c>
      <c r="J2471" s="102">
        <v>84.07</v>
      </c>
      <c r="K2471" s="101" t="s">
        <v>2941</v>
      </c>
      <c r="L2471" s="102">
        <v>23.0</v>
      </c>
      <c r="M2471" s="13"/>
    </row>
    <row r="2472">
      <c r="A2472" s="101" t="s">
        <v>5059</v>
      </c>
      <c r="B2472" s="101">
        <v>235.0</v>
      </c>
      <c r="C2472" s="13"/>
      <c r="D2472" s="13"/>
      <c r="E2472" s="13"/>
      <c r="F2472" s="13"/>
      <c r="G2472" s="102">
        <v>1.0</v>
      </c>
      <c r="H2472" s="101" t="s">
        <v>2940</v>
      </c>
      <c r="I2472" s="102">
        <v>60.98</v>
      </c>
      <c r="J2472" s="102">
        <v>75.01</v>
      </c>
      <c r="K2472" s="101" t="s">
        <v>2941</v>
      </c>
      <c r="L2472" s="102">
        <v>23.0</v>
      </c>
      <c r="M2472" s="13"/>
    </row>
    <row r="2473">
      <c r="A2473" s="101" t="s">
        <v>5059</v>
      </c>
      <c r="B2473" s="101">
        <v>235.0</v>
      </c>
      <c r="C2473" s="13"/>
      <c r="D2473" s="13"/>
      <c r="E2473" s="13"/>
      <c r="F2473" s="13"/>
      <c r="G2473" s="102">
        <v>2.0</v>
      </c>
      <c r="H2473" s="101" t="s">
        <v>2942</v>
      </c>
      <c r="I2473" s="102">
        <v>48.79</v>
      </c>
      <c r="J2473" s="102">
        <v>60.01</v>
      </c>
      <c r="K2473" s="101" t="s">
        <v>2941</v>
      </c>
      <c r="L2473" s="102">
        <v>23.0</v>
      </c>
      <c r="M2473" s="13"/>
    </row>
    <row r="2474">
      <c r="A2474" s="101" t="s">
        <v>5060</v>
      </c>
      <c r="B2474" s="101">
        <v>62047.0</v>
      </c>
      <c r="C2474" s="13"/>
      <c r="D2474" s="13"/>
      <c r="E2474" s="13"/>
      <c r="F2474" s="13"/>
      <c r="G2474" s="102">
        <v>1.0</v>
      </c>
      <c r="H2474" s="101" t="s">
        <v>2940</v>
      </c>
      <c r="I2474" s="102">
        <v>59.35</v>
      </c>
      <c r="J2474" s="102">
        <v>73.0</v>
      </c>
      <c r="K2474" s="101" t="s">
        <v>2941</v>
      </c>
      <c r="L2474" s="102">
        <v>23.0</v>
      </c>
      <c r="M2474" s="13"/>
    </row>
    <row r="2475">
      <c r="A2475" s="101" t="s">
        <v>5060</v>
      </c>
      <c r="B2475" s="101">
        <v>62047.0</v>
      </c>
      <c r="C2475" s="13"/>
      <c r="D2475" s="13"/>
      <c r="E2475" s="13"/>
      <c r="F2475" s="13"/>
      <c r="G2475" s="102">
        <v>2.0</v>
      </c>
      <c r="H2475" s="101" t="s">
        <v>2942</v>
      </c>
      <c r="I2475" s="102">
        <v>58.79</v>
      </c>
      <c r="J2475" s="102">
        <v>72.31</v>
      </c>
      <c r="K2475" s="101" t="s">
        <v>2941</v>
      </c>
      <c r="L2475" s="102">
        <v>23.0</v>
      </c>
      <c r="M2475" s="13"/>
    </row>
    <row r="2476">
      <c r="A2476" s="101" t="s">
        <v>5061</v>
      </c>
      <c r="B2476" s="101">
        <v>62040.0</v>
      </c>
      <c r="C2476" s="13"/>
      <c r="D2476" s="13"/>
      <c r="E2476" s="13"/>
      <c r="F2476" s="13"/>
      <c r="G2476" s="102">
        <v>1.0</v>
      </c>
      <c r="H2476" s="101" t="s">
        <v>2940</v>
      </c>
      <c r="I2476" s="102">
        <v>52.85</v>
      </c>
      <c r="J2476" s="102">
        <v>65.01</v>
      </c>
      <c r="K2476" s="101" t="s">
        <v>2941</v>
      </c>
      <c r="L2476" s="102">
        <v>23.0</v>
      </c>
      <c r="M2476" s="13"/>
    </row>
    <row r="2477">
      <c r="A2477" s="101" t="s">
        <v>5061</v>
      </c>
      <c r="B2477" s="101">
        <v>62040.0</v>
      </c>
      <c r="C2477" s="13"/>
      <c r="D2477" s="13"/>
      <c r="E2477" s="13"/>
      <c r="F2477" s="13"/>
      <c r="G2477" s="102">
        <v>2.0</v>
      </c>
      <c r="H2477" s="101" t="s">
        <v>2942</v>
      </c>
      <c r="I2477" s="102">
        <v>49.9</v>
      </c>
      <c r="J2477" s="102">
        <v>61.38</v>
      </c>
      <c r="K2477" s="101" t="s">
        <v>2941</v>
      </c>
      <c r="L2477" s="102">
        <v>23.0</v>
      </c>
      <c r="M2477" s="13"/>
    </row>
    <row r="2478">
      <c r="A2478" s="101" t="s">
        <v>5062</v>
      </c>
      <c r="B2478" s="101">
        <v>248.0</v>
      </c>
      <c r="C2478" s="13"/>
      <c r="D2478" s="13"/>
      <c r="E2478" s="13"/>
      <c r="F2478" s="13"/>
      <c r="G2478" s="102">
        <v>1.0</v>
      </c>
      <c r="H2478" s="101" t="s">
        <v>2940</v>
      </c>
      <c r="I2478" s="102">
        <v>78.05</v>
      </c>
      <c r="J2478" s="102">
        <v>96.0</v>
      </c>
      <c r="K2478" s="101" t="s">
        <v>2941</v>
      </c>
      <c r="L2478" s="102">
        <v>23.0</v>
      </c>
      <c r="M2478" s="13"/>
    </row>
    <row r="2479">
      <c r="A2479" s="101" t="s">
        <v>5062</v>
      </c>
      <c r="B2479" s="101">
        <v>248.0</v>
      </c>
      <c r="C2479" s="13"/>
      <c r="D2479" s="13"/>
      <c r="E2479" s="13"/>
      <c r="F2479" s="13"/>
      <c r="G2479" s="102">
        <v>2.0</v>
      </c>
      <c r="H2479" s="101" t="s">
        <v>2942</v>
      </c>
      <c r="I2479" s="102">
        <v>78.0</v>
      </c>
      <c r="J2479" s="102">
        <v>95.94</v>
      </c>
      <c r="K2479" s="101" t="s">
        <v>2941</v>
      </c>
      <c r="L2479" s="102">
        <v>23.0</v>
      </c>
      <c r="M2479" s="13"/>
    </row>
    <row r="2480">
      <c r="A2480" s="101" t="s">
        <v>5063</v>
      </c>
      <c r="B2480" s="101">
        <v>1491.0</v>
      </c>
      <c r="C2480" s="13"/>
      <c r="D2480" s="13"/>
      <c r="E2480" s="13"/>
      <c r="F2480" s="13"/>
      <c r="G2480" s="102">
        <v>1.0</v>
      </c>
      <c r="H2480" s="101" t="s">
        <v>2940</v>
      </c>
      <c r="I2480" s="102">
        <v>34.15</v>
      </c>
      <c r="J2480" s="102">
        <v>42.0</v>
      </c>
      <c r="K2480" s="101" t="s">
        <v>2941</v>
      </c>
      <c r="L2480" s="102">
        <v>23.0</v>
      </c>
      <c r="M2480" s="13"/>
    </row>
    <row r="2481">
      <c r="A2481" s="101" t="s">
        <v>5063</v>
      </c>
      <c r="B2481" s="101">
        <v>1491.0</v>
      </c>
      <c r="C2481" s="13"/>
      <c r="D2481" s="13"/>
      <c r="E2481" s="13"/>
      <c r="F2481" s="13"/>
      <c r="G2481" s="102">
        <v>2.0</v>
      </c>
      <c r="H2481" s="101" t="s">
        <v>2942</v>
      </c>
      <c r="I2481" s="102">
        <v>24.82</v>
      </c>
      <c r="J2481" s="102">
        <v>30.53</v>
      </c>
      <c r="K2481" s="101" t="s">
        <v>2941</v>
      </c>
      <c r="L2481" s="102">
        <v>23.0</v>
      </c>
      <c r="M2481" s="13"/>
    </row>
    <row r="2482">
      <c r="A2482" s="101" t="s">
        <v>5064</v>
      </c>
      <c r="B2482" s="101" t="s">
        <v>5065</v>
      </c>
      <c r="D2482" s="13"/>
      <c r="E2482" s="13"/>
      <c r="F2482" s="13"/>
      <c r="G2482" s="102">
        <v>1.0</v>
      </c>
      <c r="H2482" s="101" t="s">
        <v>2940</v>
      </c>
      <c r="I2482" s="102">
        <v>2.03</v>
      </c>
      <c r="J2482" s="102">
        <v>2.5</v>
      </c>
      <c r="K2482" s="101" t="s">
        <v>2941</v>
      </c>
      <c r="L2482" s="102">
        <v>23.0</v>
      </c>
      <c r="M2482" s="13"/>
    </row>
    <row r="2483">
      <c r="A2483" s="101" t="s">
        <v>5064</v>
      </c>
      <c r="B2483" s="101" t="s">
        <v>5065</v>
      </c>
      <c r="D2483" s="13"/>
      <c r="E2483" s="13"/>
      <c r="F2483" s="13"/>
      <c r="G2483" s="102">
        <v>2.0</v>
      </c>
      <c r="H2483" s="101" t="s">
        <v>2942</v>
      </c>
      <c r="I2483" s="102">
        <v>2.0</v>
      </c>
      <c r="J2483" s="102">
        <v>2.46</v>
      </c>
      <c r="K2483" s="101" t="s">
        <v>2941</v>
      </c>
      <c r="L2483" s="102">
        <v>23.0</v>
      </c>
      <c r="M2483" s="13"/>
    </row>
    <row r="2484">
      <c r="A2484" s="101" t="s">
        <v>5066</v>
      </c>
      <c r="B2484" s="101" t="s">
        <v>5067</v>
      </c>
      <c r="D2484" s="13"/>
      <c r="E2484" s="13"/>
      <c r="F2484" s="13"/>
      <c r="G2484" s="102">
        <v>1.0</v>
      </c>
      <c r="H2484" s="101" t="s">
        <v>2940</v>
      </c>
      <c r="I2484" s="102">
        <v>2.03</v>
      </c>
      <c r="J2484" s="102">
        <v>2.5</v>
      </c>
      <c r="K2484" s="101" t="s">
        <v>2941</v>
      </c>
      <c r="L2484" s="102">
        <v>23.0</v>
      </c>
      <c r="M2484" s="13"/>
    </row>
    <row r="2485">
      <c r="A2485" s="101" t="s">
        <v>5066</v>
      </c>
      <c r="B2485" s="101" t="s">
        <v>5067</v>
      </c>
      <c r="D2485" s="13"/>
      <c r="E2485" s="13"/>
      <c r="F2485" s="13"/>
      <c r="G2485" s="102">
        <v>2.0</v>
      </c>
      <c r="H2485" s="101" t="s">
        <v>2942</v>
      </c>
      <c r="I2485" s="102">
        <v>2.0</v>
      </c>
      <c r="J2485" s="102">
        <v>2.46</v>
      </c>
      <c r="K2485" s="101" t="s">
        <v>2941</v>
      </c>
      <c r="L2485" s="102">
        <v>23.0</v>
      </c>
      <c r="M2485" s="13"/>
    </row>
    <row r="2486">
      <c r="A2486" s="101" t="s">
        <v>5068</v>
      </c>
      <c r="B2486" s="101" t="s">
        <v>5069</v>
      </c>
      <c r="D2486" s="13"/>
      <c r="E2486" s="13"/>
      <c r="F2486" s="13"/>
      <c r="G2486" s="102">
        <v>1.0</v>
      </c>
      <c r="H2486" s="101" t="s">
        <v>2940</v>
      </c>
      <c r="I2486" s="102">
        <v>2.03</v>
      </c>
      <c r="J2486" s="102">
        <v>2.5</v>
      </c>
      <c r="K2486" s="101" t="s">
        <v>2941</v>
      </c>
      <c r="L2486" s="102">
        <v>23.0</v>
      </c>
      <c r="M2486" s="13"/>
    </row>
    <row r="2487">
      <c r="A2487" s="101" t="s">
        <v>5068</v>
      </c>
      <c r="B2487" s="101" t="s">
        <v>5069</v>
      </c>
      <c r="D2487" s="13"/>
      <c r="E2487" s="13"/>
      <c r="F2487" s="13"/>
      <c r="G2487" s="102">
        <v>2.0</v>
      </c>
      <c r="H2487" s="101" t="s">
        <v>2942</v>
      </c>
      <c r="I2487" s="102">
        <v>2.0</v>
      </c>
      <c r="J2487" s="102">
        <v>2.46</v>
      </c>
      <c r="K2487" s="101" t="s">
        <v>2941</v>
      </c>
      <c r="L2487" s="102">
        <v>23.0</v>
      </c>
      <c r="M2487" s="13"/>
    </row>
    <row r="2488">
      <c r="A2488" s="101" t="s">
        <v>5070</v>
      </c>
      <c r="B2488" s="101">
        <v>42201.0</v>
      </c>
      <c r="C2488" s="13"/>
      <c r="D2488" s="13"/>
      <c r="E2488" s="13"/>
      <c r="F2488" s="13"/>
      <c r="G2488" s="102">
        <v>1.0</v>
      </c>
      <c r="H2488" s="101" t="s">
        <v>2940</v>
      </c>
      <c r="I2488" s="102">
        <v>7.8</v>
      </c>
      <c r="J2488" s="102">
        <v>9.59</v>
      </c>
      <c r="K2488" s="101" t="s">
        <v>2941</v>
      </c>
      <c r="L2488" s="102">
        <v>23.0</v>
      </c>
      <c r="M2488" s="13"/>
    </row>
    <row r="2489">
      <c r="A2489" s="101" t="s">
        <v>5070</v>
      </c>
      <c r="B2489" s="101">
        <v>42201.0</v>
      </c>
      <c r="C2489" s="13"/>
      <c r="D2489" s="13"/>
      <c r="E2489" s="13"/>
      <c r="F2489" s="13"/>
      <c r="G2489" s="102">
        <v>2.0</v>
      </c>
      <c r="H2489" s="101" t="s">
        <v>2942</v>
      </c>
      <c r="I2489" s="102">
        <v>6.2</v>
      </c>
      <c r="J2489" s="102">
        <v>7.63</v>
      </c>
      <c r="K2489" s="101" t="s">
        <v>2941</v>
      </c>
      <c r="L2489" s="102">
        <v>23.0</v>
      </c>
      <c r="M2489" s="13"/>
    </row>
    <row r="2490">
      <c r="A2490" s="101" t="s">
        <v>5071</v>
      </c>
      <c r="B2490" s="101">
        <v>42200.0</v>
      </c>
      <c r="C2490" s="13"/>
      <c r="D2490" s="13"/>
      <c r="E2490" s="13"/>
      <c r="F2490" s="13"/>
      <c r="G2490" s="102">
        <v>1.0</v>
      </c>
      <c r="H2490" s="101" t="s">
        <v>2940</v>
      </c>
      <c r="I2490" s="102">
        <v>10.6</v>
      </c>
      <c r="J2490" s="102">
        <v>13.04</v>
      </c>
      <c r="K2490" s="101" t="s">
        <v>2941</v>
      </c>
      <c r="L2490" s="102">
        <v>23.0</v>
      </c>
      <c r="M2490" s="13"/>
    </row>
    <row r="2491">
      <c r="A2491" s="101" t="s">
        <v>5071</v>
      </c>
      <c r="B2491" s="101">
        <v>42200.0</v>
      </c>
      <c r="C2491" s="13"/>
      <c r="D2491" s="13"/>
      <c r="E2491" s="13"/>
      <c r="F2491" s="13"/>
      <c r="G2491" s="102">
        <v>2.0</v>
      </c>
      <c r="H2491" s="101" t="s">
        <v>2942</v>
      </c>
      <c r="I2491" s="102">
        <v>10.6</v>
      </c>
      <c r="J2491" s="102">
        <v>13.04</v>
      </c>
      <c r="K2491" s="101" t="s">
        <v>2941</v>
      </c>
      <c r="L2491" s="102">
        <v>23.0</v>
      </c>
      <c r="M2491" s="13"/>
    </row>
    <row r="2492">
      <c r="A2492" s="101" t="s">
        <v>5072</v>
      </c>
      <c r="B2492" s="101">
        <v>42202.0</v>
      </c>
      <c r="C2492" s="13"/>
      <c r="D2492" s="13"/>
      <c r="E2492" s="13"/>
      <c r="F2492" s="13"/>
      <c r="G2492" s="102">
        <v>1.0</v>
      </c>
      <c r="H2492" s="101" t="s">
        <v>2940</v>
      </c>
      <c r="I2492" s="102">
        <v>5.93</v>
      </c>
      <c r="J2492" s="102">
        <v>7.29</v>
      </c>
      <c r="K2492" s="101" t="s">
        <v>2941</v>
      </c>
      <c r="L2492" s="102">
        <v>23.0</v>
      </c>
      <c r="M2492" s="13"/>
    </row>
    <row r="2493">
      <c r="A2493" s="101" t="s">
        <v>5072</v>
      </c>
      <c r="B2493" s="101">
        <v>42202.0</v>
      </c>
      <c r="C2493" s="13"/>
      <c r="D2493" s="13"/>
      <c r="E2493" s="13"/>
      <c r="F2493" s="13"/>
      <c r="G2493" s="102">
        <v>2.0</v>
      </c>
      <c r="H2493" s="101" t="s">
        <v>2942</v>
      </c>
      <c r="I2493" s="102">
        <v>4.7</v>
      </c>
      <c r="J2493" s="102">
        <v>5.78</v>
      </c>
      <c r="K2493" s="101" t="s">
        <v>2941</v>
      </c>
      <c r="L2493" s="102">
        <v>23.0</v>
      </c>
      <c r="M2493" s="13"/>
    </row>
    <row r="2494">
      <c r="A2494" s="101" t="s">
        <v>5073</v>
      </c>
      <c r="B2494" s="101">
        <v>42101.0</v>
      </c>
      <c r="C2494" s="13"/>
      <c r="D2494" s="13"/>
      <c r="E2494" s="13"/>
      <c r="F2494" s="13"/>
      <c r="G2494" s="102">
        <v>1.0</v>
      </c>
      <c r="H2494" s="101" t="s">
        <v>2940</v>
      </c>
      <c r="I2494" s="102">
        <v>1.8</v>
      </c>
      <c r="J2494" s="102">
        <v>2.21</v>
      </c>
      <c r="K2494" s="101" t="s">
        <v>2941</v>
      </c>
      <c r="L2494" s="102">
        <v>23.0</v>
      </c>
      <c r="M2494" s="13"/>
    </row>
    <row r="2495">
      <c r="A2495" s="101" t="s">
        <v>5073</v>
      </c>
      <c r="B2495" s="101">
        <v>42101.0</v>
      </c>
      <c r="C2495" s="13"/>
      <c r="D2495" s="13"/>
      <c r="E2495" s="13"/>
      <c r="F2495" s="13"/>
      <c r="G2495" s="102">
        <v>2.0</v>
      </c>
      <c r="H2495" s="101" t="s">
        <v>2942</v>
      </c>
      <c r="I2495" s="102">
        <v>1.8</v>
      </c>
      <c r="J2495" s="102">
        <v>2.21</v>
      </c>
      <c r="K2495" s="101" t="s">
        <v>2941</v>
      </c>
      <c r="L2495" s="102">
        <v>23.0</v>
      </c>
      <c r="M2495" s="13"/>
    </row>
    <row r="2496">
      <c r="A2496" s="101" t="s">
        <v>5074</v>
      </c>
      <c r="B2496" s="101" t="s">
        <v>5075</v>
      </c>
      <c r="D2496" s="13"/>
      <c r="E2496" s="13"/>
      <c r="F2496" s="13"/>
      <c r="G2496" s="102">
        <v>1.0</v>
      </c>
      <c r="H2496" s="101" t="s">
        <v>2940</v>
      </c>
      <c r="I2496" s="102">
        <v>4.47</v>
      </c>
      <c r="J2496" s="102">
        <v>5.5</v>
      </c>
      <c r="K2496" s="101" t="s">
        <v>2941</v>
      </c>
      <c r="L2496" s="102">
        <v>23.0</v>
      </c>
      <c r="M2496" s="13"/>
    </row>
    <row r="2497">
      <c r="A2497" s="101" t="s">
        <v>5074</v>
      </c>
      <c r="B2497" s="101" t="s">
        <v>5075</v>
      </c>
      <c r="D2497" s="13"/>
      <c r="E2497" s="13"/>
      <c r="F2497" s="13"/>
      <c r="G2497" s="102">
        <v>2.0</v>
      </c>
      <c r="H2497" s="101" t="s">
        <v>2942</v>
      </c>
      <c r="I2497" s="102">
        <v>4.46</v>
      </c>
      <c r="J2497" s="102">
        <v>5.49</v>
      </c>
      <c r="K2497" s="101" t="s">
        <v>2941</v>
      </c>
      <c r="L2497" s="102">
        <v>23.0</v>
      </c>
      <c r="M2497" s="13"/>
    </row>
    <row r="2498">
      <c r="A2498" s="101" t="s">
        <v>5076</v>
      </c>
      <c r="B2498" s="101" t="s">
        <v>5077</v>
      </c>
      <c r="D2498" s="13"/>
      <c r="E2498" s="13"/>
      <c r="F2498" s="13"/>
      <c r="G2498" s="102">
        <v>1.0</v>
      </c>
      <c r="H2498" s="101" t="s">
        <v>2940</v>
      </c>
      <c r="I2498" s="102">
        <v>4.47</v>
      </c>
      <c r="J2498" s="102">
        <v>5.5</v>
      </c>
      <c r="K2498" s="101" t="s">
        <v>2941</v>
      </c>
      <c r="L2498" s="102">
        <v>23.0</v>
      </c>
      <c r="M2498" s="13"/>
    </row>
    <row r="2499">
      <c r="A2499" s="101" t="s">
        <v>5076</v>
      </c>
      <c r="B2499" s="101" t="s">
        <v>5077</v>
      </c>
      <c r="D2499" s="13"/>
      <c r="E2499" s="13"/>
      <c r="F2499" s="13"/>
      <c r="G2499" s="102">
        <v>2.0</v>
      </c>
      <c r="H2499" s="101" t="s">
        <v>2942</v>
      </c>
      <c r="I2499" s="102">
        <v>4.46</v>
      </c>
      <c r="J2499" s="102">
        <v>5.49</v>
      </c>
      <c r="K2499" s="101" t="s">
        <v>2941</v>
      </c>
      <c r="L2499" s="102">
        <v>23.0</v>
      </c>
      <c r="M2499" s="13"/>
    </row>
    <row r="2500">
      <c r="A2500" s="101" t="s">
        <v>5078</v>
      </c>
      <c r="B2500" s="101" t="s">
        <v>5079</v>
      </c>
      <c r="D2500" s="13"/>
      <c r="E2500" s="13"/>
      <c r="F2500" s="13"/>
      <c r="G2500" s="102">
        <v>1.0</v>
      </c>
      <c r="H2500" s="101" t="s">
        <v>2940</v>
      </c>
      <c r="I2500" s="102">
        <v>6.1</v>
      </c>
      <c r="J2500" s="102">
        <v>7.5</v>
      </c>
      <c r="K2500" s="101" t="s">
        <v>2941</v>
      </c>
      <c r="L2500" s="102">
        <v>23.0</v>
      </c>
      <c r="M2500" s="13"/>
    </row>
    <row r="2501">
      <c r="A2501" s="101" t="s">
        <v>5078</v>
      </c>
      <c r="B2501" s="101" t="s">
        <v>5079</v>
      </c>
      <c r="D2501" s="13"/>
      <c r="E2501" s="13"/>
      <c r="F2501" s="13"/>
      <c r="G2501" s="102">
        <v>2.0</v>
      </c>
      <c r="H2501" s="101" t="s">
        <v>2942</v>
      </c>
      <c r="I2501" s="102">
        <v>6.1</v>
      </c>
      <c r="J2501" s="102">
        <v>7.5</v>
      </c>
      <c r="K2501" s="101" t="s">
        <v>2941</v>
      </c>
      <c r="L2501" s="102">
        <v>23.0</v>
      </c>
      <c r="M2501" s="13"/>
    </row>
    <row r="2502">
      <c r="A2502" s="101" t="s">
        <v>5080</v>
      </c>
      <c r="B2502" s="101">
        <v>42115.0</v>
      </c>
      <c r="C2502" s="13"/>
      <c r="D2502" s="13"/>
      <c r="E2502" s="13"/>
      <c r="F2502" s="13"/>
      <c r="G2502" s="102">
        <v>1.0</v>
      </c>
      <c r="H2502" s="101" t="s">
        <v>2940</v>
      </c>
      <c r="I2502" s="102">
        <v>5.69</v>
      </c>
      <c r="J2502" s="102">
        <v>7.0</v>
      </c>
      <c r="K2502" s="101" t="s">
        <v>2941</v>
      </c>
      <c r="L2502" s="102">
        <v>23.0</v>
      </c>
      <c r="M2502" s="13"/>
    </row>
    <row r="2503">
      <c r="A2503" s="101" t="s">
        <v>5080</v>
      </c>
      <c r="B2503" s="101">
        <v>42115.0</v>
      </c>
      <c r="C2503" s="13"/>
      <c r="D2503" s="13"/>
      <c r="E2503" s="13"/>
      <c r="F2503" s="13"/>
      <c r="G2503" s="102">
        <v>2.0</v>
      </c>
      <c r="H2503" s="101" t="s">
        <v>2942</v>
      </c>
      <c r="I2503" s="102">
        <v>4.6</v>
      </c>
      <c r="J2503" s="102">
        <v>5.66</v>
      </c>
      <c r="K2503" s="101" t="s">
        <v>2941</v>
      </c>
      <c r="L2503" s="102">
        <v>23.0</v>
      </c>
      <c r="M2503" s="13"/>
    </row>
    <row r="2504">
      <c r="A2504" s="101" t="s">
        <v>5081</v>
      </c>
      <c r="B2504" s="101">
        <v>42116.0</v>
      </c>
      <c r="C2504" s="13"/>
      <c r="D2504" s="13"/>
      <c r="E2504" s="13"/>
      <c r="F2504" s="13"/>
      <c r="G2504" s="102">
        <v>1.0</v>
      </c>
      <c r="H2504" s="101" t="s">
        <v>2940</v>
      </c>
      <c r="I2504" s="102">
        <v>7.2</v>
      </c>
      <c r="J2504" s="102">
        <v>8.86</v>
      </c>
      <c r="K2504" s="101" t="s">
        <v>2941</v>
      </c>
      <c r="L2504" s="102">
        <v>23.0</v>
      </c>
      <c r="M2504" s="13"/>
    </row>
    <row r="2505">
      <c r="A2505" s="101" t="s">
        <v>5081</v>
      </c>
      <c r="B2505" s="101">
        <v>42116.0</v>
      </c>
      <c r="C2505" s="13"/>
      <c r="D2505" s="13"/>
      <c r="E2505" s="13"/>
      <c r="F2505" s="13"/>
      <c r="G2505" s="102">
        <v>2.0</v>
      </c>
      <c r="H2505" s="101" t="s">
        <v>2942</v>
      </c>
      <c r="I2505" s="102">
        <v>7.2</v>
      </c>
      <c r="J2505" s="102">
        <v>8.86</v>
      </c>
      <c r="K2505" s="101" t="s">
        <v>2941</v>
      </c>
      <c r="L2505" s="102">
        <v>23.0</v>
      </c>
      <c r="M2505" s="13"/>
    </row>
    <row r="2506">
      <c r="A2506" s="101" t="s">
        <v>5082</v>
      </c>
      <c r="B2506" s="101">
        <v>42102.0</v>
      </c>
      <c r="C2506" s="13"/>
      <c r="D2506" s="13"/>
      <c r="E2506" s="13"/>
      <c r="F2506" s="13"/>
      <c r="G2506" s="102">
        <v>1.0</v>
      </c>
      <c r="H2506" s="101" t="s">
        <v>2940</v>
      </c>
      <c r="I2506" s="102">
        <v>4.88</v>
      </c>
      <c r="J2506" s="102">
        <v>6.0</v>
      </c>
      <c r="K2506" s="101" t="s">
        <v>2941</v>
      </c>
      <c r="L2506" s="102">
        <v>23.0</v>
      </c>
      <c r="M2506" s="13"/>
    </row>
    <row r="2507">
      <c r="A2507" s="101" t="s">
        <v>5082</v>
      </c>
      <c r="B2507" s="101">
        <v>42102.0</v>
      </c>
      <c r="C2507" s="13"/>
      <c r="D2507" s="13"/>
      <c r="E2507" s="13"/>
      <c r="F2507" s="13"/>
      <c r="G2507" s="102">
        <v>2.0</v>
      </c>
      <c r="H2507" s="101" t="s">
        <v>2942</v>
      </c>
      <c r="I2507" s="102">
        <v>3.9</v>
      </c>
      <c r="J2507" s="102">
        <v>4.8</v>
      </c>
      <c r="K2507" s="101" t="s">
        <v>2941</v>
      </c>
      <c r="L2507" s="102">
        <v>23.0</v>
      </c>
      <c r="M2507" s="13"/>
    </row>
    <row r="2508">
      <c r="A2508" s="101" t="s">
        <v>5083</v>
      </c>
      <c r="B2508" s="101">
        <v>24273.0</v>
      </c>
      <c r="C2508" s="13"/>
      <c r="D2508" s="13"/>
      <c r="E2508" s="13"/>
      <c r="F2508" s="13"/>
      <c r="G2508" s="102">
        <v>1.0</v>
      </c>
      <c r="H2508" s="101" t="s">
        <v>2940</v>
      </c>
      <c r="I2508" s="102">
        <v>5.93</v>
      </c>
      <c r="J2508" s="102">
        <v>7.29</v>
      </c>
      <c r="K2508" s="101" t="s">
        <v>2941</v>
      </c>
      <c r="L2508" s="102">
        <v>23.0</v>
      </c>
      <c r="M2508" s="13"/>
    </row>
    <row r="2509">
      <c r="A2509" s="101" t="s">
        <v>5083</v>
      </c>
      <c r="B2509" s="101">
        <v>24273.0</v>
      </c>
      <c r="C2509" s="13"/>
      <c r="D2509" s="13"/>
      <c r="E2509" s="13"/>
      <c r="F2509" s="13"/>
      <c r="G2509" s="102">
        <v>2.0</v>
      </c>
      <c r="H2509" s="101" t="s">
        <v>2942</v>
      </c>
      <c r="I2509" s="102">
        <v>5.9</v>
      </c>
      <c r="J2509" s="102">
        <v>7.26</v>
      </c>
      <c r="K2509" s="101" t="s">
        <v>2941</v>
      </c>
      <c r="L2509" s="102">
        <v>23.0</v>
      </c>
      <c r="M2509" s="13"/>
    </row>
    <row r="2510">
      <c r="A2510" s="101" t="s">
        <v>5084</v>
      </c>
      <c r="B2510" s="101">
        <v>24274.0</v>
      </c>
      <c r="C2510" s="13"/>
      <c r="D2510" s="13"/>
      <c r="E2510" s="13"/>
      <c r="F2510" s="13"/>
      <c r="G2510" s="102">
        <v>1.0</v>
      </c>
      <c r="H2510" s="101" t="s">
        <v>2940</v>
      </c>
      <c r="I2510" s="102">
        <v>5.93</v>
      </c>
      <c r="J2510" s="102">
        <v>7.29</v>
      </c>
      <c r="K2510" s="101" t="s">
        <v>2941</v>
      </c>
      <c r="L2510" s="102">
        <v>23.0</v>
      </c>
      <c r="M2510" s="13"/>
    </row>
    <row r="2511">
      <c r="A2511" s="101" t="s">
        <v>5084</v>
      </c>
      <c r="B2511" s="101">
        <v>24274.0</v>
      </c>
      <c r="C2511" s="13"/>
      <c r="D2511" s="13"/>
      <c r="E2511" s="13"/>
      <c r="F2511" s="13"/>
      <c r="G2511" s="102">
        <v>2.0</v>
      </c>
      <c r="H2511" s="101" t="s">
        <v>2942</v>
      </c>
      <c r="I2511" s="102">
        <v>5.9</v>
      </c>
      <c r="J2511" s="102">
        <v>7.26</v>
      </c>
      <c r="K2511" s="101" t="s">
        <v>2941</v>
      </c>
      <c r="L2511" s="102">
        <v>23.0</v>
      </c>
      <c r="M2511" s="13"/>
    </row>
    <row r="2512">
      <c r="A2512" s="101" t="s">
        <v>5085</v>
      </c>
      <c r="B2512" s="101">
        <v>822.0</v>
      </c>
      <c r="C2512" s="13"/>
      <c r="D2512" s="13"/>
      <c r="E2512" s="13"/>
      <c r="F2512" s="13"/>
      <c r="G2512" s="102">
        <v>1.0</v>
      </c>
      <c r="H2512" s="101" t="s">
        <v>2940</v>
      </c>
      <c r="I2512" s="102">
        <v>8.54</v>
      </c>
      <c r="J2512" s="102">
        <v>10.5</v>
      </c>
      <c r="K2512" s="101" t="s">
        <v>2941</v>
      </c>
      <c r="L2512" s="102">
        <v>23.0</v>
      </c>
      <c r="M2512" s="13"/>
    </row>
    <row r="2513">
      <c r="A2513" s="101" t="s">
        <v>5085</v>
      </c>
      <c r="B2513" s="101">
        <v>822.0</v>
      </c>
      <c r="C2513" s="13"/>
      <c r="D2513" s="13"/>
      <c r="E2513" s="13"/>
      <c r="F2513" s="13"/>
      <c r="G2513" s="102">
        <v>2.0</v>
      </c>
      <c r="H2513" s="101" t="s">
        <v>2942</v>
      </c>
      <c r="I2513" s="102">
        <v>8.5</v>
      </c>
      <c r="J2513" s="102">
        <v>10.46</v>
      </c>
      <c r="K2513" s="101" t="s">
        <v>2941</v>
      </c>
      <c r="L2513" s="102">
        <v>23.0</v>
      </c>
      <c r="M2513" s="13"/>
    </row>
    <row r="2514">
      <c r="A2514" s="101" t="s">
        <v>5086</v>
      </c>
      <c r="B2514" s="101" t="s">
        <v>5087</v>
      </c>
      <c r="D2514" s="13"/>
      <c r="E2514" s="13"/>
      <c r="F2514" s="13"/>
      <c r="G2514" s="102">
        <v>1.0</v>
      </c>
      <c r="H2514" s="101" t="s">
        <v>2940</v>
      </c>
      <c r="I2514" s="102">
        <v>7.89</v>
      </c>
      <c r="J2514" s="102">
        <v>9.7</v>
      </c>
      <c r="K2514" s="101" t="s">
        <v>2941</v>
      </c>
      <c r="L2514" s="102">
        <v>23.0</v>
      </c>
      <c r="M2514" s="13"/>
    </row>
    <row r="2515">
      <c r="A2515" s="101" t="s">
        <v>5086</v>
      </c>
      <c r="B2515" s="101" t="s">
        <v>5087</v>
      </c>
      <c r="D2515" s="13"/>
      <c r="E2515" s="13"/>
      <c r="F2515" s="13"/>
      <c r="G2515" s="102">
        <v>2.0</v>
      </c>
      <c r="H2515" s="101" t="s">
        <v>2942</v>
      </c>
      <c r="I2515" s="102">
        <v>6.3</v>
      </c>
      <c r="J2515" s="102">
        <v>7.75</v>
      </c>
      <c r="K2515" s="101" t="s">
        <v>2941</v>
      </c>
      <c r="L2515" s="102">
        <v>23.0</v>
      </c>
      <c r="M2515" s="13"/>
    </row>
    <row r="2516">
      <c r="A2516" s="101" t="s">
        <v>5088</v>
      </c>
      <c r="B2516" s="101">
        <v>1383.0</v>
      </c>
      <c r="C2516" s="13"/>
      <c r="D2516" s="13"/>
      <c r="E2516" s="13"/>
      <c r="F2516" s="13"/>
      <c r="G2516" s="102">
        <v>1.0</v>
      </c>
      <c r="H2516" s="101" t="s">
        <v>2940</v>
      </c>
      <c r="I2516" s="102">
        <v>2.44</v>
      </c>
      <c r="J2516" s="102">
        <v>3.0</v>
      </c>
      <c r="K2516" s="101" t="s">
        <v>2941</v>
      </c>
      <c r="L2516" s="102">
        <v>23.0</v>
      </c>
      <c r="M2516" s="13"/>
    </row>
    <row r="2517">
      <c r="A2517" s="101" t="s">
        <v>5088</v>
      </c>
      <c r="B2517" s="101">
        <v>1383.0</v>
      </c>
      <c r="C2517" s="13"/>
      <c r="D2517" s="13"/>
      <c r="E2517" s="13"/>
      <c r="F2517" s="13"/>
      <c r="G2517" s="102">
        <v>2.0</v>
      </c>
      <c r="H2517" s="101" t="s">
        <v>2942</v>
      </c>
      <c r="I2517" s="102">
        <v>2.0</v>
      </c>
      <c r="J2517" s="102">
        <v>2.46</v>
      </c>
      <c r="K2517" s="101" t="s">
        <v>2941</v>
      </c>
      <c r="L2517" s="102">
        <v>23.0</v>
      </c>
      <c r="M2517" s="13"/>
    </row>
    <row r="2518">
      <c r="A2518" s="101" t="s">
        <v>5089</v>
      </c>
      <c r="B2518" s="101">
        <v>20003.0</v>
      </c>
      <c r="C2518" s="13"/>
      <c r="D2518" s="13"/>
      <c r="E2518" s="13"/>
      <c r="F2518" s="13"/>
      <c r="G2518" s="102">
        <v>1.0</v>
      </c>
      <c r="H2518" s="101" t="s">
        <v>2940</v>
      </c>
      <c r="I2518" s="102">
        <v>1.22</v>
      </c>
      <c r="J2518" s="102">
        <v>1.5</v>
      </c>
      <c r="K2518" s="101" t="s">
        <v>2941</v>
      </c>
      <c r="L2518" s="102">
        <v>23.0</v>
      </c>
      <c r="M2518" s="13"/>
    </row>
    <row r="2519">
      <c r="A2519" s="101" t="s">
        <v>5089</v>
      </c>
      <c r="B2519" s="101">
        <v>20003.0</v>
      </c>
      <c r="C2519" s="13"/>
      <c r="D2519" s="13"/>
      <c r="E2519" s="13"/>
      <c r="F2519" s="13"/>
      <c r="G2519" s="102">
        <v>2.0</v>
      </c>
      <c r="H2519" s="101" t="s">
        <v>2942</v>
      </c>
      <c r="I2519" s="102">
        <v>1.0</v>
      </c>
      <c r="J2519" s="102">
        <v>1.23</v>
      </c>
      <c r="K2519" s="101" t="s">
        <v>2941</v>
      </c>
      <c r="L2519" s="102">
        <v>23.0</v>
      </c>
      <c r="M2519" s="13"/>
    </row>
    <row r="2520">
      <c r="A2520" s="101" t="s">
        <v>5090</v>
      </c>
      <c r="B2520" s="101">
        <v>21003.0</v>
      </c>
      <c r="C2520" s="13"/>
      <c r="D2520" s="13"/>
      <c r="E2520" s="13"/>
      <c r="F2520" s="13"/>
      <c r="G2520" s="102">
        <v>1.0</v>
      </c>
      <c r="H2520" s="101" t="s">
        <v>2940</v>
      </c>
      <c r="I2520" s="102">
        <v>1.46</v>
      </c>
      <c r="J2520" s="102">
        <v>1.8</v>
      </c>
      <c r="K2520" s="101" t="s">
        <v>2941</v>
      </c>
      <c r="L2520" s="102">
        <v>23.0</v>
      </c>
      <c r="M2520" s="13"/>
    </row>
    <row r="2521">
      <c r="A2521" s="101" t="s">
        <v>5090</v>
      </c>
      <c r="B2521" s="101">
        <v>21003.0</v>
      </c>
      <c r="C2521" s="13"/>
      <c r="D2521" s="13"/>
      <c r="E2521" s="13"/>
      <c r="F2521" s="13"/>
      <c r="G2521" s="102">
        <v>2.0</v>
      </c>
      <c r="H2521" s="101" t="s">
        <v>2942</v>
      </c>
      <c r="I2521" s="102">
        <v>1.2</v>
      </c>
      <c r="J2521" s="102">
        <v>1.48</v>
      </c>
      <c r="K2521" s="101" t="s">
        <v>2941</v>
      </c>
      <c r="L2521" s="102">
        <v>23.0</v>
      </c>
      <c r="M2521" s="13"/>
    </row>
    <row r="2522">
      <c r="A2522" s="101" t="s">
        <v>5091</v>
      </c>
      <c r="B2522" s="101">
        <v>24070.0</v>
      </c>
      <c r="C2522" s="13"/>
      <c r="D2522" s="13"/>
      <c r="E2522" s="13"/>
      <c r="F2522" s="13"/>
      <c r="G2522" s="102">
        <v>1.0</v>
      </c>
      <c r="H2522" s="101" t="s">
        <v>2940</v>
      </c>
      <c r="I2522" s="102">
        <v>2.44</v>
      </c>
      <c r="J2522" s="102">
        <v>3.0</v>
      </c>
      <c r="K2522" s="101" t="s">
        <v>2941</v>
      </c>
      <c r="L2522" s="102">
        <v>23.0</v>
      </c>
      <c r="M2522" s="13"/>
    </row>
    <row r="2523">
      <c r="A2523" s="101" t="s">
        <v>5091</v>
      </c>
      <c r="B2523" s="101">
        <v>24070.0</v>
      </c>
      <c r="C2523" s="13"/>
      <c r="D2523" s="13"/>
      <c r="E2523" s="13"/>
      <c r="F2523" s="13"/>
      <c r="G2523" s="102">
        <v>2.0</v>
      </c>
      <c r="H2523" s="101" t="s">
        <v>2942</v>
      </c>
      <c r="I2523" s="102">
        <v>2.0</v>
      </c>
      <c r="J2523" s="102">
        <v>2.46</v>
      </c>
      <c r="K2523" s="101" t="s">
        <v>2941</v>
      </c>
      <c r="L2523" s="102">
        <v>23.0</v>
      </c>
      <c r="M2523" s="13"/>
    </row>
    <row r="2524">
      <c r="A2524" s="101" t="s">
        <v>5092</v>
      </c>
      <c r="B2524" s="101">
        <v>24085.0</v>
      </c>
      <c r="C2524" s="13"/>
      <c r="D2524" s="13"/>
      <c r="E2524" s="13"/>
      <c r="F2524" s="13"/>
      <c r="G2524" s="102">
        <v>1.0</v>
      </c>
      <c r="H2524" s="101" t="s">
        <v>2940</v>
      </c>
      <c r="I2524" s="102">
        <v>2.44</v>
      </c>
      <c r="J2524" s="102">
        <v>3.0</v>
      </c>
      <c r="K2524" s="101" t="s">
        <v>2941</v>
      </c>
      <c r="L2524" s="102">
        <v>23.0</v>
      </c>
      <c r="M2524" s="13"/>
    </row>
    <row r="2525">
      <c r="A2525" s="101" t="s">
        <v>5092</v>
      </c>
      <c r="B2525" s="101">
        <v>24085.0</v>
      </c>
      <c r="C2525" s="13"/>
      <c r="D2525" s="13"/>
      <c r="E2525" s="13"/>
      <c r="F2525" s="13"/>
      <c r="G2525" s="102">
        <v>2.0</v>
      </c>
      <c r="H2525" s="101" t="s">
        <v>2942</v>
      </c>
      <c r="I2525" s="102">
        <v>2.0</v>
      </c>
      <c r="J2525" s="102">
        <v>2.46</v>
      </c>
      <c r="K2525" s="101" t="s">
        <v>2941</v>
      </c>
      <c r="L2525" s="102">
        <v>23.0</v>
      </c>
      <c r="M2525" s="13"/>
    </row>
    <row r="2526">
      <c r="A2526" s="101" t="s">
        <v>5093</v>
      </c>
      <c r="B2526" s="101">
        <v>30.0</v>
      </c>
      <c r="C2526" s="13"/>
      <c r="D2526" s="13"/>
      <c r="E2526" s="13"/>
      <c r="F2526" s="13"/>
      <c r="G2526" s="102">
        <v>1.0</v>
      </c>
      <c r="H2526" s="101" t="s">
        <v>2940</v>
      </c>
      <c r="I2526" s="102">
        <v>2.44</v>
      </c>
      <c r="J2526" s="102">
        <v>3.0</v>
      </c>
      <c r="K2526" s="101" t="s">
        <v>2941</v>
      </c>
      <c r="L2526" s="102">
        <v>23.0</v>
      </c>
      <c r="M2526" s="13"/>
    </row>
    <row r="2527">
      <c r="A2527" s="101" t="s">
        <v>5093</v>
      </c>
      <c r="B2527" s="101">
        <v>30.0</v>
      </c>
      <c r="C2527" s="13"/>
      <c r="D2527" s="13"/>
      <c r="E2527" s="13"/>
      <c r="F2527" s="13"/>
      <c r="G2527" s="102">
        <v>2.0</v>
      </c>
      <c r="H2527" s="101" t="s">
        <v>2942</v>
      </c>
      <c r="I2527" s="102">
        <v>2.0</v>
      </c>
      <c r="J2527" s="102">
        <v>2.46</v>
      </c>
      <c r="K2527" s="101" t="s">
        <v>2941</v>
      </c>
      <c r="L2527" s="102">
        <v>23.0</v>
      </c>
      <c r="M2527" s="13"/>
    </row>
    <row r="2528">
      <c r="A2528" s="101" t="s">
        <v>5094</v>
      </c>
      <c r="B2528" s="101">
        <v>1440.0</v>
      </c>
      <c r="C2528" s="13"/>
      <c r="D2528" s="13"/>
      <c r="E2528" s="13"/>
      <c r="F2528" s="13"/>
      <c r="G2528" s="102">
        <v>1.0</v>
      </c>
      <c r="H2528" s="101" t="s">
        <v>2940</v>
      </c>
      <c r="I2528" s="102">
        <v>2.44</v>
      </c>
      <c r="J2528" s="102">
        <v>3.0</v>
      </c>
      <c r="K2528" s="101" t="s">
        <v>2941</v>
      </c>
      <c r="L2528" s="102">
        <v>23.0</v>
      </c>
      <c r="M2528" s="13"/>
    </row>
    <row r="2529">
      <c r="A2529" s="101" t="s">
        <v>5094</v>
      </c>
      <c r="B2529" s="101">
        <v>1440.0</v>
      </c>
      <c r="C2529" s="13"/>
      <c r="D2529" s="13"/>
      <c r="E2529" s="13"/>
      <c r="F2529" s="13"/>
      <c r="G2529" s="102">
        <v>2.0</v>
      </c>
      <c r="H2529" s="101" t="s">
        <v>2942</v>
      </c>
      <c r="I2529" s="102">
        <v>2.0</v>
      </c>
      <c r="J2529" s="102">
        <v>2.46</v>
      </c>
      <c r="K2529" s="101" t="s">
        <v>2941</v>
      </c>
      <c r="L2529" s="102">
        <v>23.0</v>
      </c>
      <c r="M2529" s="13"/>
    </row>
    <row r="2530">
      <c r="A2530" s="101" t="s">
        <v>5095</v>
      </c>
      <c r="B2530" s="101">
        <v>31.0</v>
      </c>
      <c r="C2530" s="13"/>
      <c r="D2530" s="13"/>
      <c r="E2530" s="13"/>
      <c r="F2530" s="13"/>
      <c r="G2530" s="102">
        <v>1.0</v>
      </c>
      <c r="H2530" s="101" t="s">
        <v>2940</v>
      </c>
      <c r="I2530" s="102">
        <v>2.44</v>
      </c>
      <c r="J2530" s="102">
        <v>3.0</v>
      </c>
      <c r="K2530" s="101" t="s">
        <v>2941</v>
      </c>
      <c r="L2530" s="102">
        <v>23.0</v>
      </c>
      <c r="M2530" s="13"/>
    </row>
    <row r="2531">
      <c r="A2531" s="101" t="s">
        <v>5095</v>
      </c>
      <c r="B2531" s="101">
        <v>31.0</v>
      </c>
      <c r="C2531" s="13"/>
      <c r="D2531" s="13"/>
      <c r="E2531" s="13"/>
      <c r="F2531" s="13"/>
      <c r="G2531" s="102">
        <v>2.0</v>
      </c>
      <c r="H2531" s="101" t="s">
        <v>2942</v>
      </c>
      <c r="I2531" s="102">
        <v>2.0</v>
      </c>
      <c r="J2531" s="102">
        <v>2.46</v>
      </c>
      <c r="K2531" s="101" t="s">
        <v>2941</v>
      </c>
      <c r="L2531" s="102">
        <v>23.0</v>
      </c>
      <c r="M2531" s="13"/>
    </row>
    <row r="2532">
      <c r="A2532" s="101" t="s">
        <v>5096</v>
      </c>
      <c r="B2532" s="101">
        <v>314.0</v>
      </c>
      <c r="C2532" s="13"/>
      <c r="D2532" s="13"/>
      <c r="E2532" s="13"/>
      <c r="F2532" s="13"/>
      <c r="G2532" s="102">
        <v>1.0</v>
      </c>
      <c r="H2532" s="101" t="s">
        <v>2940</v>
      </c>
      <c r="I2532" s="102">
        <v>5.12</v>
      </c>
      <c r="J2532" s="102">
        <v>6.3</v>
      </c>
      <c r="K2532" s="101" t="s">
        <v>2941</v>
      </c>
      <c r="L2532" s="102">
        <v>23.0</v>
      </c>
      <c r="M2532" s="13"/>
    </row>
    <row r="2533">
      <c r="A2533" s="101" t="s">
        <v>5096</v>
      </c>
      <c r="B2533" s="101">
        <v>314.0</v>
      </c>
      <c r="C2533" s="13"/>
      <c r="D2533" s="13"/>
      <c r="E2533" s="13"/>
      <c r="F2533" s="13"/>
      <c r="G2533" s="102">
        <v>2.0</v>
      </c>
      <c r="H2533" s="101" t="s">
        <v>2942</v>
      </c>
      <c r="I2533" s="102">
        <v>4.1</v>
      </c>
      <c r="J2533" s="102">
        <v>5.04</v>
      </c>
      <c r="K2533" s="101" t="s">
        <v>2941</v>
      </c>
      <c r="L2533" s="102">
        <v>23.0</v>
      </c>
      <c r="M2533" s="13"/>
    </row>
    <row r="2534">
      <c r="A2534" s="101" t="s">
        <v>5097</v>
      </c>
      <c r="B2534" s="101">
        <v>42616.0</v>
      </c>
      <c r="C2534" s="13"/>
      <c r="D2534" s="13"/>
      <c r="E2534" s="13"/>
      <c r="F2534" s="13"/>
      <c r="G2534" s="102">
        <v>1.0</v>
      </c>
      <c r="H2534" s="101" t="s">
        <v>2940</v>
      </c>
      <c r="I2534" s="102">
        <v>34.47</v>
      </c>
      <c r="J2534" s="102">
        <v>42.4</v>
      </c>
      <c r="K2534" s="101" t="s">
        <v>2941</v>
      </c>
      <c r="L2534" s="102">
        <v>23.0</v>
      </c>
      <c r="M2534" s="13"/>
    </row>
    <row r="2535">
      <c r="A2535" s="101" t="s">
        <v>5097</v>
      </c>
      <c r="B2535" s="101">
        <v>42616.0</v>
      </c>
      <c r="C2535" s="13"/>
      <c r="D2535" s="13"/>
      <c r="E2535" s="13"/>
      <c r="F2535" s="13"/>
      <c r="G2535" s="102">
        <v>2.0</v>
      </c>
      <c r="H2535" s="101" t="s">
        <v>2942</v>
      </c>
      <c r="I2535" s="102">
        <v>27.6</v>
      </c>
      <c r="J2535" s="102">
        <v>33.95</v>
      </c>
      <c r="K2535" s="101" t="s">
        <v>2941</v>
      </c>
      <c r="L2535" s="102">
        <v>23.0</v>
      </c>
      <c r="M2535" s="13"/>
    </row>
    <row r="2536">
      <c r="A2536" s="101" t="s">
        <v>5098</v>
      </c>
      <c r="B2536" s="101">
        <v>24151.0</v>
      </c>
      <c r="C2536" s="13"/>
      <c r="D2536" s="13"/>
      <c r="E2536" s="13"/>
      <c r="F2536" s="13"/>
      <c r="G2536" s="102">
        <v>1.0</v>
      </c>
      <c r="H2536" s="101" t="s">
        <v>2940</v>
      </c>
      <c r="I2536" s="102">
        <v>12.6</v>
      </c>
      <c r="J2536" s="102">
        <v>15.5</v>
      </c>
      <c r="K2536" s="101" t="s">
        <v>2941</v>
      </c>
      <c r="L2536" s="102">
        <v>23.0</v>
      </c>
      <c r="M2536" s="13"/>
    </row>
    <row r="2537">
      <c r="A2537" s="101" t="s">
        <v>5098</v>
      </c>
      <c r="B2537" s="101">
        <v>24151.0</v>
      </c>
      <c r="C2537" s="13"/>
      <c r="D2537" s="13"/>
      <c r="E2537" s="13"/>
      <c r="F2537" s="13"/>
      <c r="G2537" s="102">
        <v>2.0</v>
      </c>
      <c r="H2537" s="101" t="s">
        <v>2942</v>
      </c>
      <c r="I2537" s="102">
        <v>10.1</v>
      </c>
      <c r="J2537" s="102">
        <v>12.42</v>
      </c>
      <c r="K2537" s="101" t="s">
        <v>2941</v>
      </c>
      <c r="L2537" s="102">
        <v>23.0</v>
      </c>
      <c r="M2537" s="13"/>
    </row>
    <row r="2538">
      <c r="A2538" s="101" t="s">
        <v>5099</v>
      </c>
      <c r="B2538" s="101">
        <v>1257.0</v>
      </c>
      <c r="C2538" s="13"/>
      <c r="D2538" s="13"/>
      <c r="E2538" s="13"/>
      <c r="F2538" s="13"/>
      <c r="G2538" s="102">
        <v>1.0</v>
      </c>
      <c r="H2538" s="101" t="s">
        <v>2940</v>
      </c>
      <c r="I2538" s="102">
        <v>8.37</v>
      </c>
      <c r="J2538" s="102">
        <v>10.3</v>
      </c>
      <c r="K2538" s="101" t="s">
        <v>2941</v>
      </c>
      <c r="L2538" s="102">
        <v>23.0</v>
      </c>
      <c r="M2538" s="13"/>
    </row>
    <row r="2539">
      <c r="A2539" s="101" t="s">
        <v>5099</v>
      </c>
      <c r="B2539" s="101">
        <v>1257.0</v>
      </c>
      <c r="C2539" s="13"/>
      <c r="D2539" s="13"/>
      <c r="E2539" s="13"/>
      <c r="F2539" s="13"/>
      <c r="G2539" s="102">
        <v>2.0</v>
      </c>
      <c r="H2539" s="101" t="s">
        <v>2942</v>
      </c>
      <c r="I2539" s="102">
        <v>8.4</v>
      </c>
      <c r="J2539" s="102">
        <v>10.33</v>
      </c>
      <c r="K2539" s="101" t="s">
        <v>2941</v>
      </c>
      <c r="L2539" s="102">
        <v>23.0</v>
      </c>
      <c r="M2539" s="13"/>
    </row>
    <row r="2540">
      <c r="A2540" s="101" t="s">
        <v>5100</v>
      </c>
      <c r="B2540" s="101">
        <v>962.0</v>
      </c>
      <c r="C2540" s="13"/>
      <c r="D2540" s="13"/>
      <c r="E2540" s="13"/>
      <c r="F2540" s="13"/>
      <c r="G2540" s="102">
        <v>1.0</v>
      </c>
      <c r="H2540" s="101" t="s">
        <v>2940</v>
      </c>
      <c r="I2540" s="102">
        <v>2.44</v>
      </c>
      <c r="J2540" s="102">
        <v>3.0</v>
      </c>
      <c r="K2540" s="101" t="s">
        <v>2941</v>
      </c>
      <c r="L2540" s="102">
        <v>23.0</v>
      </c>
      <c r="M2540" s="13"/>
    </row>
    <row r="2541">
      <c r="A2541" s="101" t="s">
        <v>5100</v>
      </c>
      <c r="B2541" s="101">
        <v>962.0</v>
      </c>
      <c r="C2541" s="13"/>
      <c r="D2541" s="13"/>
      <c r="E2541" s="13"/>
      <c r="F2541" s="13"/>
      <c r="G2541" s="102">
        <v>2.0</v>
      </c>
      <c r="H2541" s="101" t="s">
        <v>2942</v>
      </c>
      <c r="I2541" s="102">
        <v>2.0</v>
      </c>
      <c r="J2541" s="102">
        <v>2.46</v>
      </c>
      <c r="K2541" s="101" t="s">
        <v>2941</v>
      </c>
      <c r="L2541" s="102">
        <v>23.0</v>
      </c>
      <c r="M2541" s="13"/>
    </row>
    <row r="2542">
      <c r="A2542" s="101" t="s">
        <v>5101</v>
      </c>
      <c r="B2542" s="101">
        <v>1452.0</v>
      </c>
      <c r="C2542" s="13"/>
      <c r="D2542" s="13"/>
      <c r="E2542" s="13"/>
      <c r="F2542" s="13"/>
      <c r="G2542" s="102">
        <v>1.0</v>
      </c>
      <c r="H2542" s="101" t="s">
        <v>2940</v>
      </c>
      <c r="I2542" s="102">
        <v>2.44</v>
      </c>
      <c r="J2542" s="102">
        <v>3.0</v>
      </c>
      <c r="K2542" s="101" t="s">
        <v>2941</v>
      </c>
      <c r="L2542" s="102">
        <v>23.0</v>
      </c>
      <c r="M2542" s="13"/>
    </row>
    <row r="2543">
      <c r="A2543" s="101" t="s">
        <v>5101</v>
      </c>
      <c r="B2543" s="101">
        <v>1452.0</v>
      </c>
      <c r="C2543" s="13"/>
      <c r="D2543" s="13"/>
      <c r="E2543" s="13"/>
      <c r="F2543" s="13"/>
      <c r="G2543" s="102">
        <v>2.0</v>
      </c>
      <c r="H2543" s="101" t="s">
        <v>2942</v>
      </c>
      <c r="I2543" s="102">
        <v>2.0</v>
      </c>
      <c r="J2543" s="102">
        <v>2.46</v>
      </c>
      <c r="K2543" s="101" t="s">
        <v>2941</v>
      </c>
      <c r="L2543" s="102">
        <v>23.0</v>
      </c>
      <c r="M2543" s="13"/>
    </row>
    <row r="2544">
      <c r="A2544" s="101" t="s">
        <v>5102</v>
      </c>
      <c r="B2544" s="101">
        <v>963.0</v>
      </c>
      <c r="C2544" s="13"/>
      <c r="D2544" s="13"/>
      <c r="E2544" s="13"/>
      <c r="F2544" s="13"/>
      <c r="G2544" s="102">
        <v>1.0</v>
      </c>
      <c r="H2544" s="101" t="s">
        <v>2940</v>
      </c>
      <c r="I2544" s="102">
        <v>2.44</v>
      </c>
      <c r="J2544" s="102">
        <v>3.0</v>
      </c>
      <c r="K2544" s="101" t="s">
        <v>2941</v>
      </c>
      <c r="L2544" s="102">
        <v>23.0</v>
      </c>
      <c r="M2544" s="13"/>
    </row>
    <row r="2545">
      <c r="A2545" s="101" t="s">
        <v>5102</v>
      </c>
      <c r="B2545" s="101">
        <v>963.0</v>
      </c>
      <c r="C2545" s="13"/>
      <c r="D2545" s="13"/>
      <c r="E2545" s="13"/>
      <c r="F2545" s="13"/>
      <c r="G2545" s="102">
        <v>2.0</v>
      </c>
      <c r="H2545" s="101" t="s">
        <v>2942</v>
      </c>
      <c r="I2545" s="102">
        <v>2.0</v>
      </c>
      <c r="J2545" s="102">
        <v>2.46</v>
      </c>
      <c r="K2545" s="101" t="s">
        <v>2941</v>
      </c>
      <c r="L2545" s="102">
        <v>23.0</v>
      </c>
      <c r="M2545" s="13"/>
    </row>
    <row r="2546">
      <c r="A2546" s="101" t="s">
        <v>5103</v>
      </c>
      <c r="B2546" s="101">
        <v>24277.0</v>
      </c>
      <c r="C2546" s="13"/>
      <c r="D2546" s="13"/>
      <c r="E2546" s="13"/>
      <c r="F2546" s="13"/>
      <c r="G2546" s="102">
        <v>1.0</v>
      </c>
      <c r="H2546" s="101" t="s">
        <v>2940</v>
      </c>
      <c r="I2546" s="102">
        <v>3.01</v>
      </c>
      <c r="J2546" s="102">
        <v>3.7</v>
      </c>
      <c r="K2546" s="101" t="s">
        <v>2941</v>
      </c>
      <c r="L2546" s="102">
        <v>23.0</v>
      </c>
      <c r="M2546" s="13"/>
    </row>
    <row r="2547">
      <c r="A2547" s="101" t="s">
        <v>5103</v>
      </c>
      <c r="B2547" s="101">
        <v>24277.0</v>
      </c>
      <c r="C2547" s="13"/>
      <c r="D2547" s="13"/>
      <c r="E2547" s="13"/>
      <c r="F2547" s="13"/>
      <c r="G2547" s="102">
        <v>2.0</v>
      </c>
      <c r="H2547" s="101" t="s">
        <v>2942</v>
      </c>
      <c r="I2547" s="102">
        <v>2.4</v>
      </c>
      <c r="J2547" s="102">
        <v>2.95</v>
      </c>
      <c r="K2547" s="101" t="s">
        <v>2941</v>
      </c>
      <c r="L2547" s="102">
        <v>23.0</v>
      </c>
      <c r="M2547" s="13"/>
    </row>
    <row r="2548">
      <c r="A2548" s="101" t="s">
        <v>5104</v>
      </c>
      <c r="B2548" s="101">
        <v>24285.0</v>
      </c>
      <c r="C2548" s="13"/>
      <c r="D2548" s="13"/>
      <c r="E2548" s="13"/>
      <c r="F2548" s="13"/>
      <c r="G2548" s="102">
        <v>1.0</v>
      </c>
      <c r="H2548" s="101" t="s">
        <v>2940</v>
      </c>
      <c r="I2548" s="102">
        <v>3.01</v>
      </c>
      <c r="J2548" s="102">
        <v>3.7</v>
      </c>
      <c r="K2548" s="101" t="s">
        <v>2941</v>
      </c>
      <c r="L2548" s="102">
        <v>23.0</v>
      </c>
      <c r="M2548" s="13"/>
    </row>
    <row r="2549">
      <c r="A2549" s="101" t="s">
        <v>5104</v>
      </c>
      <c r="B2549" s="101">
        <v>24285.0</v>
      </c>
      <c r="C2549" s="13"/>
      <c r="D2549" s="13"/>
      <c r="E2549" s="13"/>
      <c r="F2549" s="13"/>
      <c r="G2549" s="102">
        <v>2.0</v>
      </c>
      <c r="H2549" s="101" t="s">
        <v>2942</v>
      </c>
      <c r="I2549" s="102">
        <v>2.4</v>
      </c>
      <c r="J2549" s="102">
        <v>2.95</v>
      </c>
      <c r="K2549" s="101" t="s">
        <v>2941</v>
      </c>
      <c r="L2549" s="102">
        <v>23.0</v>
      </c>
      <c r="M2549" s="13"/>
    </row>
    <row r="2550">
      <c r="A2550" s="101" t="s">
        <v>5105</v>
      </c>
      <c r="B2550" s="101">
        <v>307.0</v>
      </c>
      <c r="C2550" s="13"/>
      <c r="D2550" s="13"/>
      <c r="E2550" s="13"/>
      <c r="F2550" s="13"/>
      <c r="G2550" s="102">
        <v>1.0</v>
      </c>
      <c r="H2550" s="101" t="s">
        <v>2940</v>
      </c>
      <c r="I2550" s="102">
        <v>3.77</v>
      </c>
      <c r="J2550" s="102">
        <v>4.64</v>
      </c>
      <c r="K2550" s="101" t="s">
        <v>2941</v>
      </c>
      <c r="L2550" s="102">
        <v>23.0</v>
      </c>
      <c r="M2550" s="13"/>
    </row>
    <row r="2551">
      <c r="A2551" s="101" t="s">
        <v>5105</v>
      </c>
      <c r="B2551" s="101">
        <v>307.0</v>
      </c>
      <c r="C2551" s="13"/>
      <c r="D2551" s="13"/>
      <c r="E2551" s="13"/>
      <c r="F2551" s="13"/>
      <c r="G2551" s="102">
        <v>2.0</v>
      </c>
      <c r="H2551" s="101" t="s">
        <v>2942</v>
      </c>
      <c r="I2551" s="102">
        <v>3.77</v>
      </c>
      <c r="J2551" s="102">
        <v>4.64</v>
      </c>
      <c r="K2551" s="101" t="s">
        <v>2941</v>
      </c>
      <c r="L2551" s="102">
        <v>23.0</v>
      </c>
      <c r="M2551" s="13"/>
    </row>
    <row r="2552">
      <c r="A2552" s="101" t="s">
        <v>5106</v>
      </c>
      <c r="B2552" s="101">
        <v>24036.0</v>
      </c>
      <c r="C2552" s="13"/>
      <c r="D2552" s="13"/>
      <c r="E2552" s="13"/>
      <c r="F2552" s="13"/>
      <c r="G2552" s="102">
        <v>1.0</v>
      </c>
      <c r="H2552" s="101" t="s">
        <v>2940</v>
      </c>
      <c r="I2552" s="102">
        <v>6.18</v>
      </c>
      <c r="J2552" s="102">
        <v>7.6</v>
      </c>
      <c r="K2552" s="101" t="s">
        <v>2941</v>
      </c>
      <c r="L2552" s="102">
        <v>23.0</v>
      </c>
      <c r="M2552" s="13"/>
    </row>
    <row r="2553">
      <c r="A2553" s="101" t="s">
        <v>5106</v>
      </c>
      <c r="B2553" s="101">
        <v>24036.0</v>
      </c>
      <c r="C2553" s="13"/>
      <c r="D2553" s="13"/>
      <c r="E2553" s="13"/>
      <c r="F2553" s="13"/>
      <c r="G2553" s="102">
        <v>2.0</v>
      </c>
      <c r="H2553" s="101" t="s">
        <v>2942</v>
      </c>
      <c r="I2553" s="102">
        <v>4.9</v>
      </c>
      <c r="J2553" s="102">
        <v>6.03</v>
      </c>
      <c r="K2553" s="101" t="s">
        <v>2941</v>
      </c>
      <c r="L2553" s="102">
        <v>23.0</v>
      </c>
      <c r="M2553" s="13"/>
    </row>
    <row r="2554">
      <c r="A2554" s="101" t="s">
        <v>5107</v>
      </c>
      <c r="B2554" s="101">
        <v>306.0</v>
      </c>
      <c r="C2554" s="13"/>
      <c r="D2554" s="13"/>
      <c r="E2554" s="13"/>
      <c r="F2554" s="13"/>
      <c r="G2554" s="102">
        <v>1.0</v>
      </c>
      <c r="H2554" s="101" t="s">
        <v>2940</v>
      </c>
      <c r="I2554" s="102">
        <v>4.07</v>
      </c>
      <c r="J2554" s="102">
        <v>5.01</v>
      </c>
      <c r="K2554" s="101" t="s">
        <v>2941</v>
      </c>
      <c r="L2554" s="102">
        <v>23.0</v>
      </c>
      <c r="M2554" s="13"/>
    </row>
    <row r="2555">
      <c r="A2555" s="101" t="s">
        <v>5107</v>
      </c>
      <c r="B2555" s="101">
        <v>306.0</v>
      </c>
      <c r="C2555" s="13"/>
      <c r="D2555" s="13"/>
      <c r="E2555" s="13"/>
      <c r="F2555" s="13"/>
      <c r="G2555" s="102">
        <v>2.0</v>
      </c>
      <c r="H2555" s="101" t="s">
        <v>2942</v>
      </c>
      <c r="I2555" s="102">
        <v>3.77</v>
      </c>
      <c r="J2555" s="102">
        <v>4.64</v>
      </c>
      <c r="K2555" s="101" t="s">
        <v>2941</v>
      </c>
      <c r="L2555" s="102">
        <v>23.0</v>
      </c>
      <c r="M2555" s="13"/>
    </row>
    <row r="2556">
      <c r="A2556" s="101" t="s">
        <v>5108</v>
      </c>
      <c r="B2556" s="101">
        <v>24035.0</v>
      </c>
      <c r="C2556" s="13"/>
      <c r="D2556" s="13"/>
      <c r="E2556" s="13"/>
      <c r="F2556" s="13"/>
      <c r="G2556" s="102">
        <v>1.0</v>
      </c>
      <c r="H2556" s="101" t="s">
        <v>2940</v>
      </c>
      <c r="I2556" s="102">
        <v>6.18</v>
      </c>
      <c r="J2556" s="102">
        <v>7.6</v>
      </c>
      <c r="K2556" s="101" t="s">
        <v>2941</v>
      </c>
      <c r="L2556" s="102">
        <v>23.0</v>
      </c>
      <c r="M2556" s="13"/>
    </row>
    <row r="2557">
      <c r="A2557" s="101" t="s">
        <v>5108</v>
      </c>
      <c r="B2557" s="101">
        <v>24035.0</v>
      </c>
      <c r="C2557" s="13"/>
      <c r="D2557" s="13"/>
      <c r="E2557" s="13"/>
      <c r="F2557" s="13"/>
      <c r="G2557" s="102">
        <v>2.0</v>
      </c>
      <c r="H2557" s="101" t="s">
        <v>2942</v>
      </c>
      <c r="I2557" s="102">
        <v>4.9</v>
      </c>
      <c r="J2557" s="102">
        <v>6.03</v>
      </c>
      <c r="K2557" s="101" t="s">
        <v>2941</v>
      </c>
      <c r="L2557" s="102">
        <v>23.0</v>
      </c>
      <c r="M2557" s="13"/>
    </row>
    <row r="2558">
      <c r="A2558" s="101" t="s">
        <v>5109</v>
      </c>
      <c r="B2558" s="101">
        <v>24007.0</v>
      </c>
      <c r="C2558" s="13"/>
      <c r="D2558" s="13"/>
      <c r="E2558" s="13"/>
      <c r="F2558" s="13"/>
      <c r="G2558" s="102">
        <v>1.0</v>
      </c>
      <c r="H2558" s="101" t="s">
        <v>2940</v>
      </c>
      <c r="I2558" s="102">
        <v>3.09</v>
      </c>
      <c r="J2558" s="102">
        <v>3.8</v>
      </c>
      <c r="K2558" s="101" t="s">
        <v>2941</v>
      </c>
      <c r="L2558" s="102">
        <v>23.0</v>
      </c>
      <c r="M2558" s="13"/>
    </row>
    <row r="2559">
      <c r="A2559" s="101" t="s">
        <v>5109</v>
      </c>
      <c r="B2559" s="101">
        <v>24007.0</v>
      </c>
      <c r="C2559" s="13"/>
      <c r="D2559" s="13"/>
      <c r="E2559" s="13"/>
      <c r="F2559" s="13"/>
      <c r="G2559" s="102">
        <v>2.0</v>
      </c>
      <c r="H2559" s="101" t="s">
        <v>2942</v>
      </c>
      <c r="I2559" s="102">
        <v>2.5</v>
      </c>
      <c r="J2559" s="102">
        <v>3.08</v>
      </c>
      <c r="K2559" s="101" t="s">
        <v>2941</v>
      </c>
      <c r="L2559" s="102">
        <v>23.0</v>
      </c>
      <c r="M2559" s="13"/>
    </row>
    <row r="2560">
      <c r="A2560" s="101" t="s">
        <v>5110</v>
      </c>
      <c r="B2560" s="101">
        <v>24029.0</v>
      </c>
      <c r="C2560" s="13"/>
      <c r="D2560" s="13"/>
      <c r="E2560" s="13"/>
      <c r="F2560" s="13"/>
      <c r="G2560" s="102">
        <v>1.0</v>
      </c>
      <c r="H2560" s="101" t="s">
        <v>2940</v>
      </c>
      <c r="I2560" s="102">
        <v>3.98</v>
      </c>
      <c r="J2560" s="102">
        <v>4.9</v>
      </c>
      <c r="K2560" s="101" t="s">
        <v>2941</v>
      </c>
      <c r="L2560" s="102">
        <v>23.0</v>
      </c>
      <c r="M2560" s="13"/>
    </row>
    <row r="2561">
      <c r="A2561" s="101" t="s">
        <v>5110</v>
      </c>
      <c r="B2561" s="101">
        <v>24029.0</v>
      </c>
      <c r="C2561" s="13"/>
      <c r="D2561" s="13"/>
      <c r="E2561" s="13"/>
      <c r="F2561" s="13"/>
      <c r="G2561" s="102">
        <v>2.0</v>
      </c>
      <c r="H2561" s="101" t="s">
        <v>2942</v>
      </c>
      <c r="I2561" s="102">
        <v>3.2</v>
      </c>
      <c r="J2561" s="102">
        <v>3.94</v>
      </c>
      <c r="K2561" s="101" t="s">
        <v>2941</v>
      </c>
      <c r="L2561" s="102">
        <v>23.0</v>
      </c>
      <c r="M2561" s="13"/>
    </row>
    <row r="2562">
      <c r="A2562" s="101" t="s">
        <v>5111</v>
      </c>
      <c r="B2562" s="101">
        <v>24030.0</v>
      </c>
      <c r="C2562" s="13"/>
      <c r="D2562" s="13"/>
      <c r="E2562" s="13"/>
      <c r="F2562" s="13"/>
      <c r="G2562" s="102">
        <v>1.0</v>
      </c>
      <c r="H2562" s="101" t="s">
        <v>2940</v>
      </c>
      <c r="I2562" s="102">
        <v>3.98</v>
      </c>
      <c r="J2562" s="102">
        <v>4.9</v>
      </c>
      <c r="K2562" s="101" t="s">
        <v>2941</v>
      </c>
      <c r="L2562" s="102">
        <v>23.0</v>
      </c>
      <c r="M2562" s="13"/>
    </row>
    <row r="2563">
      <c r="A2563" s="101" t="s">
        <v>5111</v>
      </c>
      <c r="B2563" s="101">
        <v>24030.0</v>
      </c>
      <c r="C2563" s="13"/>
      <c r="D2563" s="13"/>
      <c r="E2563" s="13"/>
      <c r="F2563" s="13"/>
      <c r="G2563" s="102">
        <v>2.0</v>
      </c>
      <c r="H2563" s="101" t="s">
        <v>2942</v>
      </c>
      <c r="I2563" s="102">
        <v>3.2</v>
      </c>
      <c r="J2563" s="102">
        <v>3.94</v>
      </c>
      <c r="K2563" s="101" t="s">
        <v>2941</v>
      </c>
      <c r="L2563" s="102">
        <v>23.0</v>
      </c>
      <c r="M2563" s="13"/>
    </row>
    <row r="2564">
      <c r="A2564" s="101" t="s">
        <v>5112</v>
      </c>
      <c r="B2564" s="101">
        <v>24131.0</v>
      </c>
      <c r="C2564" s="13"/>
      <c r="D2564" s="13"/>
      <c r="E2564" s="13"/>
      <c r="F2564" s="13"/>
      <c r="G2564" s="102">
        <v>1.0</v>
      </c>
      <c r="H2564" s="101" t="s">
        <v>2940</v>
      </c>
      <c r="I2564" s="102">
        <v>4.72</v>
      </c>
      <c r="J2564" s="102">
        <v>5.81</v>
      </c>
      <c r="K2564" s="101" t="s">
        <v>2941</v>
      </c>
      <c r="L2564" s="102">
        <v>23.0</v>
      </c>
      <c r="M2564" s="13"/>
    </row>
    <row r="2565">
      <c r="A2565" s="101" t="s">
        <v>5112</v>
      </c>
      <c r="B2565" s="101">
        <v>24131.0</v>
      </c>
      <c r="C2565" s="13"/>
      <c r="D2565" s="13"/>
      <c r="E2565" s="13"/>
      <c r="F2565" s="13"/>
      <c r="G2565" s="102">
        <v>2.0</v>
      </c>
      <c r="H2565" s="101" t="s">
        <v>2942</v>
      </c>
      <c r="I2565" s="102">
        <v>3.8</v>
      </c>
      <c r="J2565" s="102">
        <v>4.67</v>
      </c>
      <c r="K2565" s="101" t="s">
        <v>2941</v>
      </c>
      <c r="L2565" s="102">
        <v>23.0</v>
      </c>
      <c r="M2565" s="13"/>
    </row>
    <row r="2566">
      <c r="A2566" s="101" t="s">
        <v>5113</v>
      </c>
      <c r="B2566" s="101">
        <v>24281.0</v>
      </c>
      <c r="C2566" s="13"/>
      <c r="D2566" s="13"/>
      <c r="E2566" s="13"/>
      <c r="F2566" s="13"/>
      <c r="G2566" s="102">
        <v>1.0</v>
      </c>
      <c r="H2566" s="101" t="s">
        <v>2940</v>
      </c>
      <c r="I2566" s="102">
        <v>4.07</v>
      </c>
      <c r="J2566" s="102">
        <v>5.01</v>
      </c>
      <c r="K2566" s="101" t="s">
        <v>2941</v>
      </c>
      <c r="L2566" s="102">
        <v>23.0</v>
      </c>
      <c r="M2566" s="13"/>
    </row>
    <row r="2567">
      <c r="A2567" s="101" t="s">
        <v>5113</v>
      </c>
      <c r="B2567" s="101">
        <v>24281.0</v>
      </c>
      <c r="C2567" s="13"/>
      <c r="D2567" s="13"/>
      <c r="E2567" s="13"/>
      <c r="F2567" s="13"/>
      <c r="G2567" s="102">
        <v>2.0</v>
      </c>
      <c r="H2567" s="101" t="s">
        <v>2942</v>
      </c>
      <c r="I2567" s="102">
        <v>3.3</v>
      </c>
      <c r="J2567" s="102">
        <v>4.06</v>
      </c>
      <c r="K2567" s="101" t="s">
        <v>2941</v>
      </c>
      <c r="L2567" s="102">
        <v>23.0</v>
      </c>
      <c r="M2567" s="13"/>
    </row>
    <row r="2568">
      <c r="A2568" s="101" t="s">
        <v>5114</v>
      </c>
      <c r="B2568" s="101" t="s">
        <v>5115</v>
      </c>
      <c r="D2568" s="13"/>
      <c r="E2568" s="13"/>
      <c r="F2568" s="13"/>
      <c r="G2568" s="102">
        <v>1.0</v>
      </c>
      <c r="H2568" s="101" t="s">
        <v>2940</v>
      </c>
      <c r="I2568" s="102">
        <v>4.47</v>
      </c>
      <c r="J2568" s="102">
        <v>5.5</v>
      </c>
      <c r="K2568" s="101" t="s">
        <v>2941</v>
      </c>
      <c r="L2568" s="102">
        <v>23.0</v>
      </c>
      <c r="M2568" s="13"/>
    </row>
    <row r="2569">
      <c r="A2569" s="101" t="s">
        <v>5114</v>
      </c>
      <c r="B2569" s="101" t="s">
        <v>5115</v>
      </c>
      <c r="D2569" s="13"/>
      <c r="E2569" s="13"/>
      <c r="F2569" s="13"/>
      <c r="G2569" s="102">
        <v>2.0</v>
      </c>
      <c r="H2569" s="101" t="s">
        <v>2942</v>
      </c>
      <c r="I2569" s="102">
        <v>3.6</v>
      </c>
      <c r="J2569" s="102">
        <v>4.43</v>
      </c>
      <c r="K2569" s="101" t="s">
        <v>2941</v>
      </c>
      <c r="L2569" s="102">
        <v>23.0</v>
      </c>
      <c r="M2569" s="13"/>
    </row>
    <row r="2570">
      <c r="A2570" s="101" t="s">
        <v>5116</v>
      </c>
      <c r="B2570" s="101">
        <v>1964.0</v>
      </c>
      <c r="C2570" s="13"/>
      <c r="D2570" s="13"/>
      <c r="E2570" s="13"/>
      <c r="F2570" s="13"/>
      <c r="G2570" s="102">
        <v>1.0</v>
      </c>
      <c r="H2570" s="101" t="s">
        <v>2940</v>
      </c>
      <c r="I2570" s="102">
        <v>5.04</v>
      </c>
      <c r="J2570" s="102">
        <v>6.2</v>
      </c>
      <c r="K2570" s="101" t="s">
        <v>2941</v>
      </c>
      <c r="L2570" s="102">
        <v>23.0</v>
      </c>
      <c r="M2570" s="13"/>
    </row>
    <row r="2571">
      <c r="A2571" s="101" t="s">
        <v>5116</v>
      </c>
      <c r="B2571" s="101">
        <v>1964.0</v>
      </c>
      <c r="C2571" s="13"/>
      <c r="D2571" s="13"/>
      <c r="E2571" s="13"/>
      <c r="F2571" s="13"/>
      <c r="G2571" s="102">
        <v>2.0</v>
      </c>
      <c r="H2571" s="101" t="s">
        <v>2942</v>
      </c>
      <c r="I2571" s="102">
        <v>5.0</v>
      </c>
      <c r="J2571" s="102">
        <v>6.15</v>
      </c>
      <c r="K2571" s="101" t="s">
        <v>2941</v>
      </c>
      <c r="L2571" s="102">
        <v>23.0</v>
      </c>
      <c r="M2571" s="13"/>
    </row>
    <row r="2572">
      <c r="A2572" s="101" t="s">
        <v>5117</v>
      </c>
      <c r="B2572" s="101" t="s">
        <v>5118</v>
      </c>
      <c r="D2572" s="13"/>
      <c r="E2572" s="13"/>
      <c r="F2572" s="13"/>
      <c r="G2572" s="102">
        <v>1.0</v>
      </c>
      <c r="H2572" s="101" t="s">
        <v>2940</v>
      </c>
      <c r="I2572" s="102">
        <v>5.93</v>
      </c>
      <c r="J2572" s="102">
        <v>7.3</v>
      </c>
      <c r="K2572" s="101" t="s">
        <v>2941</v>
      </c>
      <c r="L2572" s="102">
        <v>23.0</v>
      </c>
      <c r="M2572" s="13"/>
    </row>
    <row r="2573">
      <c r="A2573" s="101" t="s">
        <v>5117</v>
      </c>
      <c r="B2573" s="101" t="s">
        <v>5118</v>
      </c>
      <c r="D2573" s="13"/>
      <c r="E2573" s="13"/>
      <c r="F2573" s="13"/>
      <c r="G2573" s="102">
        <v>2.0</v>
      </c>
      <c r="H2573" s="101" t="s">
        <v>2942</v>
      </c>
      <c r="I2573" s="102">
        <v>4.8</v>
      </c>
      <c r="J2573" s="102">
        <v>5.9</v>
      </c>
      <c r="K2573" s="101" t="s">
        <v>2941</v>
      </c>
      <c r="L2573" s="102">
        <v>23.0</v>
      </c>
      <c r="M2573" s="13"/>
    </row>
    <row r="2574">
      <c r="A2574" s="101" t="s">
        <v>5119</v>
      </c>
      <c r="B2574" s="101" t="s">
        <v>5120</v>
      </c>
      <c r="D2574" s="13"/>
      <c r="E2574" s="13"/>
      <c r="F2574" s="13"/>
      <c r="G2574" s="102">
        <v>1.0</v>
      </c>
      <c r="H2574" s="101" t="s">
        <v>2940</v>
      </c>
      <c r="I2574" s="102">
        <v>5.12</v>
      </c>
      <c r="J2574" s="102">
        <v>6.3</v>
      </c>
      <c r="K2574" s="101" t="s">
        <v>2941</v>
      </c>
      <c r="L2574" s="102">
        <v>23.0</v>
      </c>
      <c r="M2574" s="13"/>
    </row>
    <row r="2575">
      <c r="A2575" s="101" t="s">
        <v>5119</v>
      </c>
      <c r="B2575" s="101" t="s">
        <v>5120</v>
      </c>
      <c r="D2575" s="13"/>
      <c r="E2575" s="13"/>
      <c r="F2575" s="13"/>
      <c r="G2575" s="102">
        <v>2.0</v>
      </c>
      <c r="H2575" s="101" t="s">
        <v>2942</v>
      </c>
      <c r="I2575" s="102">
        <v>4.1</v>
      </c>
      <c r="J2575" s="102">
        <v>5.04</v>
      </c>
      <c r="K2575" s="101" t="s">
        <v>2941</v>
      </c>
      <c r="L2575" s="102">
        <v>23.0</v>
      </c>
      <c r="M2575" s="13"/>
    </row>
    <row r="2576">
      <c r="A2576" s="101" t="s">
        <v>5121</v>
      </c>
      <c r="B2576" s="101">
        <v>10.0</v>
      </c>
      <c r="C2576" s="13"/>
      <c r="D2576" s="13"/>
      <c r="E2576" s="13"/>
      <c r="F2576" s="13"/>
      <c r="G2576" s="102">
        <v>1.0</v>
      </c>
      <c r="H2576" s="101" t="s">
        <v>2940</v>
      </c>
      <c r="I2576" s="102">
        <v>2.44</v>
      </c>
      <c r="J2576" s="102">
        <v>3.0</v>
      </c>
      <c r="K2576" s="101" t="s">
        <v>2941</v>
      </c>
      <c r="L2576" s="102">
        <v>23.0</v>
      </c>
      <c r="M2576" s="13"/>
    </row>
    <row r="2577">
      <c r="A2577" s="101" t="s">
        <v>5121</v>
      </c>
      <c r="B2577" s="101">
        <v>10.0</v>
      </c>
      <c r="C2577" s="13"/>
      <c r="D2577" s="13"/>
      <c r="E2577" s="13"/>
      <c r="F2577" s="13"/>
      <c r="G2577" s="102">
        <v>2.0</v>
      </c>
      <c r="H2577" s="101" t="s">
        <v>2942</v>
      </c>
      <c r="I2577" s="102">
        <v>2.0</v>
      </c>
      <c r="J2577" s="102">
        <v>2.46</v>
      </c>
      <c r="K2577" s="101" t="s">
        <v>2941</v>
      </c>
      <c r="L2577" s="102">
        <v>23.0</v>
      </c>
      <c r="M2577" s="13"/>
    </row>
    <row r="2578">
      <c r="A2578" s="101" t="s">
        <v>5122</v>
      </c>
      <c r="B2578" s="101">
        <v>1384.0</v>
      </c>
      <c r="C2578" s="13"/>
      <c r="D2578" s="13"/>
      <c r="E2578" s="13"/>
      <c r="F2578" s="13"/>
      <c r="G2578" s="102">
        <v>1.0</v>
      </c>
      <c r="H2578" s="101" t="s">
        <v>2940</v>
      </c>
      <c r="I2578" s="102">
        <v>2.44</v>
      </c>
      <c r="J2578" s="102">
        <v>3.0</v>
      </c>
      <c r="K2578" s="101" t="s">
        <v>2941</v>
      </c>
      <c r="L2578" s="102">
        <v>23.0</v>
      </c>
      <c r="M2578" s="13"/>
    </row>
    <row r="2579">
      <c r="A2579" s="101" t="s">
        <v>5122</v>
      </c>
      <c r="B2579" s="101">
        <v>1384.0</v>
      </c>
      <c r="C2579" s="13"/>
      <c r="D2579" s="13"/>
      <c r="E2579" s="13"/>
      <c r="F2579" s="13"/>
      <c r="G2579" s="102">
        <v>2.0</v>
      </c>
      <c r="H2579" s="101" t="s">
        <v>2942</v>
      </c>
      <c r="I2579" s="102">
        <v>2.0</v>
      </c>
      <c r="J2579" s="102">
        <v>2.46</v>
      </c>
      <c r="K2579" s="101" t="s">
        <v>2941</v>
      </c>
      <c r="L2579" s="102">
        <v>23.0</v>
      </c>
      <c r="M2579" s="13"/>
    </row>
    <row r="2580">
      <c r="A2580" s="101" t="s">
        <v>5123</v>
      </c>
      <c r="B2580" s="101">
        <v>24199.0</v>
      </c>
      <c r="C2580" s="13"/>
      <c r="D2580" s="13"/>
      <c r="E2580" s="13"/>
      <c r="F2580" s="13"/>
      <c r="G2580" s="102">
        <v>1.0</v>
      </c>
      <c r="H2580" s="101" t="s">
        <v>2940</v>
      </c>
      <c r="I2580" s="102">
        <v>8.9</v>
      </c>
      <c r="J2580" s="102">
        <v>10.95</v>
      </c>
      <c r="K2580" s="101" t="s">
        <v>2941</v>
      </c>
      <c r="L2580" s="102">
        <v>23.0</v>
      </c>
      <c r="M2580" s="13"/>
    </row>
    <row r="2581">
      <c r="A2581" s="101" t="s">
        <v>5123</v>
      </c>
      <c r="B2581" s="101">
        <v>24199.0</v>
      </c>
      <c r="C2581" s="13"/>
      <c r="D2581" s="13"/>
      <c r="E2581" s="13"/>
      <c r="F2581" s="13"/>
      <c r="G2581" s="102">
        <v>2.0</v>
      </c>
      <c r="H2581" s="101" t="s">
        <v>2942</v>
      </c>
      <c r="I2581" s="102">
        <v>8.9</v>
      </c>
      <c r="J2581" s="102">
        <v>10.95</v>
      </c>
      <c r="K2581" s="101" t="s">
        <v>2941</v>
      </c>
      <c r="L2581" s="102">
        <v>23.0</v>
      </c>
      <c r="M2581" s="13"/>
    </row>
    <row r="2582">
      <c r="A2582" s="101" t="s">
        <v>5124</v>
      </c>
      <c r="B2582" s="101">
        <v>1445.0</v>
      </c>
      <c r="C2582" s="13"/>
      <c r="D2582" s="13"/>
      <c r="E2582" s="13"/>
      <c r="F2582" s="13"/>
      <c r="G2582" s="102">
        <v>1.0</v>
      </c>
      <c r="H2582" s="101" t="s">
        <v>2940</v>
      </c>
      <c r="I2582" s="102">
        <v>30.41</v>
      </c>
      <c r="J2582" s="102">
        <v>37.4</v>
      </c>
      <c r="K2582" s="101" t="s">
        <v>2941</v>
      </c>
      <c r="L2582" s="102">
        <v>23.0</v>
      </c>
      <c r="M2582" s="13"/>
    </row>
    <row r="2583">
      <c r="A2583" s="101" t="s">
        <v>5124</v>
      </c>
      <c r="B2583" s="101">
        <v>1445.0</v>
      </c>
      <c r="C2583" s="13"/>
      <c r="D2583" s="13"/>
      <c r="E2583" s="13"/>
      <c r="F2583" s="13"/>
      <c r="G2583" s="102">
        <v>2.0</v>
      </c>
      <c r="H2583" s="101" t="s">
        <v>2942</v>
      </c>
      <c r="I2583" s="102">
        <v>24.3</v>
      </c>
      <c r="J2583" s="102">
        <v>29.89</v>
      </c>
      <c r="K2583" s="101" t="s">
        <v>2941</v>
      </c>
      <c r="L2583" s="102">
        <v>23.0</v>
      </c>
      <c r="M2583" s="13"/>
    </row>
    <row r="2584">
      <c r="A2584" s="101" t="s">
        <v>5125</v>
      </c>
      <c r="B2584" s="101">
        <v>301.0</v>
      </c>
      <c r="C2584" s="13"/>
      <c r="D2584" s="13"/>
      <c r="E2584" s="13"/>
      <c r="F2584" s="13"/>
      <c r="G2584" s="102">
        <v>1.0</v>
      </c>
      <c r="H2584" s="101" t="s">
        <v>2940</v>
      </c>
      <c r="I2584" s="102">
        <v>2.68</v>
      </c>
      <c r="J2584" s="102">
        <v>3.3</v>
      </c>
      <c r="K2584" s="101" t="s">
        <v>2941</v>
      </c>
      <c r="L2584" s="102">
        <v>23.0</v>
      </c>
      <c r="M2584" s="13"/>
    </row>
    <row r="2585">
      <c r="A2585" s="101" t="s">
        <v>5125</v>
      </c>
      <c r="B2585" s="101">
        <v>301.0</v>
      </c>
      <c r="C2585" s="13"/>
      <c r="D2585" s="13"/>
      <c r="E2585" s="13"/>
      <c r="F2585" s="13"/>
      <c r="G2585" s="102">
        <v>2.0</v>
      </c>
      <c r="H2585" s="101" t="s">
        <v>2942</v>
      </c>
      <c r="I2585" s="102">
        <v>2.7</v>
      </c>
      <c r="J2585" s="102">
        <v>3.32</v>
      </c>
      <c r="K2585" s="101" t="s">
        <v>2941</v>
      </c>
      <c r="L2585" s="102">
        <v>23.0</v>
      </c>
      <c r="M2585" s="13"/>
    </row>
    <row r="2586">
      <c r="A2586" s="101" t="s">
        <v>5126</v>
      </c>
      <c r="B2586" s="101">
        <v>347.0</v>
      </c>
      <c r="C2586" s="13"/>
      <c r="D2586" s="13"/>
      <c r="E2586" s="13"/>
      <c r="F2586" s="13"/>
      <c r="G2586" s="102">
        <v>1.0</v>
      </c>
      <c r="H2586" s="101" t="s">
        <v>2940</v>
      </c>
      <c r="I2586" s="102">
        <v>2.68</v>
      </c>
      <c r="J2586" s="102">
        <v>3.3</v>
      </c>
      <c r="K2586" s="101" t="s">
        <v>2941</v>
      </c>
      <c r="L2586" s="102">
        <v>23.0</v>
      </c>
      <c r="M2586" s="13"/>
    </row>
    <row r="2587">
      <c r="A2587" s="101" t="s">
        <v>5126</v>
      </c>
      <c r="B2587" s="101">
        <v>347.0</v>
      </c>
      <c r="C2587" s="13"/>
      <c r="D2587" s="13"/>
      <c r="E2587" s="13"/>
      <c r="F2587" s="13"/>
      <c r="G2587" s="102">
        <v>2.0</v>
      </c>
      <c r="H2587" s="101" t="s">
        <v>2942</v>
      </c>
      <c r="I2587" s="102">
        <v>2.7</v>
      </c>
      <c r="J2587" s="102">
        <v>3.32</v>
      </c>
      <c r="K2587" s="101" t="s">
        <v>2941</v>
      </c>
      <c r="L2587" s="102">
        <v>23.0</v>
      </c>
      <c r="M2587" s="13"/>
    </row>
    <row r="2588">
      <c r="A2588" s="101" t="s">
        <v>5127</v>
      </c>
      <c r="B2588" s="101" t="s">
        <v>5128</v>
      </c>
      <c r="D2588" s="13"/>
      <c r="E2588" s="13"/>
      <c r="F2588" s="13"/>
      <c r="G2588" s="102">
        <v>1.0</v>
      </c>
      <c r="H2588" s="101" t="s">
        <v>2940</v>
      </c>
      <c r="I2588" s="102">
        <v>8.13</v>
      </c>
      <c r="J2588" s="102">
        <v>10.0</v>
      </c>
      <c r="K2588" s="101" t="s">
        <v>2941</v>
      </c>
      <c r="L2588" s="102">
        <v>23.0</v>
      </c>
      <c r="M2588" s="13"/>
    </row>
    <row r="2589">
      <c r="A2589" s="101" t="s">
        <v>5127</v>
      </c>
      <c r="B2589" s="101" t="s">
        <v>5128</v>
      </c>
      <c r="D2589" s="13"/>
      <c r="E2589" s="13"/>
      <c r="F2589" s="13"/>
      <c r="G2589" s="102">
        <v>2.0</v>
      </c>
      <c r="H2589" s="101" t="s">
        <v>2942</v>
      </c>
      <c r="I2589" s="102">
        <v>6.5</v>
      </c>
      <c r="J2589" s="102">
        <v>8.0</v>
      </c>
      <c r="K2589" s="101" t="s">
        <v>2941</v>
      </c>
      <c r="L2589" s="102">
        <v>23.0</v>
      </c>
      <c r="M2589" s="13"/>
    </row>
    <row r="2590">
      <c r="A2590" s="101" t="s">
        <v>5129</v>
      </c>
      <c r="B2590" s="101" t="s">
        <v>5130</v>
      </c>
      <c r="D2590" s="13"/>
      <c r="E2590" s="13"/>
      <c r="F2590" s="13"/>
      <c r="G2590" s="102">
        <v>1.0</v>
      </c>
      <c r="H2590" s="101" t="s">
        <v>2940</v>
      </c>
      <c r="I2590" s="102">
        <v>8.13</v>
      </c>
      <c r="J2590" s="102">
        <v>10.0</v>
      </c>
      <c r="K2590" s="101" t="s">
        <v>2941</v>
      </c>
      <c r="L2590" s="102">
        <v>23.0</v>
      </c>
      <c r="M2590" s="13"/>
    </row>
    <row r="2591">
      <c r="A2591" s="101" t="s">
        <v>5129</v>
      </c>
      <c r="B2591" s="101" t="s">
        <v>5130</v>
      </c>
      <c r="D2591" s="13"/>
      <c r="E2591" s="13"/>
      <c r="F2591" s="13"/>
      <c r="G2591" s="102">
        <v>2.0</v>
      </c>
      <c r="H2591" s="101" t="s">
        <v>2942</v>
      </c>
      <c r="I2591" s="102">
        <v>6.5</v>
      </c>
      <c r="J2591" s="102">
        <v>8.0</v>
      </c>
      <c r="K2591" s="101" t="s">
        <v>2941</v>
      </c>
      <c r="L2591" s="102">
        <v>23.0</v>
      </c>
      <c r="M2591" s="13"/>
    </row>
    <row r="2592">
      <c r="A2592" s="101" t="s">
        <v>5131</v>
      </c>
      <c r="B2592" s="101">
        <v>1712.0</v>
      </c>
      <c r="C2592" s="13"/>
      <c r="D2592" s="13"/>
      <c r="E2592" s="13"/>
      <c r="F2592" s="13"/>
      <c r="G2592" s="102">
        <v>1.0</v>
      </c>
      <c r="H2592" s="101" t="s">
        <v>2940</v>
      </c>
      <c r="I2592" s="102">
        <v>11.22</v>
      </c>
      <c r="J2592" s="102">
        <v>13.8</v>
      </c>
      <c r="K2592" s="101" t="s">
        <v>2941</v>
      </c>
      <c r="L2592" s="102">
        <v>23.0</v>
      </c>
      <c r="M2592" s="13"/>
    </row>
    <row r="2593">
      <c r="A2593" s="101" t="s">
        <v>5131</v>
      </c>
      <c r="B2593" s="101">
        <v>1712.0</v>
      </c>
      <c r="C2593" s="13"/>
      <c r="D2593" s="13"/>
      <c r="E2593" s="13"/>
      <c r="F2593" s="13"/>
      <c r="G2593" s="102">
        <v>2.0</v>
      </c>
      <c r="H2593" s="101" t="s">
        <v>2942</v>
      </c>
      <c r="I2593" s="102">
        <v>11.2</v>
      </c>
      <c r="J2593" s="102">
        <v>13.78</v>
      </c>
      <c r="K2593" s="101" t="s">
        <v>2941</v>
      </c>
      <c r="L2593" s="102">
        <v>23.0</v>
      </c>
      <c r="M2593" s="13"/>
    </row>
    <row r="2594">
      <c r="A2594" s="101" t="s">
        <v>5132</v>
      </c>
      <c r="B2594" s="101">
        <v>1225.0</v>
      </c>
      <c r="C2594" s="13"/>
      <c r="D2594" s="13"/>
      <c r="E2594" s="13"/>
      <c r="F2594" s="13"/>
      <c r="G2594" s="102">
        <v>1.0</v>
      </c>
      <c r="H2594" s="101" t="s">
        <v>2940</v>
      </c>
      <c r="I2594" s="102">
        <v>9.02</v>
      </c>
      <c r="J2594" s="102">
        <v>11.09</v>
      </c>
      <c r="K2594" s="101" t="s">
        <v>2941</v>
      </c>
      <c r="L2594" s="102">
        <v>23.0</v>
      </c>
      <c r="M2594" s="13"/>
    </row>
    <row r="2595">
      <c r="A2595" s="101" t="s">
        <v>5132</v>
      </c>
      <c r="B2595" s="101">
        <v>1225.0</v>
      </c>
      <c r="C2595" s="13"/>
      <c r="D2595" s="13"/>
      <c r="E2595" s="13"/>
      <c r="F2595" s="13"/>
      <c r="G2595" s="102">
        <v>2.0</v>
      </c>
      <c r="H2595" s="101" t="s">
        <v>2942</v>
      </c>
      <c r="I2595" s="102">
        <v>9.0</v>
      </c>
      <c r="J2595" s="102">
        <v>11.07</v>
      </c>
      <c r="K2595" s="101" t="s">
        <v>2941</v>
      </c>
      <c r="L2595" s="102">
        <v>23.0</v>
      </c>
      <c r="M2595" s="13"/>
    </row>
    <row r="2596">
      <c r="A2596" s="101" t="s">
        <v>5133</v>
      </c>
      <c r="B2596" s="101">
        <v>24012.0</v>
      </c>
      <c r="C2596" s="13"/>
      <c r="D2596" s="13"/>
      <c r="E2596" s="13"/>
      <c r="F2596" s="13"/>
      <c r="G2596" s="102">
        <v>1.0</v>
      </c>
      <c r="H2596" s="101" t="s">
        <v>2940</v>
      </c>
      <c r="I2596" s="102">
        <v>5.12</v>
      </c>
      <c r="J2596" s="102">
        <v>6.3</v>
      </c>
      <c r="K2596" s="101" t="s">
        <v>2941</v>
      </c>
      <c r="L2596" s="102">
        <v>23.0</v>
      </c>
      <c r="M2596" s="13"/>
    </row>
    <row r="2597">
      <c r="A2597" s="101" t="s">
        <v>5133</v>
      </c>
      <c r="B2597" s="101">
        <v>24012.0</v>
      </c>
      <c r="C2597" s="13"/>
      <c r="D2597" s="13"/>
      <c r="E2597" s="13"/>
      <c r="F2597" s="13"/>
      <c r="G2597" s="102">
        <v>2.0</v>
      </c>
      <c r="H2597" s="101" t="s">
        <v>2942</v>
      </c>
      <c r="I2597" s="102">
        <v>4.1</v>
      </c>
      <c r="J2597" s="102">
        <v>5.04</v>
      </c>
      <c r="K2597" s="101" t="s">
        <v>2941</v>
      </c>
      <c r="L2597" s="102">
        <v>23.0</v>
      </c>
      <c r="M2597" s="13"/>
    </row>
    <row r="2598">
      <c r="A2598" s="101" t="s">
        <v>5134</v>
      </c>
      <c r="B2598" s="101">
        <v>24013.0</v>
      </c>
      <c r="C2598" s="13"/>
      <c r="D2598" s="13"/>
      <c r="E2598" s="13"/>
      <c r="F2598" s="13"/>
      <c r="G2598" s="102">
        <v>1.0</v>
      </c>
      <c r="H2598" s="101" t="s">
        <v>2940</v>
      </c>
      <c r="I2598" s="102">
        <v>5.12</v>
      </c>
      <c r="J2598" s="102">
        <v>6.3</v>
      </c>
      <c r="K2598" s="101" t="s">
        <v>2941</v>
      </c>
      <c r="L2598" s="102">
        <v>23.0</v>
      </c>
      <c r="M2598" s="13"/>
    </row>
    <row r="2599">
      <c r="A2599" s="101" t="s">
        <v>5134</v>
      </c>
      <c r="B2599" s="101">
        <v>24013.0</v>
      </c>
      <c r="C2599" s="13"/>
      <c r="D2599" s="13"/>
      <c r="E2599" s="13"/>
      <c r="F2599" s="13"/>
      <c r="G2599" s="102">
        <v>2.0</v>
      </c>
      <c r="H2599" s="101" t="s">
        <v>2942</v>
      </c>
      <c r="I2599" s="102">
        <v>4.1</v>
      </c>
      <c r="J2599" s="102">
        <v>5.04</v>
      </c>
      <c r="K2599" s="101" t="s">
        <v>2941</v>
      </c>
      <c r="L2599" s="102">
        <v>23.0</v>
      </c>
      <c r="M2599" s="13"/>
    </row>
    <row r="2600">
      <c r="A2600" s="101" t="s">
        <v>5135</v>
      </c>
      <c r="B2600" s="101">
        <v>24017.0</v>
      </c>
      <c r="C2600" s="13"/>
      <c r="D2600" s="13"/>
      <c r="E2600" s="13"/>
      <c r="F2600" s="13"/>
      <c r="G2600" s="102">
        <v>1.0</v>
      </c>
      <c r="H2600" s="101" t="s">
        <v>2940</v>
      </c>
      <c r="I2600" s="102">
        <v>5.12</v>
      </c>
      <c r="J2600" s="102">
        <v>6.3</v>
      </c>
      <c r="K2600" s="101" t="s">
        <v>2941</v>
      </c>
      <c r="L2600" s="102">
        <v>23.0</v>
      </c>
      <c r="M2600" s="13"/>
    </row>
    <row r="2601">
      <c r="A2601" s="101" t="s">
        <v>5135</v>
      </c>
      <c r="B2601" s="101">
        <v>24017.0</v>
      </c>
      <c r="C2601" s="13"/>
      <c r="D2601" s="13"/>
      <c r="E2601" s="13"/>
      <c r="F2601" s="13"/>
      <c r="G2601" s="102">
        <v>2.0</v>
      </c>
      <c r="H2601" s="101" t="s">
        <v>2942</v>
      </c>
      <c r="I2601" s="102">
        <v>4.1</v>
      </c>
      <c r="J2601" s="102">
        <v>5.04</v>
      </c>
      <c r="K2601" s="101" t="s">
        <v>2941</v>
      </c>
      <c r="L2601" s="102">
        <v>23.0</v>
      </c>
      <c r="M2601" s="13"/>
    </row>
    <row r="2602">
      <c r="A2602" s="101" t="s">
        <v>5136</v>
      </c>
      <c r="B2602" s="101">
        <v>24016.0</v>
      </c>
      <c r="C2602" s="13"/>
      <c r="D2602" s="13"/>
      <c r="E2602" s="13"/>
      <c r="F2602" s="13"/>
      <c r="G2602" s="102">
        <v>1.0</v>
      </c>
      <c r="H2602" s="101" t="s">
        <v>2940</v>
      </c>
      <c r="I2602" s="102">
        <v>5.12</v>
      </c>
      <c r="J2602" s="102">
        <v>6.3</v>
      </c>
      <c r="K2602" s="101" t="s">
        <v>2941</v>
      </c>
      <c r="L2602" s="102">
        <v>23.0</v>
      </c>
      <c r="M2602" s="13"/>
    </row>
    <row r="2603">
      <c r="A2603" s="101" t="s">
        <v>5136</v>
      </c>
      <c r="B2603" s="101">
        <v>24016.0</v>
      </c>
      <c r="C2603" s="13"/>
      <c r="D2603" s="13"/>
      <c r="E2603" s="13"/>
      <c r="F2603" s="13"/>
      <c r="G2603" s="102">
        <v>2.0</v>
      </c>
      <c r="H2603" s="101" t="s">
        <v>2942</v>
      </c>
      <c r="I2603" s="102">
        <v>4.1</v>
      </c>
      <c r="J2603" s="102">
        <v>5.04</v>
      </c>
      <c r="K2603" s="101" t="s">
        <v>2941</v>
      </c>
      <c r="L2603" s="102">
        <v>23.0</v>
      </c>
      <c r="M2603" s="13"/>
    </row>
    <row r="2604">
      <c r="A2604" s="101" t="s">
        <v>5137</v>
      </c>
      <c r="B2604" s="101">
        <v>24011.0</v>
      </c>
      <c r="C2604" s="13"/>
      <c r="D2604" s="13"/>
      <c r="E2604" s="13"/>
      <c r="F2604" s="13"/>
      <c r="G2604" s="102">
        <v>1.0</v>
      </c>
      <c r="H2604" s="101" t="s">
        <v>2940</v>
      </c>
      <c r="I2604" s="102">
        <v>5.12</v>
      </c>
      <c r="J2604" s="102">
        <v>6.3</v>
      </c>
      <c r="K2604" s="101" t="s">
        <v>2941</v>
      </c>
      <c r="L2604" s="102">
        <v>23.0</v>
      </c>
      <c r="M2604" s="13"/>
    </row>
    <row r="2605">
      <c r="A2605" s="101" t="s">
        <v>5137</v>
      </c>
      <c r="B2605" s="101">
        <v>24011.0</v>
      </c>
      <c r="C2605" s="13"/>
      <c r="D2605" s="13"/>
      <c r="E2605" s="13"/>
      <c r="F2605" s="13"/>
      <c r="G2605" s="102">
        <v>2.0</v>
      </c>
      <c r="H2605" s="101" t="s">
        <v>2942</v>
      </c>
      <c r="I2605" s="102">
        <v>4.1</v>
      </c>
      <c r="J2605" s="102">
        <v>5.04</v>
      </c>
      <c r="K2605" s="101" t="s">
        <v>2941</v>
      </c>
      <c r="L2605" s="102">
        <v>23.0</v>
      </c>
      <c r="M2605" s="13"/>
    </row>
    <row r="2606">
      <c r="A2606" s="101" t="s">
        <v>5138</v>
      </c>
      <c r="B2606" s="101" t="s">
        <v>1899</v>
      </c>
      <c r="C2606" s="13"/>
      <c r="D2606" s="13"/>
      <c r="E2606" s="13"/>
      <c r="F2606" s="13"/>
      <c r="G2606" s="102">
        <v>1.0</v>
      </c>
      <c r="H2606" s="101" t="s">
        <v>2940</v>
      </c>
      <c r="I2606" s="102">
        <v>3.33</v>
      </c>
      <c r="J2606" s="102">
        <v>4.1</v>
      </c>
      <c r="K2606" s="101" t="s">
        <v>2941</v>
      </c>
      <c r="L2606" s="102">
        <v>23.0</v>
      </c>
      <c r="M2606" s="13"/>
    </row>
    <row r="2607">
      <c r="A2607" s="101" t="s">
        <v>5138</v>
      </c>
      <c r="B2607" s="101" t="s">
        <v>1899</v>
      </c>
      <c r="C2607" s="13"/>
      <c r="D2607" s="13"/>
      <c r="E2607" s="13"/>
      <c r="F2607" s="13"/>
      <c r="G2607" s="102">
        <v>2.0</v>
      </c>
      <c r="H2607" s="101" t="s">
        <v>2942</v>
      </c>
      <c r="I2607" s="102">
        <v>2.7</v>
      </c>
      <c r="J2607" s="102">
        <v>3.32</v>
      </c>
      <c r="K2607" s="101" t="s">
        <v>2941</v>
      </c>
      <c r="L2607" s="102">
        <v>23.0</v>
      </c>
      <c r="M2607" s="13"/>
    </row>
    <row r="2608">
      <c r="A2608" s="101" t="s">
        <v>5139</v>
      </c>
      <c r="B2608" s="101">
        <v>24152.0</v>
      </c>
      <c r="C2608" s="13"/>
      <c r="D2608" s="13"/>
      <c r="E2608" s="13"/>
      <c r="F2608" s="13"/>
      <c r="G2608" s="102">
        <v>1.0</v>
      </c>
      <c r="H2608" s="101" t="s">
        <v>2940</v>
      </c>
      <c r="I2608" s="102">
        <v>12.6</v>
      </c>
      <c r="J2608" s="102">
        <v>15.5</v>
      </c>
      <c r="K2608" s="101" t="s">
        <v>2941</v>
      </c>
      <c r="L2608" s="102">
        <v>23.0</v>
      </c>
      <c r="M2608" s="13"/>
    </row>
    <row r="2609">
      <c r="A2609" s="101" t="s">
        <v>5139</v>
      </c>
      <c r="B2609" s="101">
        <v>24152.0</v>
      </c>
      <c r="C2609" s="13"/>
      <c r="D2609" s="13"/>
      <c r="E2609" s="13"/>
      <c r="F2609" s="13"/>
      <c r="G2609" s="102">
        <v>2.0</v>
      </c>
      <c r="H2609" s="101" t="s">
        <v>2942</v>
      </c>
      <c r="I2609" s="102">
        <v>10.1</v>
      </c>
      <c r="J2609" s="102">
        <v>12.42</v>
      </c>
      <c r="K2609" s="101" t="s">
        <v>2941</v>
      </c>
      <c r="L2609" s="102">
        <v>23.0</v>
      </c>
      <c r="M2609" s="13"/>
    </row>
    <row r="2610">
      <c r="A2610" s="101" t="s">
        <v>5140</v>
      </c>
      <c r="B2610" s="101">
        <v>24153.0</v>
      </c>
      <c r="C2610" s="13"/>
      <c r="D2610" s="13"/>
      <c r="E2610" s="13"/>
      <c r="F2610" s="13"/>
      <c r="G2610" s="102">
        <v>1.0</v>
      </c>
      <c r="H2610" s="101" t="s">
        <v>2940</v>
      </c>
      <c r="I2610" s="102">
        <v>12.03</v>
      </c>
      <c r="J2610" s="102">
        <v>14.8</v>
      </c>
      <c r="K2610" s="101" t="s">
        <v>2941</v>
      </c>
      <c r="L2610" s="102">
        <v>23.0</v>
      </c>
      <c r="M2610" s="13"/>
    </row>
    <row r="2611">
      <c r="A2611" s="101" t="s">
        <v>5140</v>
      </c>
      <c r="B2611" s="101">
        <v>24153.0</v>
      </c>
      <c r="C2611" s="13"/>
      <c r="D2611" s="13"/>
      <c r="E2611" s="13"/>
      <c r="F2611" s="13"/>
      <c r="G2611" s="102">
        <v>2.0</v>
      </c>
      <c r="H2611" s="101" t="s">
        <v>2942</v>
      </c>
      <c r="I2611" s="102">
        <v>9.6</v>
      </c>
      <c r="J2611" s="102">
        <v>11.81</v>
      </c>
      <c r="K2611" s="101" t="s">
        <v>2941</v>
      </c>
      <c r="L2611" s="102">
        <v>23.0</v>
      </c>
      <c r="M2611" s="13"/>
    </row>
    <row r="2612">
      <c r="A2612" s="101" t="s">
        <v>5141</v>
      </c>
      <c r="B2612" s="101">
        <v>24173.0</v>
      </c>
      <c r="C2612" s="13"/>
      <c r="D2612" s="13"/>
      <c r="E2612" s="13"/>
      <c r="F2612" s="13"/>
      <c r="G2612" s="102">
        <v>1.0</v>
      </c>
      <c r="H2612" s="101" t="s">
        <v>2940</v>
      </c>
      <c r="I2612" s="102">
        <v>5.61</v>
      </c>
      <c r="J2612" s="102">
        <v>6.9</v>
      </c>
      <c r="K2612" s="101" t="s">
        <v>2941</v>
      </c>
      <c r="L2612" s="102">
        <v>23.0</v>
      </c>
      <c r="M2612" s="13"/>
    </row>
    <row r="2613">
      <c r="A2613" s="101" t="s">
        <v>5141</v>
      </c>
      <c r="B2613" s="101">
        <v>24173.0</v>
      </c>
      <c r="C2613" s="13"/>
      <c r="D2613" s="13"/>
      <c r="E2613" s="13"/>
      <c r="F2613" s="13"/>
      <c r="G2613" s="102">
        <v>2.0</v>
      </c>
      <c r="H2613" s="101" t="s">
        <v>2942</v>
      </c>
      <c r="I2613" s="102">
        <v>4.5</v>
      </c>
      <c r="J2613" s="102">
        <v>5.54</v>
      </c>
      <c r="K2613" s="101" t="s">
        <v>2941</v>
      </c>
      <c r="L2613" s="102">
        <v>23.0</v>
      </c>
      <c r="M2613" s="13"/>
    </row>
    <row r="2614">
      <c r="A2614" s="101" t="s">
        <v>5142</v>
      </c>
      <c r="B2614" s="101">
        <v>24177.0</v>
      </c>
      <c r="C2614" s="13"/>
      <c r="D2614" s="13"/>
      <c r="E2614" s="13"/>
      <c r="F2614" s="13"/>
      <c r="G2614" s="102">
        <v>1.0</v>
      </c>
      <c r="H2614" s="101" t="s">
        <v>2940</v>
      </c>
      <c r="I2614" s="102">
        <v>7.07</v>
      </c>
      <c r="J2614" s="102">
        <v>8.7</v>
      </c>
      <c r="K2614" s="101" t="s">
        <v>2941</v>
      </c>
      <c r="L2614" s="102">
        <v>23.0</v>
      </c>
      <c r="M2614" s="13"/>
    </row>
    <row r="2615">
      <c r="A2615" s="101" t="s">
        <v>5142</v>
      </c>
      <c r="B2615" s="101">
        <v>24177.0</v>
      </c>
      <c r="C2615" s="13"/>
      <c r="D2615" s="13"/>
      <c r="E2615" s="13"/>
      <c r="F2615" s="13"/>
      <c r="G2615" s="102">
        <v>2.0</v>
      </c>
      <c r="H2615" s="101" t="s">
        <v>2942</v>
      </c>
      <c r="I2615" s="102">
        <v>5.7</v>
      </c>
      <c r="J2615" s="102">
        <v>7.01</v>
      </c>
      <c r="K2615" s="101" t="s">
        <v>2941</v>
      </c>
      <c r="L2615" s="102">
        <v>23.0</v>
      </c>
      <c r="M2615" s="13"/>
    </row>
    <row r="2616">
      <c r="A2616" s="101" t="s">
        <v>5143</v>
      </c>
      <c r="B2616" s="101">
        <v>24172.0</v>
      </c>
      <c r="C2616" s="13"/>
      <c r="D2616" s="13"/>
      <c r="E2616" s="13"/>
      <c r="F2616" s="13"/>
      <c r="G2616" s="102">
        <v>1.0</v>
      </c>
      <c r="H2616" s="101" t="s">
        <v>2940</v>
      </c>
      <c r="I2616" s="102">
        <v>5.61</v>
      </c>
      <c r="J2616" s="102">
        <v>6.9</v>
      </c>
      <c r="K2616" s="101" t="s">
        <v>2941</v>
      </c>
      <c r="L2616" s="102">
        <v>23.0</v>
      </c>
      <c r="M2616" s="13"/>
    </row>
    <row r="2617">
      <c r="A2617" s="101" t="s">
        <v>5143</v>
      </c>
      <c r="B2617" s="101">
        <v>24172.0</v>
      </c>
      <c r="C2617" s="13"/>
      <c r="D2617" s="13"/>
      <c r="E2617" s="13"/>
      <c r="F2617" s="13"/>
      <c r="G2617" s="102">
        <v>2.0</v>
      </c>
      <c r="H2617" s="101" t="s">
        <v>2942</v>
      </c>
      <c r="I2617" s="102">
        <v>4.5</v>
      </c>
      <c r="J2617" s="102">
        <v>5.54</v>
      </c>
      <c r="K2617" s="101" t="s">
        <v>2941</v>
      </c>
      <c r="L2617" s="102">
        <v>23.0</v>
      </c>
      <c r="M2617" s="13"/>
    </row>
    <row r="2618">
      <c r="A2618" s="101" t="s">
        <v>5144</v>
      </c>
      <c r="B2618" s="101">
        <v>24176.0</v>
      </c>
      <c r="C2618" s="13"/>
      <c r="D2618" s="13"/>
      <c r="E2618" s="13"/>
      <c r="F2618" s="13"/>
      <c r="G2618" s="102">
        <v>1.0</v>
      </c>
      <c r="H2618" s="101" t="s">
        <v>2940</v>
      </c>
      <c r="I2618" s="102">
        <v>7.07</v>
      </c>
      <c r="J2618" s="102">
        <v>8.7</v>
      </c>
      <c r="K2618" s="101" t="s">
        <v>2941</v>
      </c>
      <c r="L2618" s="102">
        <v>23.0</v>
      </c>
      <c r="M2618" s="13"/>
    </row>
    <row r="2619">
      <c r="A2619" s="101" t="s">
        <v>5144</v>
      </c>
      <c r="B2619" s="101">
        <v>24176.0</v>
      </c>
      <c r="C2619" s="13"/>
      <c r="D2619" s="13"/>
      <c r="E2619" s="13"/>
      <c r="F2619" s="13"/>
      <c r="G2619" s="102">
        <v>2.0</v>
      </c>
      <c r="H2619" s="101" t="s">
        <v>2942</v>
      </c>
      <c r="I2619" s="102">
        <v>5.7</v>
      </c>
      <c r="J2619" s="102">
        <v>7.01</v>
      </c>
      <c r="K2619" s="101" t="s">
        <v>2941</v>
      </c>
      <c r="L2619" s="102">
        <v>23.0</v>
      </c>
      <c r="M2619" s="13"/>
    </row>
    <row r="2620">
      <c r="A2620" s="101" t="s">
        <v>5145</v>
      </c>
      <c r="B2620" s="101">
        <v>24175.0</v>
      </c>
      <c r="C2620" s="13"/>
      <c r="D2620" s="13"/>
      <c r="E2620" s="13"/>
      <c r="F2620" s="13"/>
      <c r="G2620" s="102">
        <v>1.0</v>
      </c>
      <c r="H2620" s="101" t="s">
        <v>2940</v>
      </c>
      <c r="I2620" s="102">
        <v>5.61</v>
      </c>
      <c r="J2620" s="102">
        <v>6.9</v>
      </c>
      <c r="K2620" s="101" t="s">
        <v>2941</v>
      </c>
      <c r="L2620" s="102">
        <v>23.0</v>
      </c>
      <c r="M2620" s="13"/>
    </row>
    <row r="2621">
      <c r="A2621" s="101" t="s">
        <v>5145</v>
      </c>
      <c r="B2621" s="101">
        <v>24175.0</v>
      </c>
      <c r="C2621" s="13"/>
      <c r="D2621" s="13"/>
      <c r="E2621" s="13"/>
      <c r="F2621" s="13"/>
      <c r="G2621" s="102">
        <v>2.0</v>
      </c>
      <c r="H2621" s="101" t="s">
        <v>2942</v>
      </c>
      <c r="I2621" s="102">
        <v>4.5</v>
      </c>
      <c r="J2621" s="102">
        <v>5.54</v>
      </c>
      <c r="K2621" s="101" t="s">
        <v>2941</v>
      </c>
      <c r="L2621" s="102">
        <v>23.0</v>
      </c>
      <c r="M2621" s="13"/>
    </row>
    <row r="2622">
      <c r="A2622" s="101" t="s">
        <v>5146</v>
      </c>
      <c r="B2622" s="101">
        <v>24179.0</v>
      </c>
      <c r="C2622" s="13"/>
      <c r="D2622" s="13"/>
      <c r="E2622" s="13"/>
      <c r="F2622" s="13"/>
      <c r="G2622" s="102">
        <v>1.0</v>
      </c>
      <c r="H2622" s="101" t="s">
        <v>2940</v>
      </c>
      <c r="I2622" s="102">
        <v>7.07</v>
      </c>
      <c r="J2622" s="102">
        <v>8.7</v>
      </c>
      <c r="K2622" s="101" t="s">
        <v>2941</v>
      </c>
      <c r="L2622" s="102">
        <v>23.0</v>
      </c>
      <c r="M2622" s="13"/>
    </row>
    <row r="2623">
      <c r="A2623" s="101" t="s">
        <v>5146</v>
      </c>
      <c r="B2623" s="101">
        <v>24179.0</v>
      </c>
      <c r="C2623" s="13"/>
      <c r="D2623" s="13"/>
      <c r="E2623" s="13"/>
      <c r="F2623" s="13"/>
      <c r="G2623" s="102">
        <v>2.0</v>
      </c>
      <c r="H2623" s="101" t="s">
        <v>2942</v>
      </c>
      <c r="I2623" s="102">
        <v>5.7</v>
      </c>
      <c r="J2623" s="102">
        <v>7.01</v>
      </c>
      <c r="K2623" s="101" t="s">
        <v>2941</v>
      </c>
      <c r="L2623" s="102">
        <v>23.0</v>
      </c>
      <c r="M2623" s="13"/>
    </row>
    <row r="2624">
      <c r="A2624" s="101" t="s">
        <v>5147</v>
      </c>
      <c r="B2624" s="101">
        <v>24174.0</v>
      </c>
      <c r="C2624" s="13"/>
      <c r="D2624" s="13"/>
      <c r="E2624" s="13"/>
      <c r="F2624" s="13"/>
      <c r="G2624" s="102">
        <v>1.0</v>
      </c>
      <c r="H2624" s="101" t="s">
        <v>2940</v>
      </c>
      <c r="I2624" s="102">
        <v>5.61</v>
      </c>
      <c r="J2624" s="102">
        <v>6.9</v>
      </c>
      <c r="K2624" s="101" t="s">
        <v>2941</v>
      </c>
      <c r="L2624" s="102">
        <v>23.0</v>
      </c>
      <c r="M2624" s="13"/>
    </row>
    <row r="2625">
      <c r="A2625" s="101" t="s">
        <v>5147</v>
      </c>
      <c r="B2625" s="101">
        <v>24174.0</v>
      </c>
      <c r="C2625" s="13"/>
      <c r="D2625" s="13"/>
      <c r="E2625" s="13"/>
      <c r="F2625" s="13"/>
      <c r="G2625" s="102">
        <v>2.0</v>
      </c>
      <c r="H2625" s="101" t="s">
        <v>2942</v>
      </c>
      <c r="I2625" s="102">
        <v>4.5</v>
      </c>
      <c r="J2625" s="102">
        <v>5.54</v>
      </c>
      <c r="K2625" s="101" t="s">
        <v>2941</v>
      </c>
      <c r="L2625" s="102">
        <v>23.0</v>
      </c>
      <c r="M2625" s="13"/>
    </row>
    <row r="2626">
      <c r="A2626" s="101" t="s">
        <v>5148</v>
      </c>
      <c r="B2626" s="101">
        <v>24178.0</v>
      </c>
      <c r="C2626" s="13"/>
      <c r="D2626" s="13"/>
      <c r="E2626" s="13"/>
      <c r="F2626" s="13"/>
      <c r="G2626" s="102">
        <v>1.0</v>
      </c>
      <c r="H2626" s="101" t="s">
        <v>2940</v>
      </c>
      <c r="I2626" s="102">
        <v>7.07</v>
      </c>
      <c r="J2626" s="102">
        <v>8.7</v>
      </c>
      <c r="K2626" s="101" t="s">
        <v>2941</v>
      </c>
      <c r="L2626" s="102">
        <v>23.0</v>
      </c>
      <c r="M2626" s="13"/>
    </row>
    <row r="2627">
      <c r="A2627" s="101" t="s">
        <v>5148</v>
      </c>
      <c r="B2627" s="101">
        <v>24178.0</v>
      </c>
      <c r="C2627" s="13"/>
      <c r="D2627" s="13"/>
      <c r="E2627" s="13"/>
      <c r="F2627" s="13"/>
      <c r="G2627" s="102">
        <v>2.0</v>
      </c>
      <c r="H2627" s="101" t="s">
        <v>2942</v>
      </c>
      <c r="I2627" s="102">
        <v>5.7</v>
      </c>
      <c r="J2627" s="102">
        <v>7.01</v>
      </c>
      <c r="K2627" s="101" t="s">
        <v>2941</v>
      </c>
      <c r="L2627" s="102">
        <v>23.0</v>
      </c>
      <c r="M2627" s="13"/>
    </row>
    <row r="2628">
      <c r="A2628" s="101" t="s">
        <v>5149</v>
      </c>
      <c r="B2628" s="101">
        <v>24115.0</v>
      </c>
      <c r="C2628" s="13"/>
      <c r="D2628" s="13"/>
      <c r="E2628" s="13"/>
      <c r="F2628" s="13"/>
      <c r="G2628" s="102">
        <v>1.0</v>
      </c>
      <c r="H2628" s="101" t="s">
        <v>2940</v>
      </c>
      <c r="I2628" s="102">
        <v>5.61</v>
      </c>
      <c r="J2628" s="102">
        <v>6.9</v>
      </c>
      <c r="K2628" s="101" t="s">
        <v>2941</v>
      </c>
      <c r="L2628" s="102">
        <v>23.0</v>
      </c>
      <c r="M2628" s="13"/>
    </row>
    <row r="2629">
      <c r="A2629" s="101" t="s">
        <v>5149</v>
      </c>
      <c r="B2629" s="101">
        <v>24115.0</v>
      </c>
      <c r="C2629" s="13"/>
      <c r="D2629" s="13"/>
      <c r="E2629" s="13"/>
      <c r="F2629" s="13"/>
      <c r="G2629" s="102">
        <v>2.0</v>
      </c>
      <c r="H2629" s="101" t="s">
        <v>2942</v>
      </c>
      <c r="I2629" s="102">
        <v>4.5</v>
      </c>
      <c r="J2629" s="102">
        <v>5.54</v>
      </c>
      <c r="K2629" s="101" t="s">
        <v>2941</v>
      </c>
      <c r="L2629" s="102">
        <v>23.0</v>
      </c>
      <c r="M2629" s="13"/>
    </row>
    <row r="2630">
      <c r="A2630" s="101" t="s">
        <v>5150</v>
      </c>
      <c r="B2630" s="101">
        <v>24221.0</v>
      </c>
      <c r="C2630" s="13"/>
      <c r="D2630" s="13"/>
      <c r="E2630" s="13"/>
      <c r="F2630" s="13"/>
      <c r="G2630" s="102">
        <v>1.0</v>
      </c>
      <c r="H2630" s="101" t="s">
        <v>2940</v>
      </c>
      <c r="I2630" s="102">
        <v>7.32</v>
      </c>
      <c r="J2630" s="102">
        <v>9.0</v>
      </c>
      <c r="K2630" s="101" t="s">
        <v>2941</v>
      </c>
      <c r="L2630" s="102">
        <v>23.0</v>
      </c>
      <c r="M2630" s="13"/>
    </row>
    <row r="2631">
      <c r="A2631" s="101" t="s">
        <v>5150</v>
      </c>
      <c r="B2631" s="101">
        <v>24221.0</v>
      </c>
      <c r="C2631" s="13"/>
      <c r="D2631" s="13"/>
      <c r="E2631" s="13"/>
      <c r="F2631" s="13"/>
      <c r="G2631" s="102">
        <v>2.0</v>
      </c>
      <c r="H2631" s="101" t="s">
        <v>2942</v>
      </c>
      <c r="I2631" s="102">
        <v>5.9</v>
      </c>
      <c r="J2631" s="102">
        <v>7.26</v>
      </c>
      <c r="K2631" s="101" t="s">
        <v>2941</v>
      </c>
      <c r="L2631" s="102">
        <v>23.0</v>
      </c>
      <c r="M2631" s="13"/>
    </row>
    <row r="2632">
      <c r="A2632" s="101" t="s">
        <v>5151</v>
      </c>
      <c r="B2632" s="101">
        <v>24116.0</v>
      </c>
      <c r="C2632" s="13"/>
      <c r="D2632" s="13"/>
      <c r="E2632" s="13"/>
      <c r="F2632" s="13"/>
      <c r="G2632" s="102">
        <v>1.0</v>
      </c>
      <c r="H2632" s="101" t="s">
        <v>2940</v>
      </c>
      <c r="I2632" s="102">
        <v>5.61</v>
      </c>
      <c r="J2632" s="102">
        <v>6.9</v>
      </c>
      <c r="K2632" s="101" t="s">
        <v>2941</v>
      </c>
      <c r="L2632" s="102">
        <v>23.0</v>
      </c>
      <c r="M2632" s="13"/>
    </row>
    <row r="2633">
      <c r="A2633" s="101" t="s">
        <v>5151</v>
      </c>
      <c r="B2633" s="101">
        <v>24116.0</v>
      </c>
      <c r="C2633" s="13"/>
      <c r="D2633" s="13"/>
      <c r="E2633" s="13"/>
      <c r="F2633" s="13"/>
      <c r="G2633" s="102">
        <v>2.0</v>
      </c>
      <c r="H2633" s="101" t="s">
        <v>2942</v>
      </c>
      <c r="I2633" s="102">
        <v>4.5</v>
      </c>
      <c r="J2633" s="102">
        <v>5.54</v>
      </c>
      <c r="K2633" s="101" t="s">
        <v>2941</v>
      </c>
      <c r="L2633" s="102">
        <v>23.0</v>
      </c>
      <c r="M2633" s="13"/>
    </row>
    <row r="2634">
      <c r="A2634" s="101" t="s">
        <v>5152</v>
      </c>
      <c r="B2634" s="101">
        <v>24220.0</v>
      </c>
      <c r="C2634" s="13"/>
      <c r="D2634" s="13"/>
      <c r="E2634" s="13"/>
      <c r="F2634" s="13"/>
      <c r="G2634" s="102">
        <v>1.0</v>
      </c>
      <c r="H2634" s="101" t="s">
        <v>2940</v>
      </c>
      <c r="I2634" s="102">
        <v>7.32</v>
      </c>
      <c r="J2634" s="102">
        <v>9.0</v>
      </c>
      <c r="K2634" s="101" t="s">
        <v>2941</v>
      </c>
      <c r="L2634" s="102">
        <v>23.0</v>
      </c>
      <c r="M2634" s="13"/>
    </row>
    <row r="2635">
      <c r="A2635" s="101" t="s">
        <v>5152</v>
      </c>
      <c r="B2635" s="101">
        <v>24220.0</v>
      </c>
      <c r="C2635" s="13"/>
      <c r="D2635" s="13"/>
      <c r="E2635" s="13"/>
      <c r="F2635" s="13"/>
      <c r="G2635" s="102">
        <v>2.0</v>
      </c>
      <c r="H2635" s="101" t="s">
        <v>2942</v>
      </c>
      <c r="I2635" s="102">
        <v>5.9</v>
      </c>
      <c r="J2635" s="102">
        <v>7.26</v>
      </c>
      <c r="K2635" s="101" t="s">
        <v>2941</v>
      </c>
      <c r="L2635" s="102">
        <v>23.0</v>
      </c>
      <c r="M2635" s="13"/>
    </row>
    <row r="2636">
      <c r="A2636" s="101" t="s">
        <v>5153</v>
      </c>
      <c r="B2636" s="101">
        <v>24117.0</v>
      </c>
      <c r="C2636" s="13"/>
      <c r="D2636" s="13"/>
      <c r="E2636" s="13"/>
      <c r="F2636" s="13"/>
      <c r="G2636" s="102">
        <v>1.0</v>
      </c>
      <c r="H2636" s="101" t="s">
        <v>2940</v>
      </c>
      <c r="I2636" s="102">
        <v>5.61</v>
      </c>
      <c r="J2636" s="102">
        <v>6.9</v>
      </c>
      <c r="K2636" s="101" t="s">
        <v>2941</v>
      </c>
      <c r="L2636" s="102">
        <v>23.0</v>
      </c>
      <c r="M2636" s="13"/>
    </row>
    <row r="2637">
      <c r="A2637" s="101" t="s">
        <v>5153</v>
      </c>
      <c r="B2637" s="101">
        <v>24117.0</v>
      </c>
      <c r="C2637" s="13"/>
      <c r="D2637" s="13"/>
      <c r="E2637" s="13"/>
      <c r="F2637" s="13"/>
      <c r="G2637" s="102">
        <v>2.0</v>
      </c>
      <c r="H2637" s="101" t="s">
        <v>2942</v>
      </c>
      <c r="I2637" s="102">
        <v>4.5</v>
      </c>
      <c r="J2637" s="102">
        <v>5.54</v>
      </c>
      <c r="K2637" s="101" t="s">
        <v>2941</v>
      </c>
      <c r="L2637" s="102">
        <v>23.0</v>
      </c>
      <c r="M2637" s="13"/>
    </row>
    <row r="2638">
      <c r="A2638" s="101" t="s">
        <v>5154</v>
      </c>
      <c r="B2638" s="101">
        <v>24034.0</v>
      </c>
      <c r="C2638" s="13"/>
      <c r="D2638" s="13"/>
      <c r="E2638" s="13"/>
      <c r="F2638" s="13"/>
      <c r="G2638" s="102">
        <v>1.0</v>
      </c>
      <c r="H2638" s="101" t="s">
        <v>2940</v>
      </c>
      <c r="I2638" s="102">
        <v>3.58</v>
      </c>
      <c r="J2638" s="102">
        <v>4.4</v>
      </c>
      <c r="K2638" s="101" t="s">
        <v>2941</v>
      </c>
      <c r="L2638" s="102">
        <v>23.0</v>
      </c>
      <c r="M2638" s="13"/>
    </row>
    <row r="2639">
      <c r="A2639" s="101" t="s">
        <v>5154</v>
      </c>
      <c r="B2639" s="101">
        <v>24034.0</v>
      </c>
      <c r="C2639" s="13"/>
      <c r="D2639" s="13"/>
      <c r="E2639" s="13"/>
      <c r="F2639" s="13"/>
      <c r="G2639" s="102">
        <v>2.0</v>
      </c>
      <c r="H2639" s="101" t="s">
        <v>2942</v>
      </c>
      <c r="I2639" s="102">
        <v>2.9</v>
      </c>
      <c r="J2639" s="102">
        <v>3.57</v>
      </c>
      <c r="K2639" s="101" t="s">
        <v>2941</v>
      </c>
      <c r="L2639" s="102">
        <v>23.0</v>
      </c>
      <c r="M2639" s="13"/>
    </row>
    <row r="2640">
      <c r="A2640" s="101" t="s">
        <v>5155</v>
      </c>
      <c r="B2640" s="101">
        <v>24280.0</v>
      </c>
      <c r="C2640" s="13"/>
      <c r="D2640" s="13"/>
      <c r="E2640" s="13"/>
      <c r="F2640" s="13"/>
      <c r="G2640" s="102">
        <v>1.0</v>
      </c>
      <c r="H2640" s="101" t="s">
        <v>2940</v>
      </c>
      <c r="I2640" s="102">
        <v>4.72</v>
      </c>
      <c r="J2640" s="102">
        <v>5.81</v>
      </c>
      <c r="K2640" s="101" t="s">
        <v>2941</v>
      </c>
      <c r="L2640" s="102">
        <v>23.0</v>
      </c>
      <c r="M2640" s="13"/>
    </row>
    <row r="2641">
      <c r="A2641" s="101" t="s">
        <v>5155</v>
      </c>
      <c r="B2641" s="101">
        <v>24280.0</v>
      </c>
      <c r="C2641" s="13"/>
      <c r="D2641" s="13"/>
      <c r="E2641" s="13"/>
      <c r="F2641" s="13"/>
      <c r="G2641" s="102">
        <v>2.0</v>
      </c>
      <c r="H2641" s="101" t="s">
        <v>2942</v>
      </c>
      <c r="I2641" s="102">
        <v>3.8</v>
      </c>
      <c r="J2641" s="102">
        <v>4.67</v>
      </c>
      <c r="K2641" s="101" t="s">
        <v>2941</v>
      </c>
      <c r="L2641" s="102">
        <v>23.0</v>
      </c>
      <c r="M2641" s="13"/>
    </row>
    <row r="2642">
      <c r="A2642" s="101" t="s">
        <v>5156</v>
      </c>
      <c r="B2642" s="101">
        <v>24217.0</v>
      </c>
      <c r="C2642" s="13"/>
      <c r="D2642" s="13"/>
      <c r="E2642" s="13"/>
      <c r="F2642" s="13"/>
      <c r="G2642" s="102">
        <v>1.0</v>
      </c>
      <c r="H2642" s="101" t="s">
        <v>2940</v>
      </c>
      <c r="I2642" s="102">
        <v>2.44</v>
      </c>
      <c r="J2642" s="102">
        <v>3.0</v>
      </c>
      <c r="K2642" s="101" t="s">
        <v>2941</v>
      </c>
      <c r="L2642" s="102">
        <v>23.0</v>
      </c>
      <c r="M2642" s="13"/>
    </row>
    <row r="2643">
      <c r="A2643" s="101" t="s">
        <v>5156</v>
      </c>
      <c r="B2643" s="101">
        <v>24217.0</v>
      </c>
      <c r="C2643" s="13"/>
      <c r="D2643" s="13"/>
      <c r="E2643" s="13"/>
      <c r="F2643" s="13"/>
      <c r="G2643" s="102">
        <v>2.0</v>
      </c>
      <c r="H2643" s="101" t="s">
        <v>2942</v>
      </c>
      <c r="I2643" s="102">
        <v>2.0</v>
      </c>
      <c r="J2643" s="102">
        <v>2.46</v>
      </c>
      <c r="K2643" s="101" t="s">
        <v>2941</v>
      </c>
      <c r="L2643" s="102">
        <v>23.0</v>
      </c>
      <c r="M2643" s="13"/>
    </row>
    <row r="2644">
      <c r="A2644" s="101" t="s">
        <v>5157</v>
      </c>
      <c r="B2644" s="101">
        <v>24148.0</v>
      </c>
      <c r="C2644" s="13"/>
      <c r="D2644" s="13"/>
      <c r="E2644" s="13"/>
      <c r="F2644" s="13"/>
      <c r="G2644" s="102">
        <v>1.0</v>
      </c>
      <c r="H2644" s="101" t="s">
        <v>2940</v>
      </c>
      <c r="I2644" s="102">
        <v>4.23</v>
      </c>
      <c r="J2644" s="102">
        <v>5.2</v>
      </c>
      <c r="K2644" s="101" t="s">
        <v>2941</v>
      </c>
      <c r="L2644" s="102">
        <v>23.0</v>
      </c>
      <c r="M2644" s="13"/>
    </row>
    <row r="2645">
      <c r="A2645" s="101" t="s">
        <v>5157</v>
      </c>
      <c r="B2645" s="101">
        <v>24148.0</v>
      </c>
      <c r="C2645" s="13"/>
      <c r="D2645" s="13"/>
      <c r="E2645" s="13"/>
      <c r="F2645" s="13"/>
      <c r="G2645" s="102">
        <v>2.0</v>
      </c>
      <c r="H2645" s="101" t="s">
        <v>2942</v>
      </c>
      <c r="I2645" s="102">
        <v>3.4</v>
      </c>
      <c r="J2645" s="102">
        <v>4.18</v>
      </c>
      <c r="K2645" s="101" t="s">
        <v>2941</v>
      </c>
      <c r="L2645" s="102">
        <v>23.0</v>
      </c>
      <c r="M2645" s="13"/>
    </row>
    <row r="2646">
      <c r="A2646" s="101" t="s">
        <v>5158</v>
      </c>
      <c r="B2646" s="101">
        <v>24282.0</v>
      </c>
      <c r="C2646" s="13"/>
      <c r="D2646" s="13"/>
      <c r="E2646" s="13"/>
      <c r="F2646" s="13"/>
      <c r="G2646" s="102">
        <v>1.0</v>
      </c>
      <c r="H2646" s="101" t="s">
        <v>2940</v>
      </c>
      <c r="I2646" s="102">
        <v>4.96</v>
      </c>
      <c r="J2646" s="102">
        <v>6.1</v>
      </c>
      <c r="K2646" s="101" t="s">
        <v>2941</v>
      </c>
      <c r="L2646" s="102">
        <v>23.0</v>
      </c>
      <c r="M2646" s="13"/>
    </row>
    <row r="2647">
      <c r="A2647" s="101" t="s">
        <v>5158</v>
      </c>
      <c r="B2647" s="101">
        <v>24282.0</v>
      </c>
      <c r="C2647" s="13"/>
      <c r="D2647" s="13"/>
      <c r="E2647" s="13"/>
      <c r="F2647" s="13"/>
      <c r="G2647" s="102">
        <v>2.0</v>
      </c>
      <c r="H2647" s="101" t="s">
        <v>2942</v>
      </c>
      <c r="I2647" s="102">
        <v>4.0</v>
      </c>
      <c r="J2647" s="102">
        <v>4.92</v>
      </c>
      <c r="K2647" s="101" t="s">
        <v>2941</v>
      </c>
      <c r="L2647" s="102">
        <v>23.0</v>
      </c>
      <c r="M2647" s="13"/>
    </row>
    <row r="2648">
      <c r="A2648" s="101" t="s">
        <v>5159</v>
      </c>
      <c r="B2648" s="101">
        <v>24308.0</v>
      </c>
      <c r="C2648" s="13"/>
      <c r="D2648" s="13"/>
      <c r="E2648" s="13"/>
      <c r="F2648" s="13"/>
      <c r="G2648" s="102">
        <v>1.0</v>
      </c>
      <c r="H2648" s="101" t="s">
        <v>2940</v>
      </c>
      <c r="I2648" s="102">
        <v>6.02</v>
      </c>
      <c r="J2648" s="102">
        <v>7.4</v>
      </c>
      <c r="K2648" s="101" t="s">
        <v>2941</v>
      </c>
      <c r="L2648" s="102">
        <v>23.0</v>
      </c>
      <c r="M2648" s="13"/>
    </row>
    <row r="2649">
      <c r="A2649" s="101" t="s">
        <v>5159</v>
      </c>
      <c r="B2649" s="101">
        <v>24308.0</v>
      </c>
      <c r="C2649" s="13"/>
      <c r="D2649" s="13"/>
      <c r="E2649" s="13"/>
      <c r="F2649" s="13"/>
      <c r="G2649" s="102">
        <v>2.0</v>
      </c>
      <c r="H2649" s="101" t="s">
        <v>2942</v>
      </c>
      <c r="I2649" s="102">
        <v>4.8</v>
      </c>
      <c r="J2649" s="102">
        <v>5.9</v>
      </c>
      <c r="K2649" s="101" t="s">
        <v>2941</v>
      </c>
      <c r="L2649" s="102">
        <v>23.0</v>
      </c>
      <c r="M2649" s="13"/>
    </row>
    <row r="2650">
      <c r="A2650" s="101" t="s">
        <v>5160</v>
      </c>
      <c r="B2650" s="101">
        <v>24033.0</v>
      </c>
      <c r="C2650" s="13"/>
      <c r="D2650" s="13"/>
      <c r="E2650" s="13"/>
      <c r="F2650" s="13"/>
      <c r="G2650" s="102">
        <v>1.0</v>
      </c>
      <c r="H2650" s="101" t="s">
        <v>2940</v>
      </c>
      <c r="I2650" s="102">
        <v>5.93</v>
      </c>
      <c r="J2650" s="102">
        <v>7.29</v>
      </c>
      <c r="K2650" s="101" t="s">
        <v>2941</v>
      </c>
      <c r="L2650" s="102">
        <v>23.0</v>
      </c>
      <c r="M2650" s="13"/>
    </row>
    <row r="2651">
      <c r="A2651" s="101" t="s">
        <v>5160</v>
      </c>
      <c r="B2651" s="101">
        <v>24033.0</v>
      </c>
      <c r="C2651" s="13"/>
      <c r="D2651" s="13"/>
      <c r="E2651" s="13"/>
      <c r="F2651" s="13"/>
      <c r="G2651" s="102">
        <v>2.0</v>
      </c>
      <c r="H2651" s="101" t="s">
        <v>2942</v>
      </c>
      <c r="I2651" s="102">
        <v>4.7</v>
      </c>
      <c r="J2651" s="102">
        <v>5.78</v>
      </c>
      <c r="K2651" s="101" t="s">
        <v>2941</v>
      </c>
      <c r="L2651" s="102">
        <v>23.0</v>
      </c>
      <c r="M2651" s="13"/>
    </row>
    <row r="2652">
      <c r="A2652" s="101" t="s">
        <v>5161</v>
      </c>
      <c r="B2652" s="101">
        <v>24028.0</v>
      </c>
      <c r="C2652" s="13"/>
      <c r="D2652" s="13"/>
      <c r="E2652" s="13"/>
      <c r="F2652" s="13"/>
      <c r="G2652" s="102">
        <v>1.0</v>
      </c>
      <c r="H2652" s="101" t="s">
        <v>2940</v>
      </c>
      <c r="I2652" s="102">
        <v>5.93</v>
      </c>
      <c r="J2652" s="102">
        <v>7.29</v>
      </c>
      <c r="K2652" s="101" t="s">
        <v>2941</v>
      </c>
      <c r="L2652" s="102">
        <v>23.0</v>
      </c>
      <c r="M2652" s="13"/>
    </row>
    <row r="2653">
      <c r="A2653" s="101" t="s">
        <v>5161</v>
      </c>
      <c r="B2653" s="101">
        <v>24028.0</v>
      </c>
      <c r="C2653" s="13"/>
      <c r="D2653" s="13"/>
      <c r="E2653" s="13"/>
      <c r="F2653" s="13"/>
      <c r="G2653" s="102">
        <v>2.0</v>
      </c>
      <c r="H2653" s="101" t="s">
        <v>2942</v>
      </c>
      <c r="I2653" s="102">
        <v>4.7</v>
      </c>
      <c r="J2653" s="102">
        <v>5.78</v>
      </c>
      <c r="K2653" s="101" t="s">
        <v>2941</v>
      </c>
      <c r="L2653" s="102">
        <v>23.0</v>
      </c>
      <c r="M2653" s="13"/>
    </row>
    <row r="2654">
      <c r="A2654" s="101" t="s">
        <v>5162</v>
      </c>
      <c r="B2654" s="101">
        <v>24006.0</v>
      </c>
      <c r="C2654" s="13"/>
      <c r="D2654" s="13"/>
      <c r="E2654" s="13"/>
      <c r="F2654" s="13"/>
      <c r="G2654" s="102">
        <v>1.0</v>
      </c>
      <c r="H2654" s="101" t="s">
        <v>2940</v>
      </c>
      <c r="I2654" s="102">
        <v>3.17</v>
      </c>
      <c r="J2654" s="102">
        <v>3.9</v>
      </c>
      <c r="K2654" s="101" t="s">
        <v>2941</v>
      </c>
      <c r="L2654" s="102">
        <v>23.0</v>
      </c>
      <c r="M2654" s="13"/>
    </row>
    <row r="2655">
      <c r="A2655" s="101" t="s">
        <v>5162</v>
      </c>
      <c r="B2655" s="101">
        <v>24006.0</v>
      </c>
      <c r="C2655" s="13"/>
      <c r="D2655" s="13"/>
      <c r="E2655" s="13"/>
      <c r="F2655" s="13"/>
      <c r="G2655" s="102">
        <v>2.0</v>
      </c>
      <c r="H2655" s="101" t="s">
        <v>2942</v>
      </c>
      <c r="I2655" s="102">
        <v>2.5</v>
      </c>
      <c r="J2655" s="102">
        <v>3.08</v>
      </c>
      <c r="K2655" s="101" t="s">
        <v>2941</v>
      </c>
      <c r="L2655" s="102">
        <v>23.0</v>
      </c>
      <c r="M2655" s="13"/>
    </row>
    <row r="2656">
      <c r="A2656" s="101" t="s">
        <v>5163</v>
      </c>
      <c r="B2656" s="101" t="s">
        <v>5164</v>
      </c>
      <c r="D2656" s="13"/>
      <c r="E2656" s="13"/>
      <c r="F2656" s="13"/>
      <c r="G2656" s="102">
        <v>1.0</v>
      </c>
      <c r="H2656" s="101" t="s">
        <v>2940</v>
      </c>
      <c r="I2656" s="102">
        <v>3.86</v>
      </c>
      <c r="J2656" s="102">
        <v>4.75</v>
      </c>
      <c r="K2656" s="101" t="s">
        <v>2941</v>
      </c>
      <c r="L2656" s="102">
        <v>23.0</v>
      </c>
      <c r="M2656" s="13"/>
    </row>
    <row r="2657">
      <c r="A2657" s="101" t="s">
        <v>5163</v>
      </c>
      <c r="B2657" s="101" t="s">
        <v>5164</v>
      </c>
      <c r="D2657" s="13"/>
      <c r="E2657" s="13"/>
      <c r="F2657" s="13"/>
      <c r="G2657" s="102">
        <v>2.0</v>
      </c>
      <c r="H2657" s="101" t="s">
        <v>2942</v>
      </c>
      <c r="I2657" s="102">
        <v>3.86</v>
      </c>
      <c r="J2657" s="102">
        <v>4.75</v>
      </c>
      <c r="K2657" s="101" t="s">
        <v>2941</v>
      </c>
      <c r="L2657" s="102">
        <v>23.0</v>
      </c>
      <c r="M2657" s="13"/>
    </row>
    <row r="2658">
      <c r="A2658" s="101" t="s">
        <v>5165</v>
      </c>
      <c r="B2658" s="101">
        <v>24102.0</v>
      </c>
      <c r="C2658" s="13"/>
      <c r="D2658" s="13"/>
      <c r="E2658" s="13"/>
      <c r="F2658" s="13"/>
      <c r="G2658" s="102">
        <v>1.0</v>
      </c>
      <c r="H2658" s="101" t="s">
        <v>2940</v>
      </c>
      <c r="I2658" s="102">
        <v>5.85</v>
      </c>
      <c r="J2658" s="102">
        <v>7.2</v>
      </c>
      <c r="K2658" s="101" t="s">
        <v>2941</v>
      </c>
      <c r="L2658" s="102">
        <v>23.0</v>
      </c>
      <c r="M2658" s="13"/>
    </row>
    <row r="2659">
      <c r="A2659" s="101" t="s">
        <v>5165</v>
      </c>
      <c r="B2659" s="101">
        <v>24102.0</v>
      </c>
      <c r="C2659" s="13"/>
      <c r="D2659" s="13"/>
      <c r="E2659" s="13"/>
      <c r="F2659" s="13"/>
      <c r="G2659" s="102">
        <v>2.0</v>
      </c>
      <c r="H2659" s="101" t="s">
        <v>2942</v>
      </c>
      <c r="I2659" s="102">
        <v>4.7</v>
      </c>
      <c r="J2659" s="102">
        <v>5.78</v>
      </c>
      <c r="K2659" s="101" t="s">
        <v>2941</v>
      </c>
      <c r="L2659" s="102">
        <v>23.0</v>
      </c>
      <c r="M2659" s="13"/>
    </row>
    <row r="2660">
      <c r="A2660" s="101" t="s">
        <v>5166</v>
      </c>
      <c r="B2660" s="101">
        <v>24206.0</v>
      </c>
      <c r="C2660" s="13"/>
      <c r="D2660" s="13"/>
      <c r="E2660" s="13"/>
      <c r="F2660" s="13"/>
      <c r="G2660" s="102">
        <v>1.0</v>
      </c>
      <c r="H2660" s="101" t="s">
        <v>2940</v>
      </c>
      <c r="I2660" s="102">
        <v>2.68</v>
      </c>
      <c r="J2660" s="102">
        <v>3.3</v>
      </c>
      <c r="K2660" s="101" t="s">
        <v>2941</v>
      </c>
      <c r="L2660" s="102">
        <v>23.0</v>
      </c>
      <c r="M2660" s="13"/>
    </row>
    <row r="2661">
      <c r="A2661" s="101" t="s">
        <v>5166</v>
      </c>
      <c r="B2661" s="101">
        <v>24206.0</v>
      </c>
      <c r="C2661" s="13"/>
      <c r="D2661" s="13"/>
      <c r="E2661" s="13"/>
      <c r="F2661" s="13"/>
      <c r="G2661" s="102">
        <v>2.0</v>
      </c>
      <c r="H2661" s="101" t="s">
        <v>2942</v>
      </c>
      <c r="I2661" s="102">
        <v>2.7</v>
      </c>
      <c r="J2661" s="102">
        <v>3.32</v>
      </c>
      <c r="K2661" s="101" t="s">
        <v>2941</v>
      </c>
      <c r="L2661" s="102">
        <v>23.0</v>
      </c>
      <c r="M2661" s="13"/>
    </row>
    <row r="2662">
      <c r="A2662" s="101" t="s">
        <v>5167</v>
      </c>
      <c r="B2662" s="101">
        <v>24104.0</v>
      </c>
      <c r="C2662" s="13"/>
      <c r="D2662" s="13"/>
      <c r="E2662" s="13"/>
      <c r="F2662" s="13"/>
      <c r="G2662" s="102">
        <v>1.0</v>
      </c>
      <c r="H2662" s="101" t="s">
        <v>2940</v>
      </c>
      <c r="I2662" s="102">
        <v>3.98</v>
      </c>
      <c r="J2662" s="102">
        <v>4.9</v>
      </c>
      <c r="K2662" s="101" t="s">
        <v>2941</v>
      </c>
      <c r="L2662" s="102">
        <v>23.0</v>
      </c>
      <c r="M2662" s="13"/>
    </row>
    <row r="2663">
      <c r="A2663" s="101" t="s">
        <v>5167</v>
      </c>
      <c r="B2663" s="101">
        <v>24104.0</v>
      </c>
      <c r="C2663" s="13"/>
      <c r="D2663" s="13"/>
      <c r="E2663" s="13"/>
      <c r="F2663" s="13"/>
      <c r="G2663" s="102">
        <v>2.0</v>
      </c>
      <c r="H2663" s="101" t="s">
        <v>2942</v>
      </c>
      <c r="I2663" s="102">
        <v>3.2</v>
      </c>
      <c r="J2663" s="102">
        <v>3.94</v>
      </c>
      <c r="K2663" s="101" t="s">
        <v>2941</v>
      </c>
      <c r="L2663" s="102">
        <v>23.0</v>
      </c>
      <c r="M2663" s="13"/>
    </row>
    <row r="2664">
      <c r="A2664" s="101" t="s">
        <v>5168</v>
      </c>
      <c r="B2664" s="101">
        <v>24157.0</v>
      </c>
      <c r="C2664" s="13"/>
      <c r="D2664" s="13"/>
      <c r="E2664" s="13"/>
      <c r="F2664" s="13"/>
      <c r="G2664" s="102">
        <v>1.0</v>
      </c>
      <c r="H2664" s="101" t="s">
        <v>2940</v>
      </c>
      <c r="I2664" s="102">
        <v>3.98</v>
      </c>
      <c r="J2664" s="102">
        <v>4.9</v>
      </c>
      <c r="K2664" s="101" t="s">
        <v>2941</v>
      </c>
      <c r="L2664" s="102">
        <v>23.0</v>
      </c>
      <c r="M2664" s="13"/>
    </row>
    <row r="2665">
      <c r="A2665" s="101" t="s">
        <v>5168</v>
      </c>
      <c r="B2665" s="101">
        <v>24157.0</v>
      </c>
      <c r="C2665" s="13"/>
      <c r="D2665" s="13"/>
      <c r="E2665" s="13"/>
      <c r="F2665" s="13"/>
      <c r="G2665" s="102">
        <v>2.0</v>
      </c>
      <c r="H2665" s="101" t="s">
        <v>2942</v>
      </c>
      <c r="I2665" s="102">
        <v>3.2</v>
      </c>
      <c r="J2665" s="102">
        <v>3.94</v>
      </c>
      <c r="K2665" s="101" t="s">
        <v>2941</v>
      </c>
      <c r="L2665" s="102">
        <v>23.0</v>
      </c>
      <c r="M2665" s="13"/>
    </row>
    <row r="2666">
      <c r="A2666" s="101" t="s">
        <v>5169</v>
      </c>
      <c r="B2666" s="101" t="s">
        <v>5170</v>
      </c>
      <c r="D2666" s="13"/>
      <c r="E2666" s="13"/>
      <c r="F2666" s="13"/>
      <c r="G2666" s="102">
        <v>1.0</v>
      </c>
      <c r="H2666" s="101" t="s">
        <v>2940</v>
      </c>
      <c r="I2666" s="102">
        <v>18.29</v>
      </c>
      <c r="J2666" s="102">
        <v>22.5</v>
      </c>
      <c r="K2666" s="101" t="s">
        <v>2941</v>
      </c>
      <c r="L2666" s="102">
        <v>23.0</v>
      </c>
      <c r="M2666" s="13"/>
    </row>
    <row r="2667">
      <c r="A2667" s="101" t="s">
        <v>5169</v>
      </c>
      <c r="B2667" s="101" t="s">
        <v>5170</v>
      </c>
      <c r="D2667" s="13"/>
      <c r="E2667" s="13"/>
      <c r="F2667" s="13"/>
      <c r="G2667" s="102">
        <v>2.0</v>
      </c>
      <c r="H2667" s="101" t="s">
        <v>2942</v>
      </c>
      <c r="I2667" s="102">
        <v>18.28</v>
      </c>
      <c r="J2667" s="102">
        <v>22.48</v>
      </c>
      <c r="K2667" s="101" t="s">
        <v>2941</v>
      </c>
      <c r="L2667" s="102">
        <v>23.0</v>
      </c>
      <c r="M2667" s="13"/>
    </row>
    <row r="2668">
      <c r="A2668" s="101" t="s">
        <v>5171</v>
      </c>
      <c r="B2668" s="101">
        <v>42641.0</v>
      </c>
      <c r="C2668" s="13"/>
      <c r="D2668" s="13"/>
      <c r="E2668" s="13"/>
      <c r="F2668" s="13"/>
      <c r="G2668" s="102">
        <v>1.0</v>
      </c>
      <c r="H2668" s="101" t="s">
        <v>2940</v>
      </c>
      <c r="I2668" s="102">
        <v>14.96</v>
      </c>
      <c r="J2668" s="102">
        <v>18.4</v>
      </c>
      <c r="K2668" s="101" t="s">
        <v>2941</v>
      </c>
      <c r="L2668" s="102">
        <v>23.0</v>
      </c>
      <c r="M2668" s="13"/>
    </row>
    <row r="2669">
      <c r="A2669" s="101" t="s">
        <v>5171</v>
      </c>
      <c r="B2669" s="101">
        <v>42641.0</v>
      </c>
      <c r="C2669" s="13"/>
      <c r="D2669" s="13"/>
      <c r="E2669" s="13"/>
      <c r="F2669" s="13"/>
      <c r="G2669" s="102">
        <v>2.0</v>
      </c>
      <c r="H2669" s="101" t="s">
        <v>2942</v>
      </c>
      <c r="I2669" s="102">
        <v>12.0</v>
      </c>
      <c r="J2669" s="102">
        <v>14.76</v>
      </c>
      <c r="K2669" s="101" t="s">
        <v>2941</v>
      </c>
      <c r="L2669" s="102">
        <v>23.0</v>
      </c>
      <c r="M2669" s="13"/>
    </row>
    <row r="2670">
      <c r="A2670" s="101" t="s">
        <v>5172</v>
      </c>
      <c r="B2670" s="101" t="s">
        <v>5173</v>
      </c>
      <c r="D2670" s="13"/>
      <c r="E2670" s="13"/>
      <c r="F2670" s="13"/>
      <c r="G2670" s="102">
        <v>1.0</v>
      </c>
      <c r="H2670" s="101" t="s">
        <v>2940</v>
      </c>
      <c r="I2670" s="102">
        <v>26.99</v>
      </c>
      <c r="J2670" s="102">
        <v>33.2</v>
      </c>
      <c r="K2670" s="101" t="s">
        <v>2941</v>
      </c>
      <c r="L2670" s="102">
        <v>23.0</v>
      </c>
      <c r="M2670" s="13"/>
    </row>
    <row r="2671">
      <c r="A2671" s="101" t="s">
        <v>5172</v>
      </c>
      <c r="B2671" s="101" t="s">
        <v>5173</v>
      </c>
      <c r="D2671" s="13"/>
      <c r="E2671" s="13"/>
      <c r="F2671" s="13"/>
      <c r="G2671" s="102">
        <v>2.0</v>
      </c>
      <c r="H2671" s="101" t="s">
        <v>2942</v>
      </c>
      <c r="I2671" s="102">
        <v>21.6</v>
      </c>
      <c r="J2671" s="102">
        <v>26.57</v>
      </c>
      <c r="K2671" s="101" t="s">
        <v>2941</v>
      </c>
      <c r="L2671" s="102">
        <v>23.0</v>
      </c>
      <c r="M2671" s="13"/>
    </row>
    <row r="2672">
      <c r="A2672" s="101" t="s">
        <v>5174</v>
      </c>
      <c r="B2672" s="101" t="s">
        <v>5175</v>
      </c>
      <c r="D2672" s="13"/>
      <c r="E2672" s="13"/>
      <c r="F2672" s="13"/>
      <c r="G2672" s="102">
        <v>1.0</v>
      </c>
      <c r="H2672" s="101" t="s">
        <v>2940</v>
      </c>
      <c r="I2672" s="102">
        <v>26.99</v>
      </c>
      <c r="J2672" s="102">
        <v>33.2</v>
      </c>
      <c r="K2672" s="101" t="s">
        <v>2941</v>
      </c>
      <c r="L2672" s="102">
        <v>23.0</v>
      </c>
      <c r="M2672" s="13"/>
    </row>
    <row r="2673">
      <c r="A2673" s="101" t="s">
        <v>5174</v>
      </c>
      <c r="B2673" s="101" t="s">
        <v>5175</v>
      </c>
      <c r="D2673" s="13"/>
      <c r="E2673" s="13"/>
      <c r="F2673" s="13"/>
      <c r="G2673" s="102">
        <v>2.0</v>
      </c>
      <c r="H2673" s="101" t="s">
        <v>2942</v>
      </c>
      <c r="I2673" s="102">
        <v>21.6</v>
      </c>
      <c r="J2673" s="102">
        <v>26.57</v>
      </c>
      <c r="K2673" s="101" t="s">
        <v>2941</v>
      </c>
      <c r="L2673" s="102">
        <v>23.0</v>
      </c>
      <c r="M2673" s="13"/>
    </row>
    <row r="2674">
      <c r="A2674" s="101" t="s">
        <v>5176</v>
      </c>
      <c r="B2674" s="101">
        <v>1975.0</v>
      </c>
      <c r="C2674" s="13"/>
      <c r="D2674" s="13"/>
      <c r="E2674" s="13"/>
      <c r="F2674" s="13"/>
      <c r="G2674" s="102">
        <v>1.0</v>
      </c>
      <c r="H2674" s="101" t="s">
        <v>2940</v>
      </c>
      <c r="I2674" s="102">
        <v>26.91</v>
      </c>
      <c r="J2674" s="102">
        <v>33.1</v>
      </c>
      <c r="K2674" s="101" t="s">
        <v>2941</v>
      </c>
      <c r="L2674" s="102">
        <v>23.0</v>
      </c>
      <c r="M2674" s="13"/>
    </row>
    <row r="2675">
      <c r="A2675" s="101" t="s">
        <v>5176</v>
      </c>
      <c r="B2675" s="101">
        <v>1975.0</v>
      </c>
      <c r="C2675" s="13"/>
      <c r="D2675" s="13"/>
      <c r="E2675" s="13"/>
      <c r="F2675" s="13"/>
      <c r="G2675" s="102">
        <v>2.0</v>
      </c>
      <c r="H2675" s="101" t="s">
        <v>2942</v>
      </c>
      <c r="I2675" s="102">
        <v>26.9</v>
      </c>
      <c r="J2675" s="102">
        <v>33.09</v>
      </c>
      <c r="K2675" s="101" t="s">
        <v>2941</v>
      </c>
      <c r="L2675" s="102">
        <v>23.0</v>
      </c>
      <c r="M2675" s="13"/>
    </row>
    <row r="2676">
      <c r="A2676" s="101" t="s">
        <v>5177</v>
      </c>
      <c r="B2676" s="101">
        <v>24298.0</v>
      </c>
      <c r="C2676" s="13"/>
      <c r="D2676" s="13"/>
      <c r="E2676" s="13"/>
      <c r="F2676" s="13"/>
      <c r="G2676" s="102">
        <v>1.0</v>
      </c>
      <c r="H2676" s="101" t="s">
        <v>2940</v>
      </c>
      <c r="I2676" s="102">
        <v>6.99</v>
      </c>
      <c r="J2676" s="102">
        <v>8.6</v>
      </c>
      <c r="K2676" s="101" t="s">
        <v>2941</v>
      </c>
      <c r="L2676" s="102">
        <v>23.0</v>
      </c>
      <c r="M2676" s="13"/>
    </row>
    <row r="2677">
      <c r="A2677" s="101" t="s">
        <v>5177</v>
      </c>
      <c r="B2677" s="101">
        <v>24298.0</v>
      </c>
      <c r="C2677" s="13"/>
      <c r="D2677" s="13"/>
      <c r="E2677" s="13"/>
      <c r="F2677" s="13"/>
      <c r="G2677" s="102">
        <v>2.0</v>
      </c>
      <c r="H2677" s="101" t="s">
        <v>2942</v>
      </c>
      <c r="I2677" s="102">
        <v>7.0</v>
      </c>
      <c r="J2677" s="102">
        <v>8.61</v>
      </c>
      <c r="K2677" s="101" t="s">
        <v>2941</v>
      </c>
      <c r="L2677" s="102">
        <v>23.0</v>
      </c>
      <c r="M2677" s="13"/>
    </row>
    <row r="2678">
      <c r="A2678" s="101" t="s">
        <v>5178</v>
      </c>
      <c r="B2678" s="101">
        <v>24008.0</v>
      </c>
      <c r="C2678" s="13"/>
      <c r="D2678" s="13"/>
      <c r="E2678" s="13"/>
      <c r="F2678" s="13"/>
      <c r="G2678" s="102">
        <v>1.0</v>
      </c>
      <c r="H2678" s="101" t="s">
        <v>2940</v>
      </c>
      <c r="I2678" s="102">
        <v>8.94</v>
      </c>
      <c r="J2678" s="102">
        <v>11.0</v>
      </c>
      <c r="K2678" s="101" t="s">
        <v>2941</v>
      </c>
      <c r="L2678" s="102">
        <v>23.0</v>
      </c>
      <c r="M2678" s="13"/>
    </row>
    <row r="2679">
      <c r="A2679" s="101" t="s">
        <v>5178</v>
      </c>
      <c r="B2679" s="101">
        <v>24008.0</v>
      </c>
      <c r="C2679" s="13"/>
      <c r="D2679" s="13"/>
      <c r="E2679" s="13"/>
      <c r="F2679" s="13"/>
      <c r="G2679" s="102">
        <v>2.0</v>
      </c>
      <c r="H2679" s="101" t="s">
        <v>2942</v>
      </c>
      <c r="I2679" s="102">
        <v>8.8</v>
      </c>
      <c r="J2679" s="102">
        <v>10.82</v>
      </c>
      <c r="K2679" s="101" t="s">
        <v>2941</v>
      </c>
      <c r="L2679" s="102">
        <v>23.0</v>
      </c>
      <c r="M2679" s="13"/>
    </row>
    <row r="2680">
      <c r="A2680" s="101" t="s">
        <v>5179</v>
      </c>
      <c r="B2680" s="101">
        <v>24051.0</v>
      </c>
      <c r="C2680" s="13"/>
      <c r="D2680" s="13"/>
      <c r="E2680" s="13"/>
      <c r="F2680" s="13"/>
      <c r="G2680" s="102">
        <v>1.0</v>
      </c>
      <c r="H2680" s="101" t="s">
        <v>2940</v>
      </c>
      <c r="I2680" s="102">
        <v>6.5</v>
      </c>
      <c r="J2680" s="102">
        <v>8.0</v>
      </c>
      <c r="K2680" s="101" t="s">
        <v>2941</v>
      </c>
      <c r="L2680" s="102">
        <v>23.0</v>
      </c>
      <c r="M2680" s="13"/>
    </row>
    <row r="2681">
      <c r="A2681" s="101" t="s">
        <v>5179</v>
      </c>
      <c r="B2681" s="101">
        <v>24051.0</v>
      </c>
      <c r="C2681" s="13"/>
      <c r="D2681" s="13"/>
      <c r="E2681" s="13"/>
      <c r="F2681" s="13"/>
      <c r="G2681" s="102">
        <v>2.0</v>
      </c>
      <c r="H2681" s="101" t="s">
        <v>2942</v>
      </c>
      <c r="I2681" s="102">
        <v>6.5</v>
      </c>
      <c r="J2681" s="102">
        <v>8.0</v>
      </c>
      <c r="K2681" s="101" t="s">
        <v>2941</v>
      </c>
      <c r="L2681" s="102">
        <v>23.0</v>
      </c>
      <c r="M2681" s="13"/>
    </row>
    <row r="2682">
      <c r="A2682" s="101" t="s">
        <v>5180</v>
      </c>
      <c r="B2682" s="101">
        <v>24004.0</v>
      </c>
      <c r="C2682" s="13"/>
      <c r="D2682" s="13"/>
      <c r="E2682" s="13"/>
      <c r="F2682" s="13"/>
      <c r="G2682" s="102">
        <v>1.0</v>
      </c>
      <c r="H2682" s="101" t="s">
        <v>2940</v>
      </c>
      <c r="I2682" s="102">
        <v>3.5</v>
      </c>
      <c r="J2682" s="102">
        <v>4.31</v>
      </c>
      <c r="K2682" s="101" t="s">
        <v>2941</v>
      </c>
      <c r="L2682" s="102">
        <v>23.0</v>
      </c>
      <c r="M2682" s="13"/>
    </row>
    <row r="2683">
      <c r="A2683" s="101" t="s">
        <v>5180</v>
      </c>
      <c r="B2683" s="101">
        <v>24004.0</v>
      </c>
      <c r="C2683" s="13"/>
      <c r="D2683" s="13"/>
      <c r="E2683" s="13"/>
      <c r="F2683" s="13"/>
      <c r="G2683" s="102">
        <v>2.0</v>
      </c>
      <c r="H2683" s="101" t="s">
        <v>2942</v>
      </c>
      <c r="I2683" s="102">
        <v>3.5</v>
      </c>
      <c r="J2683" s="102">
        <v>4.31</v>
      </c>
      <c r="K2683" s="101" t="s">
        <v>2941</v>
      </c>
      <c r="L2683" s="102">
        <v>23.0</v>
      </c>
      <c r="M2683" s="13"/>
    </row>
    <row r="2684">
      <c r="A2684" s="101" t="s">
        <v>5181</v>
      </c>
      <c r="B2684" s="101">
        <v>24181.0</v>
      </c>
      <c r="C2684" s="13"/>
      <c r="D2684" s="13"/>
      <c r="E2684" s="13"/>
      <c r="F2684" s="13"/>
      <c r="G2684" s="102">
        <v>1.0</v>
      </c>
      <c r="H2684" s="101" t="s">
        <v>2940</v>
      </c>
      <c r="I2684" s="102">
        <v>3.09</v>
      </c>
      <c r="J2684" s="102">
        <v>3.8</v>
      </c>
      <c r="K2684" s="101" t="s">
        <v>2941</v>
      </c>
      <c r="L2684" s="102">
        <v>23.0</v>
      </c>
      <c r="M2684" s="13"/>
    </row>
    <row r="2685">
      <c r="A2685" s="101" t="s">
        <v>5181</v>
      </c>
      <c r="B2685" s="101">
        <v>24181.0</v>
      </c>
      <c r="C2685" s="13"/>
      <c r="D2685" s="13"/>
      <c r="E2685" s="13"/>
      <c r="F2685" s="13"/>
      <c r="G2685" s="102">
        <v>2.0</v>
      </c>
      <c r="H2685" s="101" t="s">
        <v>2942</v>
      </c>
      <c r="I2685" s="102">
        <v>3.1</v>
      </c>
      <c r="J2685" s="102">
        <v>3.81</v>
      </c>
      <c r="K2685" s="101" t="s">
        <v>2941</v>
      </c>
      <c r="L2685" s="102">
        <v>23.0</v>
      </c>
      <c r="M2685" s="13"/>
    </row>
    <row r="2686">
      <c r="A2686" s="101" t="s">
        <v>5182</v>
      </c>
      <c r="B2686" s="101">
        <v>24180.0</v>
      </c>
      <c r="C2686" s="13"/>
      <c r="D2686" s="13"/>
      <c r="E2686" s="13"/>
      <c r="F2686" s="13"/>
      <c r="G2686" s="102">
        <v>1.0</v>
      </c>
      <c r="H2686" s="101" t="s">
        <v>2940</v>
      </c>
      <c r="I2686" s="102">
        <v>3.09</v>
      </c>
      <c r="J2686" s="102">
        <v>3.8</v>
      </c>
      <c r="K2686" s="101" t="s">
        <v>2941</v>
      </c>
      <c r="L2686" s="102">
        <v>23.0</v>
      </c>
      <c r="M2686" s="13"/>
    </row>
    <row r="2687">
      <c r="A2687" s="101" t="s">
        <v>5182</v>
      </c>
      <c r="B2687" s="101">
        <v>24180.0</v>
      </c>
      <c r="C2687" s="13"/>
      <c r="D2687" s="13"/>
      <c r="E2687" s="13"/>
      <c r="F2687" s="13"/>
      <c r="G2687" s="102">
        <v>2.0</v>
      </c>
      <c r="H2687" s="101" t="s">
        <v>2942</v>
      </c>
      <c r="I2687" s="102">
        <v>3.1</v>
      </c>
      <c r="J2687" s="102">
        <v>3.81</v>
      </c>
      <c r="K2687" s="101" t="s">
        <v>2941</v>
      </c>
      <c r="L2687" s="102">
        <v>23.0</v>
      </c>
      <c r="M2687" s="13"/>
    </row>
    <row r="2688">
      <c r="A2688" s="101" t="s">
        <v>5183</v>
      </c>
      <c r="B2688" s="101" t="s">
        <v>5184</v>
      </c>
      <c r="D2688" s="13"/>
      <c r="E2688" s="13"/>
      <c r="F2688" s="13"/>
      <c r="G2688" s="102">
        <v>1.0</v>
      </c>
      <c r="H2688" s="101" t="s">
        <v>2940</v>
      </c>
      <c r="I2688" s="102">
        <v>3.82</v>
      </c>
      <c r="J2688" s="102">
        <v>4.7</v>
      </c>
      <c r="K2688" s="101" t="s">
        <v>2941</v>
      </c>
      <c r="L2688" s="102">
        <v>23.0</v>
      </c>
      <c r="M2688" s="13"/>
    </row>
    <row r="2689">
      <c r="A2689" s="101" t="s">
        <v>5183</v>
      </c>
      <c r="B2689" s="101" t="s">
        <v>5184</v>
      </c>
      <c r="D2689" s="13"/>
      <c r="E2689" s="13"/>
      <c r="F2689" s="13"/>
      <c r="G2689" s="102">
        <v>2.0</v>
      </c>
      <c r="H2689" s="101" t="s">
        <v>2942</v>
      </c>
      <c r="I2689" s="102">
        <v>3.8</v>
      </c>
      <c r="J2689" s="102">
        <v>4.67</v>
      </c>
      <c r="K2689" s="101" t="s">
        <v>2941</v>
      </c>
      <c r="L2689" s="102">
        <v>23.0</v>
      </c>
      <c r="M2689" s="13"/>
    </row>
    <row r="2690">
      <c r="A2690" s="101" t="s">
        <v>5185</v>
      </c>
      <c r="B2690" s="101">
        <v>24103.0</v>
      </c>
      <c r="C2690" s="13"/>
      <c r="D2690" s="13"/>
      <c r="E2690" s="13"/>
      <c r="F2690" s="13"/>
      <c r="G2690" s="102">
        <v>1.0</v>
      </c>
      <c r="H2690" s="101" t="s">
        <v>2940</v>
      </c>
      <c r="I2690" s="102">
        <v>6.5</v>
      </c>
      <c r="J2690" s="102">
        <v>8.0</v>
      </c>
      <c r="K2690" s="101" t="s">
        <v>2941</v>
      </c>
      <c r="L2690" s="102">
        <v>23.0</v>
      </c>
      <c r="M2690" s="13"/>
    </row>
    <row r="2691">
      <c r="A2691" s="101" t="s">
        <v>5185</v>
      </c>
      <c r="B2691" s="101">
        <v>24103.0</v>
      </c>
      <c r="C2691" s="13"/>
      <c r="D2691" s="13"/>
      <c r="E2691" s="13"/>
      <c r="F2691" s="13"/>
      <c r="G2691" s="102">
        <v>2.0</v>
      </c>
      <c r="H2691" s="101" t="s">
        <v>2942</v>
      </c>
      <c r="I2691" s="102">
        <v>6.5</v>
      </c>
      <c r="J2691" s="102">
        <v>8.0</v>
      </c>
      <c r="K2691" s="101" t="s">
        <v>2941</v>
      </c>
      <c r="L2691" s="102">
        <v>23.0</v>
      </c>
      <c r="M2691" s="13"/>
    </row>
    <row r="2692">
      <c r="A2692" s="101" t="s">
        <v>5186</v>
      </c>
      <c r="B2692" s="101">
        <v>24005.0</v>
      </c>
      <c r="C2692" s="13"/>
      <c r="D2692" s="13"/>
      <c r="E2692" s="13"/>
      <c r="F2692" s="13"/>
      <c r="G2692" s="102">
        <v>1.0</v>
      </c>
      <c r="H2692" s="101" t="s">
        <v>2940</v>
      </c>
      <c r="I2692" s="102">
        <v>3.5</v>
      </c>
      <c r="J2692" s="102">
        <v>4.31</v>
      </c>
      <c r="K2692" s="101" t="s">
        <v>2941</v>
      </c>
      <c r="L2692" s="102">
        <v>23.0</v>
      </c>
      <c r="M2692" s="13"/>
    </row>
    <row r="2693">
      <c r="A2693" s="101" t="s">
        <v>5186</v>
      </c>
      <c r="B2693" s="101">
        <v>24005.0</v>
      </c>
      <c r="C2693" s="13"/>
      <c r="D2693" s="13"/>
      <c r="E2693" s="13"/>
      <c r="F2693" s="13"/>
      <c r="G2693" s="102">
        <v>2.0</v>
      </c>
      <c r="H2693" s="101" t="s">
        <v>2942</v>
      </c>
      <c r="I2693" s="102">
        <v>3.5</v>
      </c>
      <c r="J2693" s="102">
        <v>4.31</v>
      </c>
      <c r="K2693" s="101" t="s">
        <v>2941</v>
      </c>
      <c r="L2693" s="102">
        <v>23.0</v>
      </c>
      <c r="M2693" s="13"/>
    </row>
    <row r="2694">
      <c r="A2694" s="101" t="s">
        <v>5187</v>
      </c>
      <c r="B2694" s="101">
        <v>959.0</v>
      </c>
      <c r="C2694" s="13"/>
      <c r="D2694" s="13"/>
      <c r="E2694" s="13"/>
      <c r="F2694" s="13"/>
      <c r="G2694" s="102">
        <v>1.0</v>
      </c>
      <c r="H2694" s="101" t="s">
        <v>2940</v>
      </c>
      <c r="I2694" s="102">
        <v>3.25</v>
      </c>
      <c r="J2694" s="102">
        <v>4.0</v>
      </c>
      <c r="K2694" s="101" t="s">
        <v>2941</v>
      </c>
      <c r="L2694" s="102">
        <v>23.0</v>
      </c>
      <c r="M2694" s="13"/>
    </row>
    <row r="2695">
      <c r="A2695" s="101" t="s">
        <v>5187</v>
      </c>
      <c r="B2695" s="101">
        <v>959.0</v>
      </c>
      <c r="C2695" s="13"/>
      <c r="D2695" s="13"/>
      <c r="E2695" s="13"/>
      <c r="F2695" s="13"/>
      <c r="G2695" s="102">
        <v>2.0</v>
      </c>
      <c r="H2695" s="101" t="s">
        <v>2942</v>
      </c>
      <c r="I2695" s="102">
        <v>3.0</v>
      </c>
      <c r="J2695" s="102">
        <v>3.69</v>
      </c>
      <c r="K2695" s="101" t="s">
        <v>2941</v>
      </c>
      <c r="L2695" s="102">
        <v>23.0</v>
      </c>
      <c r="M2695" s="13"/>
    </row>
    <row r="2696">
      <c r="A2696" s="101" t="s">
        <v>5188</v>
      </c>
      <c r="B2696" s="101">
        <v>1451.0</v>
      </c>
      <c r="C2696" s="13"/>
      <c r="D2696" s="13"/>
      <c r="E2696" s="13"/>
      <c r="F2696" s="13"/>
      <c r="G2696" s="102">
        <v>1.0</v>
      </c>
      <c r="H2696" s="101" t="s">
        <v>2940</v>
      </c>
      <c r="I2696" s="102">
        <v>3.25</v>
      </c>
      <c r="J2696" s="102">
        <v>4.0</v>
      </c>
      <c r="K2696" s="101" t="s">
        <v>2941</v>
      </c>
      <c r="L2696" s="102">
        <v>23.0</v>
      </c>
      <c r="M2696" s="13"/>
    </row>
    <row r="2697">
      <c r="A2697" s="101" t="s">
        <v>5188</v>
      </c>
      <c r="B2697" s="101">
        <v>1451.0</v>
      </c>
      <c r="C2697" s="13"/>
      <c r="D2697" s="13"/>
      <c r="E2697" s="13"/>
      <c r="F2697" s="13"/>
      <c r="G2697" s="102">
        <v>2.0</v>
      </c>
      <c r="H2697" s="101" t="s">
        <v>2942</v>
      </c>
      <c r="I2697" s="102">
        <v>3.0</v>
      </c>
      <c r="J2697" s="102">
        <v>3.69</v>
      </c>
      <c r="K2697" s="101" t="s">
        <v>2941</v>
      </c>
      <c r="L2697" s="102">
        <v>23.0</v>
      </c>
      <c r="M2697" s="13"/>
    </row>
    <row r="2698">
      <c r="A2698" s="101" t="s">
        <v>5189</v>
      </c>
      <c r="B2698" s="101">
        <v>957.0</v>
      </c>
      <c r="C2698" s="13"/>
      <c r="D2698" s="13"/>
      <c r="E2698" s="13"/>
      <c r="F2698" s="13"/>
      <c r="G2698" s="102">
        <v>1.0</v>
      </c>
      <c r="H2698" s="101" t="s">
        <v>2940</v>
      </c>
      <c r="I2698" s="102">
        <v>3.25</v>
      </c>
      <c r="J2698" s="102">
        <v>4.0</v>
      </c>
      <c r="K2698" s="101" t="s">
        <v>2941</v>
      </c>
      <c r="L2698" s="102">
        <v>23.0</v>
      </c>
      <c r="M2698" s="13"/>
    </row>
    <row r="2699">
      <c r="A2699" s="101" t="s">
        <v>5189</v>
      </c>
      <c r="B2699" s="101">
        <v>957.0</v>
      </c>
      <c r="C2699" s="13"/>
      <c r="D2699" s="13"/>
      <c r="E2699" s="13"/>
      <c r="F2699" s="13"/>
      <c r="G2699" s="102">
        <v>2.0</v>
      </c>
      <c r="H2699" s="101" t="s">
        <v>2942</v>
      </c>
      <c r="I2699" s="102">
        <v>3.0</v>
      </c>
      <c r="J2699" s="102">
        <v>3.69</v>
      </c>
      <c r="K2699" s="101" t="s">
        <v>2941</v>
      </c>
      <c r="L2699" s="102">
        <v>23.0</v>
      </c>
      <c r="M2699" s="13"/>
    </row>
    <row r="2700">
      <c r="A2700" s="101" t="s">
        <v>5190</v>
      </c>
      <c r="B2700" s="101">
        <v>1449.0</v>
      </c>
      <c r="C2700" s="13"/>
      <c r="D2700" s="13"/>
      <c r="E2700" s="13"/>
      <c r="F2700" s="13"/>
      <c r="G2700" s="102">
        <v>1.0</v>
      </c>
      <c r="H2700" s="101" t="s">
        <v>2940</v>
      </c>
      <c r="I2700" s="102">
        <v>3.25</v>
      </c>
      <c r="J2700" s="102">
        <v>4.0</v>
      </c>
      <c r="K2700" s="101" t="s">
        <v>2941</v>
      </c>
      <c r="L2700" s="102">
        <v>23.0</v>
      </c>
      <c r="M2700" s="13"/>
    </row>
    <row r="2701">
      <c r="A2701" s="101" t="s">
        <v>5190</v>
      </c>
      <c r="B2701" s="101">
        <v>1449.0</v>
      </c>
      <c r="C2701" s="13"/>
      <c r="D2701" s="13"/>
      <c r="E2701" s="13"/>
      <c r="F2701" s="13"/>
      <c r="G2701" s="102">
        <v>2.0</v>
      </c>
      <c r="H2701" s="101" t="s">
        <v>2942</v>
      </c>
      <c r="I2701" s="102">
        <v>3.0</v>
      </c>
      <c r="J2701" s="102">
        <v>3.69</v>
      </c>
      <c r="K2701" s="101" t="s">
        <v>2941</v>
      </c>
      <c r="L2701" s="102">
        <v>23.0</v>
      </c>
      <c r="M2701" s="13"/>
    </row>
    <row r="2702">
      <c r="A2702" s="101" t="s">
        <v>5191</v>
      </c>
      <c r="B2702" s="101">
        <v>960.0</v>
      </c>
      <c r="C2702" s="13"/>
      <c r="D2702" s="13"/>
      <c r="E2702" s="13"/>
      <c r="F2702" s="13"/>
      <c r="G2702" s="102">
        <v>1.0</v>
      </c>
      <c r="H2702" s="101" t="s">
        <v>2940</v>
      </c>
      <c r="I2702" s="102">
        <v>3.25</v>
      </c>
      <c r="J2702" s="102">
        <v>4.0</v>
      </c>
      <c r="K2702" s="101" t="s">
        <v>2941</v>
      </c>
      <c r="L2702" s="102">
        <v>23.0</v>
      </c>
      <c r="M2702" s="13"/>
    </row>
    <row r="2703">
      <c r="A2703" s="101" t="s">
        <v>5191</v>
      </c>
      <c r="B2703" s="101">
        <v>960.0</v>
      </c>
      <c r="C2703" s="13"/>
      <c r="D2703" s="13"/>
      <c r="E2703" s="13"/>
      <c r="F2703" s="13"/>
      <c r="G2703" s="102">
        <v>2.0</v>
      </c>
      <c r="H2703" s="101" t="s">
        <v>2942</v>
      </c>
      <c r="I2703" s="102">
        <v>3.0</v>
      </c>
      <c r="J2703" s="102">
        <v>3.69</v>
      </c>
      <c r="K2703" s="101" t="s">
        <v>2941</v>
      </c>
      <c r="L2703" s="102">
        <v>23.0</v>
      </c>
      <c r="M2703" s="13"/>
    </row>
    <row r="2704">
      <c r="A2704" s="101" t="s">
        <v>5192</v>
      </c>
      <c r="B2704" s="101">
        <v>961.0</v>
      </c>
      <c r="C2704" s="13"/>
      <c r="D2704" s="13"/>
      <c r="E2704" s="13"/>
      <c r="F2704" s="13"/>
      <c r="G2704" s="102">
        <v>1.0</v>
      </c>
      <c r="H2704" s="101" t="s">
        <v>2940</v>
      </c>
      <c r="I2704" s="102">
        <v>3.25</v>
      </c>
      <c r="J2704" s="102">
        <v>4.0</v>
      </c>
      <c r="K2704" s="101" t="s">
        <v>2941</v>
      </c>
      <c r="L2704" s="102">
        <v>23.0</v>
      </c>
      <c r="M2704" s="13"/>
    </row>
    <row r="2705">
      <c r="A2705" s="101" t="s">
        <v>5192</v>
      </c>
      <c r="B2705" s="101">
        <v>961.0</v>
      </c>
      <c r="C2705" s="13"/>
      <c r="D2705" s="13"/>
      <c r="E2705" s="13"/>
      <c r="F2705" s="13"/>
      <c r="G2705" s="102">
        <v>2.0</v>
      </c>
      <c r="H2705" s="101" t="s">
        <v>2942</v>
      </c>
      <c r="I2705" s="102">
        <v>3.0</v>
      </c>
      <c r="J2705" s="102">
        <v>3.69</v>
      </c>
      <c r="K2705" s="101" t="s">
        <v>2941</v>
      </c>
      <c r="L2705" s="102">
        <v>23.0</v>
      </c>
      <c r="M2705" s="13"/>
    </row>
    <row r="2706">
      <c r="A2706" s="101" t="s">
        <v>5193</v>
      </c>
      <c r="B2706" s="101">
        <v>958.0</v>
      </c>
      <c r="C2706" s="13"/>
      <c r="D2706" s="13"/>
      <c r="E2706" s="13"/>
      <c r="F2706" s="13"/>
      <c r="G2706" s="102">
        <v>1.0</v>
      </c>
      <c r="H2706" s="101" t="s">
        <v>2940</v>
      </c>
      <c r="I2706" s="102">
        <v>3.25</v>
      </c>
      <c r="J2706" s="102">
        <v>4.0</v>
      </c>
      <c r="K2706" s="101" t="s">
        <v>2941</v>
      </c>
      <c r="L2706" s="102">
        <v>23.0</v>
      </c>
      <c r="M2706" s="13"/>
    </row>
    <row r="2707">
      <c r="A2707" s="101" t="s">
        <v>5193</v>
      </c>
      <c r="B2707" s="101">
        <v>958.0</v>
      </c>
      <c r="C2707" s="13"/>
      <c r="D2707" s="13"/>
      <c r="E2707" s="13"/>
      <c r="F2707" s="13"/>
      <c r="G2707" s="102">
        <v>2.0</v>
      </c>
      <c r="H2707" s="101" t="s">
        <v>2942</v>
      </c>
      <c r="I2707" s="102">
        <v>3.0</v>
      </c>
      <c r="J2707" s="102">
        <v>3.69</v>
      </c>
      <c r="K2707" s="101" t="s">
        <v>2941</v>
      </c>
      <c r="L2707" s="102">
        <v>23.0</v>
      </c>
      <c r="M2707" s="13"/>
    </row>
    <row r="2708">
      <c r="A2708" s="101" t="s">
        <v>5194</v>
      </c>
      <c r="B2708" s="101">
        <v>1450.0</v>
      </c>
      <c r="C2708" s="13"/>
      <c r="D2708" s="13"/>
      <c r="E2708" s="13"/>
      <c r="F2708" s="13"/>
      <c r="G2708" s="102">
        <v>1.0</v>
      </c>
      <c r="H2708" s="101" t="s">
        <v>2940</v>
      </c>
      <c r="I2708" s="102">
        <v>3.25</v>
      </c>
      <c r="J2708" s="102">
        <v>4.0</v>
      </c>
      <c r="K2708" s="101" t="s">
        <v>2941</v>
      </c>
      <c r="L2708" s="102">
        <v>23.0</v>
      </c>
      <c r="M2708" s="13"/>
    </row>
    <row r="2709">
      <c r="A2709" s="101" t="s">
        <v>5194</v>
      </c>
      <c r="B2709" s="101">
        <v>1450.0</v>
      </c>
      <c r="C2709" s="13"/>
      <c r="D2709" s="13"/>
      <c r="E2709" s="13"/>
      <c r="F2709" s="13"/>
      <c r="G2709" s="102">
        <v>2.0</v>
      </c>
      <c r="H2709" s="101" t="s">
        <v>2942</v>
      </c>
      <c r="I2709" s="102">
        <v>3.0</v>
      </c>
      <c r="J2709" s="102">
        <v>3.69</v>
      </c>
      <c r="K2709" s="101" t="s">
        <v>2941</v>
      </c>
      <c r="L2709" s="102">
        <v>23.0</v>
      </c>
      <c r="M2709" s="13"/>
    </row>
    <row r="2710">
      <c r="A2710" s="101" t="s">
        <v>5195</v>
      </c>
      <c r="B2710" s="101">
        <v>20001.0</v>
      </c>
      <c r="C2710" s="13"/>
      <c r="D2710" s="13"/>
      <c r="E2710" s="13"/>
      <c r="F2710" s="13"/>
      <c r="G2710" s="102">
        <v>1.0</v>
      </c>
      <c r="H2710" s="101" t="s">
        <v>2940</v>
      </c>
      <c r="I2710" s="102">
        <v>0.89</v>
      </c>
      <c r="J2710" s="102">
        <v>1.09</v>
      </c>
      <c r="K2710" s="101" t="s">
        <v>2941</v>
      </c>
      <c r="L2710" s="102">
        <v>23.0</v>
      </c>
      <c r="M2710" s="13"/>
    </row>
    <row r="2711">
      <c r="A2711" s="101" t="s">
        <v>5195</v>
      </c>
      <c r="B2711" s="101">
        <v>20001.0</v>
      </c>
      <c r="C2711" s="13"/>
      <c r="D2711" s="13"/>
      <c r="E2711" s="13"/>
      <c r="F2711" s="13"/>
      <c r="G2711" s="102">
        <v>2.0</v>
      </c>
      <c r="H2711" s="101" t="s">
        <v>2942</v>
      </c>
      <c r="I2711" s="102">
        <v>0.7</v>
      </c>
      <c r="J2711" s="102">
        <v>0.86</v>
      </c>
      <c r="K2711" s="101" t="s">
        <v>2941</v>
      </c>
      <c r="L2711" s="102">
        <v>23.0</v>
      </c>
      <c r="M2711" s="13"/>
    </row>
    <row r="2712">
      <c r="A2712" s="101" t="s">
        <v>5196</v>
      </c>
      <c r="B2712" s="101" t="s">
        <v>5197</v>
      </c>
      <c r="D2712" s="13"/>
      <c r="E2712" s="13"/>
      <c r="F2712" s="13"/>
      <c r="G2712" s="102">
        <v>1.0</v>
      </c>
      <c r="H2712" s="101" t="s">
        <v>2940</v>
      </c>
      <c r="I2712" s="102">
        <v>2.44</v>
      </c>
      <c r="J2712" s="102">
        <v>3.0</v>
      </c>
      <c r="K2712" s="101" t="s">
        <v>2941</v>
      </c>
      <c r="L2712" s="102">
        <v>23.0</v>
      </c>
      <c r="M2712" s="13"/>
    </row>
    <row r="2713">
      <c r="A2713" s="101" t="s">
        <v>5196</v>
      </c>
      <c r="B2713" s="101" t="s">
        <v>5197</v>
      </c>
      <c r="D2713" s="13"/>
      <c r="E2713" s="13"/>
      <c r="F2713" s="13"/>
      <c r="G2713" s="102">
        <v>2.0</v>
      </c>
      <c r="H2713" s="101" t="s">
        <v>2942</v>
      </c>
      <c r="I2713" s="102">
        <v>2.0</v>
      </c>
      <c r="J2713" s="102">
        <v>2.46</v>
      </c>
      <c r="K2713" s="101" t="s">
        <v>2941</v>
      </c>
      <c r="L2713" s="102">
        <v>23.0</v>
      </c>
      <c r="M2713" s="13"/>
    </row>
    <row r="2714">
      <c r="A2714" s="101" t="s">
        <v>5198</v>
      </c>
      <c r="B2714" s="101">
        <v>21001.0</v>
      </c>
      <c r="C2714" s="13"/>
      <c r="D2714" s="13"/>
      <c r="E2714" s="13"/>
      <c r="F2714" s="13"/>
      <c r="G2714" s="102">
        <v>1.0</v>
      </c>
      <c r="H2714" s="101" t="s">
        <v>2940</v>
      </c>
      <c r="I2714" s="102">
        <v>0.89</v>
      </c>
      <c r="J2714" s="102">
        <v>1.09</v>
      </c>
      <c r="K2714" s="101" t="s">
        <v>2941</v>
      </c>
      <c r="L2714" s="102">
        <v>23.0</v>
      </c>
      <c r="M2714" s="13"/>
    </row>
    <row r="2715">
      <c r="A2715" s="101" t="s">
        <v>5198</v>
      </c>
      <c r="B2715" s="101">
        <v>21001.0</v>
      </c>
      <c r="C2715" s="13"/>
      <c r="D2715" s="13"/>
      <c r="E2715" s="13"/>
      <c r="F2715" s="13"/>
      <c r="G2715" s="102">
        <v>2.0</v>
      </c>
      <c r="H2715" s="101" t="s">
        <v>2942</v>
      </c>
      <c r="I2715" s="102">
        <v>0.7</v>
      </c>
      <c r="J2715" s="102">
        <v>0.86</v>
      </c>
      <c r="K2715" s="101" t="s">
        <v>2941</v>
      </c>
      <c r="L2715" s="102">
        <v>23.0</v>
      </c>
      <c r="M2715" s="13"/>
    </row>
    <row r="2716">
      <c r="A2716" s="101" t="s">
        <v>5199</v>
      </c>
      <c r="B2716" s="101">
        <v>24068.0</v>
      </c>
      <c r="C2716" s="13"/>
      <c r="D2716" s="13"/>
      <c r="E2716" s="13"/>
      <c r="F2716" s="13"/>
      <c r="G2716" s="102">
        <v>1.0</v>
      </c>
      <c r="H2716" s="101" t="s">
        <v>2940</v>
      </c>
      <c r="I2716" s="102">
        <v>2.44</v>
      </c>
      <c r="J2716" s="102">
        <v>3.0</v>
      </c>
      <c r="K2716" s="101" t="s">
        <v>2941</v>
      </c>
      <c r="L2716" s="102">
        <v>23.0</v>
      </c>
      <c r="M2716" s="13"/>
    </row>
    <row r="2717">
      <c r="A2717" s="101" t="s">
        <v>5199</v>
      </c>
      <c r="B2717" s="101">
        <v>24068.0</v>
      </c>
      <c r="C2717" s="13"/>
      <c r="D2717" s="13"/>
      <c r="E2717" s="13"/>
      <c r="F2717" s="13"/>
      <c r="G2717" s="102">
        <v>2.0</v>
      </c>
      <c r="H2717" s="101" t="s">
        <v>2942</v>
      </c>
      <c r="I2717" s="102">
        <v>2.0</v>
      </c>
      <c r="J2717" s="102">
        <v>2.46</v>
      </c>
      <c r="K2717" s="101" t="s">
        <v>2941</v>
      </c>
      <c r="L2717" s="102">
        <v>23.0</v>
      </c>
      <c r="M2717" s="13"/>
    </row>
    <row r="2718">
      <c r="A2718" s="101" t="s">
        <v>5200</v>
      </c>
      <c r="B2718" s="101">
        <v>24083.0</v>
      </c>
      <c r="C2718" s="13"/>
      <c r="D2718" s="13"/>
      <c r="E2718" s="13"/>
      <c r="F2718" s="13"/>
      <c r="G2718" s="102">
        <v>1.0</v>
      </c>
      <c r="H2718" s="101" t="s">
        <v>2940</v>
      </c>
      <c r="I2718" s="102">
        <v>2.44</v>
      </c>
      <c r="J2718" s="102">
        <v>3.0</v>
      </c>
      <c r="K2718" s="101" t="s">
        <v>2941</v>
      </c>
      <c r="L2718" s="102">
        <v>23.0</v>
      </c>
      <c r="M2718" s="13"/>
    </row>
    <row r="2719">
      <c r="A2719" s="101" t="s">
        <v>5200</v>
      </c>
      <c r="B2719" s="101">
        <v>24083.0</v>
      </c>
      <c r="C2719" s="13"/>
      <c r="D2719" s="13"/>
      <c r="E2719" s="13"/>
      <c r="F2719" s="13"/>
      <c r="G2719" s="102">
        <v>2.0</v>
      </c>
      <c r="H2719" s="101" t="s">
        <v>2942</v>
      </c>
      <c r="I2719" s="102">
        <v>2.0</v>
      </c>
      <c r="J2719" s="102">
        <v>2.46</v>
      </c>
      <c r="K2719" s="101" t="s">
        <v>2941</v>
      </c>
      <c r="L2719" s="102">
        <v>23.0</v>
      </c>
      <c r="M2719" s="13"/>
    </row>
    <row r="2720">
      <c r="A2720" s="101" t="s">
        <v>5201</v>
      </c>
      <c r="B2720" s="101">
        <v>24216.0</v>
      </c>
      <c r="C2720" s="13"/>
      <c r="D2720" s="13"/>
      <c r="E2720" s="13"/>
      <c r="F2720" s="13"/>
      <c r="G2720" s="102">
        <v>1.0</v>
      </c>
      <c r="H2720" s="101" t="s">
        <v>2940</v>
      </c>
      <c r="I2720" s="102">
        <v>2.44</v>
      </c>
      <c r="J2720" s="102">
        <v>3.0</v>
      </c>
      <c r="K2720" s="101" t="s">
        <v>2941</v>
      </c>
      <c r="L2720" s="102">
        <v>23.0</v>
      </c>
      <c r="M2720" s="13"/>
    </row>
    <row r="2721">
      <c r="A2721" s="101" t="s">
        <v>5201</v>
      </c>
      <c r="B2721" s="101">
        <v>24216.0</v>
      </c>
      <c r="C2721" s="13"/>
      <c r="D2721" s="13"/>
      <c r="E2721" s="13"/>
      <c r="F2721" s="13"/>
      <c r="G2721" s="102">
        <v>2.0</v>
      </c>
      <c r="H2721" s="101" t="s">
        <v>2942</v>
      </c>
      <c r="I2721" s="102">
        <v>2.0</v>
      </c>
      <c r="J2721" s="102">
        <v>2.46</v>
      </c>
      <c r="K2721" s="101" t="s">
        <v>2941</v>
      </c>
      <c r="L2721" s="102">
        <v>23.0</v>
      </c>
      <c r="M2721" s="13"/>
    </row>
    <row r="2722">
      <c r="A2722" s="101" t="s">
        <v>5202</v>
      </c>
      <c r="B2722" s="101">
        <v>24062.0</v>
      </c>
      <c r="C2722" s="13"/>
      <c r="D2722" s="13"/>
      <c r="E2722" s="13"/>
      <c r="F2722" s="13"/>
      <c r="G2722" s="102">
        <v>1.0</v>
      </c>
      <c r="H2722" s="101" t="s">
        <v>2940</v>
      </c>
      <c r="I2722" s="102">
        <v>5.04</v>
      </c>
      <c r="J2722" s="102">
        <v>6.2</v>
      </c>
      <c r="K2722" s="101" t="s">
        <v>2941</v>
      </c>
      <c r="L2722" s="102">
        <v>23.0</v>
      </c>
      <c r="M2722" s="13"/>
    </row>
    <row r="2723">
      <c r="A2723" s="101" t="s">
        <v>5202</v>
      </c>
      <c r="B2723" s="101">
        <v>24062.0</v>
      </c>
      <c r="C2723" s="13"/>
      <c r="D2723" s="13"/>
      <c r="E2723" s="13"/>
      <c r="F2723" s="13"/>
      <c r="G2723" s="102">
        <v>2.0</v>
      </c>
      <c r="H2723" s="101" t="s">
        <v>2942</v>
      </c>
      <c r="I2723" s="102">
        <v>4.0</v>
      </c>
      <c r="J2723" s="102">
        <v>4.92</v>
      </c>
      <c r="K2723" s="101" t="s">
        <v>2941</v>
      </c>
      <c r="L2723" s="102">
        <v>23.0</v>
      </c>
      <c r="M2723" s="13"/>
    </row>
    <row r="2724">
      <c r="A2724" s="101" t="s">
        <v>5203</v>
      </c>
      <c r="B2724" s="101">
        <v>1058.0</v>
      </c>
      <c r="C2724" s="13"/>
      <c r="D2724" s="13"/>
      <c r="E2724" s="13"/>
      <c r="F2724" s="13"/>
      <c r="G2724" s="102">
        <v>1.0</v>
      </c>
      <c r="H2724" s="101" t="s">
        <v>2940</v>
      </c>
      <c r="I2724" s="102">
        <v>2.44</v>
      </c>
      <c r="J2724" s="102">
        <v>3.0</v>
      </c>
      <c r="K2724" s="101" t="s">
        <v>2941</v>
      </c>
      <c r="L2724" s="102">
        <v>23.0</v>
      </c>
      <c r="M2724" s="13"/>
    </row>
    <row r="2725">
      <c r="A2725" s="101" t="s">
        <v>5203</v>
      </c>
      <c r="B2725" s="101">
        <v>1058.0</v>
      </c>
      <c r="C2725" s="13"/>
      <c r="D2725" s="13"/>
      <c r="E2725" s="13"/>
      <c r="F2725" s="13"/>
      <c r="G2725" s="102">
        <v>2.0</v>
      </c>
      <c r="H2725" s="101" t="s">
        <v>2942</v>
      </c>
      <c r="I2725" s="102">
        <v>2.0</v>
      </c>
      <c r="J2725" s="102">
        <v>2.46</v>
      </c>
      <c r="K2725" s="101" t="s">
        <v>2941</v>
      </c>
      <c r="L2725" s="102">
        <v>23.0</v>
      </c>
      <c r="M2725" s="13"/>
    </row>
    <row r="2726">
      <c r="A2726" s="101" t="s">
        <v>5204</v>
      </c>
      <c r="B2726" s="101">
        <v>24.0</v>
      </c>
      <c r="C2726" s="13"/>
      <c r="D2726" s="13"/>
      <c r="E2726" s="13"/>
      <c r="F2726" s="13"/>
      <c r="G2726" s="102">
        <v>1.0</v>
      </c>
      <c r="H2726" s="101" t="s">
        <v>2940</v>
      </c>
      <c r="I2726" s="102">
        <v>2.44</v>
      </c>
      <c r="J2726" s="102">
        <v>3.0</v>
      </c>
      <c r="K2726" s="101" t="s">
        <v>2941</v>
      </c>
      <c r="L2726" s="102">
        <v>23.0</v>
      </c>
      <c r="M2726" s="13"/>
    </row>
    <row r="2727">
      <c r="A2727" s="101" t="s">
        <v>5204</v>
      </c>
      <c r="B2727" s="101">
        <v>24.0</v>
      </c>
      <c r="C2727" s="13"/>
      <c r="D2727" s="13"/>
      <c r="E2727" s="13"/>
      <c r="F2727" s="13"/>
      <c r="G2727" s="102">
        <v>2.0</v>
      </c>
      <c r="H2727" s="101" t="s">
        <v>2942</v>
      </c>
      <c r="I2727" s="102">
        <v>2.0</v>
      </c>
      <c r="J2727" s="102">
        <v>2.46</v>
      </c>
      <c r="K2727" s="101" t="s">
        <v>2941</v>
      </c>
      <c r="L2727" s="102">
        <v>23.0</v>
      </c>
      <c r="M2727" s="13"/>
    </row>
    <row r="2728">
      <c r="A2728" s="101" t="s">
        <v>5205</v>
      </c>
      <c r="B2728" s="101">
        <v>1060.0</v>
      </c>
      <c r="C2728" s="13"/>
      <c r="D2728" s="13"/>
      <c r="E2728" s="13"/>
      <c r="F2728" s="13"/>
      <c r="G2728" s="102">
        <v>1.0</v>
      </c>
      <c r="H2728" s="101" t="s">
        <v>2940</v>
      </c>
      <c r="I2728" s="102">
        <v>2.44</v>
      </c>
      <c r="J2728" s="102">
        <v>3.0</v>
      </c>
      <c r="K2728" s="101" t="s">
        <v>2941</v>
      </c>
      <c r="L2728" s="102">
        <v>23.0</v>
      </c>
      <c r="M2728" s="13"/>
    </row>
    <row r="2729">
      <c r="A2729" s="101" t="s">
        <v>5205</v>
      </c>
      <c r="B2729" s="101">
        <v>1060.0</v>
      </c>
      <c r="C2729" s="13"/>
      <c r="D2729" s="13"/>
      <c r="E2729" s="13"/>
      <c r="F2729" s="13"/>
      <c r="G2729" s="102">
        <v>2.0</v>
      </c>
      <c r="H2729" s="101" t="s">
        <v>2942</v>
      </c>
      <c r="I2729" s="102">
        <v>2.0</v>
      </c>
      <c r="J2729" s="102">
        <v>2.46</v>
      </c>
      <c r="K2729" s="101" t="s">
        <v>2941</v>
      </c>
      <c r="L2729" s="102">
        <v>23.0</v>
      </c>
      <c r="M2729" s="13"/>
    </row>
    <row r="2730">
      <c r="A2730" s="101" t="s">
        <v>5206</v>
      </c>
      <c r="B2730" s="101">
        <v>848.0</v>
      </c>
      <c r="C2730" s="13"/>
      <c r="D2730" s="13"/>
      <c r="E2730" s="13"/>
      <c r="F2730" s="13"/>
      <c r="G2730" s="102">
        <v>1.0</v>
      </c>
      <c r="H2730" s="101" t="s">
        <v>2940</v>
      </c>
      <c r="I2730" s="102">
        <v>3.58</v>
      </c>
      <c r="J2730" s="102">
        <v>4.4</v>
      </c>
      <c r="K2730" s="101" t="s">
        <v>2941</v>
      </c>
      <c r="L2730" s="102">
        <v>23.0</v>
      </c>
      <c r="M2730" s="13"/>
    </row>
    <row r="2731">
      <c r="A2731" s="101" t="s">
        <v>5206</v>
      </c>
      <c r="B2731" s="101">
        <v>848.0</v>
      </c>
      <c r="C2731" s="13"/>
      <c r="D2731" s="13"/>
      <c r="E2731" s="13"/>
      <c r="F2731" s="13"/>
      <c r="G2731" s="102">
        <v>2.0</v>
      </c>
      <c r="H2731" s="101" t="s">
        <v>2942</v>
      </c>
      <c r="I2731" s="102">
        <v>3.6</v>
      </c>
      <c r="J2731" s="102">
        <v>4.43</v>
      </c>
      <c r="K2731" s="101" t="s">
        <v>2941</v>
      </c>
      <c r="L2731" s="102">
        <v>23.0</v>
      </c>
      <c r="M2731" s="13"/>
    </row>
    <row r="2732">
      <c r="A2732" s="101" t="s">
        <v>5207</v>
      </c>
      <c r="B2732" s="101">
        <v>1886.0</v>
      </c>
      <c r="C2732" s="13"/>
      <c r="D2732" s="13"/>
      <c r="E2732" s="13"/>
      <c r="F2732" s="13"/>
      <c r="G2732" s="102">
        <v>1.0</v>
      </c>
      <c r="H2732" s="101" t="s">
        <v>2940</v>
      </c>
      <c r="I2732" s="102">
        <v>3.58</v>
      </c>
      <c r="J2732" s="102">
        <v>4.4</v>
      </c>
      <c r="K2732" s="101" t="s">
        <v>2941</v>
      </c>
      <c r="L2732" s="102">
        <v>23.0</v>
      </c>
      <c r="M2732" s="13"/>
    </row>
    <row r="2733">
      <c r="A2733" s="101" t="s">
        <v>5207</v>
      </c>
      <c r="B2733" s="101">
        <v>1886.0</v>
      </c>
      <c r="C2733" s="13"/>
      <c r="D2733" s="13"/>
      <c r="E2733" s="13"/>
      <c r="F2733" s="13"/>
      <c r="G2733" s="102">
        <v>2.0</v>
      </c>
      <c r="H2733" s="101" t="s">
        <v>2942</v>
      </c>
      <c r="I2733" s="102">
        <v>3.6</v>
      </c>
      <c r="J2733" s="102">
        <v>4.43</v>
      </c>
      <c r="K2733" s="101" t="s">
        <v>2941</v>
      </c>
      <c r="L2733" s="102">
        <v>23.0</v>
      </c>
      <c r="M2733" s="13"/>
    </row>
    <row r="2734">
      <c r="A2734" s="101" t="s">
        <v>5208</v>
      </c>
      <c r="B2734" s="101">
        <v>24261.0</v>
      </c>
      <c r="C2734" s="13"/>
      <c r="D2734" s="13"/>
      <c r="E2734" s="13"/>
      <c r="F2734" s="13"/>
      <c r="G2734" s="102">
        <v>1.0</v>
      </c>
      <c r="H2734" s="101" t="s">
        <v>2940</v>
      </c>
      <c r="I2734" s="102">
        <v>2.44</v>
      </c>
      <c r="J2734" s="102">
        <v>3.0</v>
      </c>
      <c r="K2734" s="101" t="s">
        <v>2941</v>
      </c>
      <c r="L2734" s="102">
        <v>23.0</v>
      </c>
      <c r="M2734" s="13"/>
    </row>
    <row r="2735">
      <c r="A2735" s="101" t="s">
        <v>5208</v>
      </c>
      <c r="B2735" s="101">
        <v>24261.0</v>
      </c>
      <c r="C2735" s="13"/>
      <c r="D2735" s="13"/>
      <c r="E2735" s="13"/>
      <c r="F2735" s="13"/>
      <c r="G2735" s="102">
        <v>2.0</v>
      </c>
      <c r="H2735" s="101" t="s">
        <v>2942</v>
      </c>
      <c r="I2735" s="102">
        <v>2.0</v>
      </c>
      <c r="J2735" s="102">
        <v>2.46</v>
      </c>
      <c r="K2735" s="101" t="s">
        <v>2941</v>
      </c>
      <c r="L2735" s="102">
        <v>23.0</v>
      </c>
      <c r="M2735" s="13"/>
    </row>
    <row r="2736">
      <c r="A2736" s="101" t="s">
        <v>5209</v>
      </c>
      <c r="B2736" s="101">
        <v>21004.0</v>
      </c>
      <c r="C2736" s="13"/>
      <c r="D2736" s="13"/>
      <c r="E2736" s="13"/>
      <c r="F2736" s="13"/>
      <c r="G2736" s="102">
        <v>1.0</v>
      </c>
      <c r="H2736" s="101" t="s">
        <v>2940</v>
      </c>
      <c r="I2736" s="102">
        <v>0.89</v>
      </c>
      <c r="J2736" s="102">
        <v>1.09</v>
      </c>
      <c r="K2736" s="101" t="s">
        <v>2941</v>
      </c>
      <c r="L2736" s="102">
        <v>23.0</v>
      </c>
      <c r="M2736" s="13"/>
    </row>
    <row r="2737">
      <c r="A2737" s="101" t="s">
        <v>5209</v>
      </c>
      <c r="B2737" s="101">
        <v>21004.0</v>
      </c>
      <c r="C2737" s="13"/>
      <c r="D2737" s="13"/>
      <c r="E2737" s="13"/>
      <c r="F2737" s="13"/>
      <c r="G2737" s="102">
        <v>2.0</v>
      </c>
      <c r="H2737" s="101" t="s">
        <v>2942</v>
      </c>
      <c r="I2737" s="102">
        <v>0.7</v>
      </c>
      <c r="J2737" s="102">
        <v>0.86</v>
      </c>
      <c r="K2737" s="101" t="s">
        <v>2941</v>
      </c>
      <c r="L2737" s="102">
        <v>23.0</v>
      </c>
      <c r="M2737" s="13"/>
    </row>
    <row r="2738">
      <c r="A2738" s="101" t="s">
        <v>5210</v>
      </c>
      <c r="B2738" s="101">
        <v>20004.0</v>
      </c>
      <c r="C2738" s="13"/>
      <c r="D2738" s="13"/>
      <c r="E2738" s="13"/>
      <c r="F2738" s="13"/>
      <c r="G2738" s="102">
        <v>1.0</v>
      </c>
      <c r="H2738" s="101" t="s">
        <v>2940</v>
      </c>
      <c r="I2738" s="102">
        <v>0.89</v>
      </c>
      <c r="J2738" s="102">
        <v>1.09</v>
      </c>
      <c r="K2738" s="101" t="s">
        <v>2941</v>
      </c>
      <c r="L2738" s="102">
        <v>23.0</v>
      </c>
      <c r="M2738" s="13"/>
    </row>
    <row r="2739">
      <c r="A2739" s="101" t="s">
        <v>5210</v>
      </c>
      <c r="B2739" s="101">
        <v>20004.0</v>
      </c>
      <c r="C2739" s="13"/>
      <c r="D2739" s="13"/>
      <c r="E2739" s="13"/>
      <c r="F2739" s="13"/>
      <c r="G2739" s="102">
        <v>2.0</v>
      </c>
      <c r="H2739" s="101" t="s">
        <v>2942</v>
      </c>
      <c r="I2739" s="102">
        <v>0.7</v>
      </c>
      <c r="J2739" s="102">
        <v>0.86</v>
      </c>
      <c r="K2739" s="101" t="s">
        <v>2941</v>
      </c>
      <c r="L2739" s="102">
        <v>23.0</v>
      </c>
      <c r="M2739" s="13"/>
    </row>
    <row r="2740">
      <c r="A2740" s="101" t="s">
        <v>5211</v>
      </c>
      <c r="B2740" s="101">
        <v>1191.0</v>
      </c>
      <c r="C2740" s="13"/>
      <c r="D2740" s="13"/>
      <c r="E2740" s="13"/>
      <c r="F2740" s="13"/>
      <c r="G2740" s="102">
        <v>1.0</v>
      </c>
      <c r="H2740" s="101" t="s">
        <v>2940</v>
      </c>
      <c r="I2740" s="102">
        <v>3.0</v>
      </c>
      <c r="J2740" s="102">
        <v>3.69</v>
      </c>
      <c r="K2740" s="101" t="s">
        <v>2941</v>
      </c>
      <c r="L2740" s="102">
        <v>23.0</v>
      </c>
      <c r="M2740" s="13"/>
    </row>
    <row r="2741">
      <c r="A2741" s="101" t="s">
        <v>5211</v>
      </c>
      <c r="B2741" s="101">
        <v>1191.0</v>
      </c>
      <c r="C2741" s="13"/>
      <c r="D2741" s="13"/>
      <c r="E2741" s="13"/>
      <c r="F2741" s="13"/>
      <c r="G2741" s="102">
        <v>2.0</v>
      </c>
      <c r="H2741" s="101" t="s">
        <v>2942</v>
      </c>
      <c r="I2741" s="102">
        <v>3.0</v>
      </c>
      <c r="J2741" s="102">
        <v>3.69</v>
      </c>
      <c r="K2741" s="101" t="s">
        <v>2941</v>
      </c>
      <c r="L2741" s="102">
        <v>23.0</v>
      </c>
      <c r="M2741" s="13"/>
    </row>
    <row r="2742">
      <c r="A2742" s="101" t="s">
        <v>5212</v>
      </c>
      <c r="B2742" s="101">
        <v>24060.0</v>
      </c>
      <c r="C2742" s="13"/>
      <c r="D2742" s="13"/>
      <c r="E2742" s="13"/>
      <c r="F2742" s="13"/>
      <c r="G2742" s="102">
        <v>1.0</v>
      </c>
      <c r="H2742" s="101" t="s">
        <v>2940</v>
      </c>
      <c r="I2742" s="102">
        <v>6.34</v>
      </c>
      <c r="J2742" s="102">
        <v>7.8</v>
      </c>
      <c r="K2742" s="101" t="s">
        <v>2941</v>
      </c>
      <c r="L2742" s="102">
        <v>23.0</v>
      </c>
      <c r="M2742" s="13"/>
    </row>
    <row r="2743">
      <c r="A2743" s="101" t="s">
        <v>5212</v>
      </c>
      <c r="B2743" s="101">
        <v>24060.0</v>
      </c>
      <c r="C2743" s="13"/>
      <c r="D2743" s="13"/>
      <c r="E2743" s="13"/>
      <c r="F2743" s="13"/>
      <c r="G2743" s="102">
        <v>2.0</v>
      </c>
      <c r="H2743" s="101" t="s">
        <v>2942</v>
      </c>
      <c r="I2743" s="102">
        <v>5.68</v>
      </c>
      <c r="J2743" s="102">
        <v>6.99</v>
      </c>
      <c r="K2743" s="101" t="s">
        <v>2941</v>
      </c>
      <c r="L2743" s="102">
        <v>23.0</v>
      </c>
      <c r="M2743" s="13"/>
    </row>
    <row r="2744">
      <c r="A2744" s="101" t="s">
        <v>5213</v>
      </c>
      <c r="B2744" s="101">
        <v>1430.0</v>
      </c>
      <c r="C2744" s="13"/>
      <c r="D2744" s="13"/>
      <c r="E2744" s="13"/>
      <c r="F2744" s="13"/>
      <c r="G2744" s="102">
        <v>1.0</v>
      </c>
      <c r="H2744" s="101" t="s">
        <v>2940</v>
      </c>
      <c r="I2744" s="102">
        <v>2.44</v>
      </c>
      <c r="J2744" s="102">
        <v>3.0</v>
      </c>
      <c r="K2744" s="101" t="s">
        <v>2941</v>
      </c>
      <c r="L2744" s="102">
        <v>23.0</v>
      </c>
      <c r="M2744" s="13"/>
    </row>
    <row r="2745">
      <c r="A2745" s="101" t="s">
        <v>5213</v>
      </c>
      <c r="B2745" s="101">
        <v>1430.0</v>
      </c>
      <c r="C2745" s="13"/>
      <c r="D2745" s="13"/>
      <c r="E2745" s="13"/>
      <c r="F2745" s="13"/>
      <c r="G2745" s="102">
        <v>2.0</v>
      </c>
      <c r="H2745" s="101" t="s">
        <v>2942</v>
      </c>
      <c r="I2745" s="102">
        <v>2.0</v>
      </c>
      <c r="J2745" s="102">
        <v>2.46</v>
      </c>
      <c r="K2745" s="101" t="s">
        <v>2941</v>
      </c>
      <c r="L2745" s="102">
        <v>23.0</v>
      </c>
      <c r="M2745" s="13"/>
    </row>
    <row r="2746">
      <c r="A2746" s="101" t="s">
        <v>5214</v>
      </c>
      <c r="B2746" s="101">
        <v>25.0</v>
      </c>
      <c r="C2746" s="13"/>
      <c r="D2746" s="13"/>
      <c r="E2746" s="13"/>
      <c r="F2746" s="13"/>
      <c r="G2746" s="102">
        <v>1.0</v>
      </c>
      <c r="H2746" s="101" t="s">
        <v>2940</v>
      </c>
      <c r="I2746" s="102">
        <v>2.7</v>
      </c>
      <c r="J2746" s="102">
        <v>3.32</v>
      </c>
      <c r="K2746" s="101" t="s">
        <v>2941</v>
      </c>
      <c r="L2746" s="102">
        <v>23.0</v>
      </c>
      <c r="M2746" s="13"/>
    </row>
    <row r="2747">
      <c r="A2747" s="101" t="s">
        <v>5214</v>
      </c>
      <c r="B2747" s="101">
        <v>25.0</v>
      </c>
      <c r="C2747" s="13"/>
      <c r="D2747" s="13"/>
      <c r="E2747" s="13"/>
      <c r="F2747" s="13"/>
      <c r="G2747" s="102">
        <v>2.0</v>
      </c>
      <c r="H2747" s="101" t="s">
        <v>2942</v>
      </c>
      <c r="I2747" s="102">
        <v>2.7</v>
      </c>
      <c r="J2747" s="102">
        <v>3.32</v>
      </c>
      <c r="K2747" s="101" t="s">
        <v>2941</v>
      </c>
      <c r="L2747" s="102">
        <v>23.0</v>
      </c>
      <c r="M2747" s="13"/>
    </row>
    <row r="2748">
      <c r="A2748" s="101" t="s">
        <v>5215</v>
      </c>
      <c r="B2748" s="101">
        <v>308.0</v>
      </c>
      <c r="C2748" s="13"/>
      <c r="D2748" s="13"/>
      <c r="E2748" s="13"/>
      <c r="F2748" s="13"/>
      <c r="G2748" s="102">
        <v>1.0</v>
      </c>
      <c r="H2748" s="101" t="s">
        <v>2940</v>
      </c>
      <c r="I2748" s="102">
        <v>2.7</v>
      </c>
      <c r="J2748" s="102">
        <v>3.32</v>
      </c>
      <c r="K2748" s="101" t="s">
        <v>2941</v>
      </c>
      <c r="L2748" s="102">
        <v>23.0</v>
      </c>
      <c r="M2748" s="13"/>
    </row>
    <row r="2749">
      <c r="A2749" s="101" t="s">
        <v>5215</v>
      </c>
      <c r="B2749" s="101">
        <v>308.0</v>
      </c>
      <c r="C2749" s="13"/>
      <c r="D2749" s="13"/>
      <c r="E2749" s="13"/>
      <c r="F2749" s="13"/>
      <c r="G2749" s="102">
        <v>2.0</v>
      </c>
      <c r="H2749" s="101" t="s">
        <v>2942</v>
      </c>
      <c r="I2749" s="102">
        <v>2.7</v>
      </c>
      <c r="J2749" s="102">
        <v>3.32</v>
      </c>
      <c r="K2749" s="101" t="s">
        <v>2941</v>
      </c>
      <c r="L2749" s="102">
        <v>23.0</v>
      </c>
      <c r="M2749" s="13"/>
    </row>
    <row r="2750">
      <c r="A2750" s="101" t="s">
        <v>5216</v>
      </c>
      <c r="B2750" s="101">
        <v>1448.0</v>
      </c>
      <c r="C2750" s="13"/>
      <c r="D2750" s="13"/>
      <c r="E2750" s="13"/>
      <c r="F2750" s="13"/>
      <c r="G2750" s="102">
        <v>1.0</v>
      </c>
      <c r="H2750" s="101" t="s">
        <v>2940</v>
      </c>
      <c r="I2750" s="102">
        <v>2.44</v>
      </c>
      <c r="J2750" s="102">
        <v>3.0</v>
      </c>
      <c r="K2750" s="101" t="s">
        <v>2941</v>
      </c>
      <c r="L2750" s="102">
        <v>23.0</v>
      </c>
      <c r="M2750" s="13"/>
    </row>
    <row r="2751">
      <c r="A2751" s="101" t="s">
        <v>5216</v>
      </c>
      <c r="B2751" s="101">
        <v>1448.0</v>
      </c>
      <c r="C2751" s="13"/>
      <c r="D2751" s="13"/>
      <c r="E2751" s="13"/>
      <c r="F2751" s="13"/>
      <c r="G2751" s="102">
        <v>2.0</v>
      </c>
      <c r="H2751" s="101" t="s">
        <v>2942</v>
      </c>
      <c r="I2751" s="102">
        <v>2.0</v>
      </c>
      <c r="J2751" s="102">
        <v>2.46</v>
      </c>
      <c r="K2751" s="101" t="s">
        <v>2941</v>
      </c>
      <c r="L2751" s="102">
        <v>23.0</v>
      </c>
      <c r="M2751" s="13"/>
    </row>
    <row r="2752">
      <c r="A2752" s="101" t="s">
        <v>5217</v>
      </c>
      <c r="B2752" s="101" t="s">
        <v>5218</v>
      </c>
      <c r="D2752" s="13"/>
      <c r="E2752" s="13"/>
      <c r="F2752" s="13"/>
      <c r="G2752" s="102">
        <v>1.0</v>
      </c>
      <c r="H2752" s="101" t="s">
        <v>2940</v>
      </c>
      <c r="I2752" s="102">
        <v>2.44</v>
      </c>
      <c r="J2752" s="102">
        <v>3.0</v>
      </c>
      <c r="K2752" s="101" t="s">
        <v>2941</v>
      </c>
      <c r="L2752" s="102">
        <v>23.0</v>
      </c>
      <c r="M2752" s="13"/>
    </row>
    <row r="2753">
      <c r="A2753" s="101" t="s">
        <v>5217</v>
      </c>
      <c r="B2753" s="101" t="s">
        <v>5218</v>
      </c>
      <c r="D2753" s="13"/>
      <c r="E2753" s="13"/>
      <c r="F2753" s="13"/>
      <c r="G2753" s="102">
        <v>2.0</v>
      </c>
      <c r="H2753" s="101" t="s">
        <v>2942</v>
      </c>
      <c r="I2753" s="102">
        <v>2.0</v>
      </c>
      <c r="J2753" s="102">
        <v>2.46</v>
      </c>
      <c r="K2753" s="101" t="s">
        <v>2941</v>
      </c>
      <c r="L2753" s="102">
        <v>23.0</v>
      </c>
      <c r="M2753" s="13"/>
    </row>
    <row r="2754">
      <c r="A2754" s="101" t="s">
        <v>5219</v>
      </c>
      <c r="B2754" s="101" t="s">
        <v>5220</v>
      </c>
      <c r="D2754" s="13"/>
      <c r="E2754" s="13"/>
      <c r="F2754" s="13"/>
      <c r="G2754" s="102">
        <v>1.0</v>
      </c>
      <c r="H2754" s="101" t="s">
        <v>2940</v>
      </c>
      <c r="I2754" s="102">
        <v>2.44</v>
      </c>
      <c r="J2754" s="102">
        <v>3.0</v>
      </c>
      <c r="K2754" s="101" t="s">
        <v>2941</v>
      </c>
      <c r="L2754" s="102">
        <v>23.0</v>
      </c>
      <c r="M2754" s="13"/>
    </row>
    <row r="2755">
      <c r="A2755" s="101" t="s">
        <v>5219</v>
      </c>
      <c r="B2755" s="101" t="s">
        <v>5220</v>
      </c>
      <c r="D2755" s="13"/>
      <c r="E2755" s="13"/>
      <c r="F2755" s="13"/>
      <c r="G2755" s="102">
        <v>2.0</v>
      </c>
      <c r="H2755" s="101" t="s">
        <v>2942</v>
      </c>
      <c r="I2755" s="102">
        <v>1.9</v>
      </c>
      <c r="J2755" s="102">
        <v>2.34</v>
      </c>
      <c r="K2755" s="101" t="s">
        <v>2941</v>
      </c>
      <c r="L2755" s="102">
        <v>23.0</v>
      </c>
      <c r="M2755" s="13"/>
    </row>
    <row r="2756">
      <c r="A2756" s="101" t="s">
        <v>5221</v>
      </c>
      <c r="B2756" s="101" t="s">
        <v>5222</v>
      </c>
      <c r="D2756" s="13"/>
      <c r="E2756" s="13"/>
      <c r="F2756" s="13"/>
      <c r="G2756" s="102">
        <v>1.0</v>
      </c>
      <c r="H2756" s="101" t="s">
        <v>2940</v>
      </c>
      <c r="I2756" s="102">
        <v>2.52</v>
      </c>
      <c r="J2756" s="102">
        <v>3.1</v>
      </c>
      <c r="K2756" s="101" t="s">
        <v>2941</v>
      </c>
      <c r="L2756" s="102">
        <v>23.0</v>
      </c>
      <c r="M2756" s="13"/>
    </row>
    <row r="2757">
      <c r="A2757" s="101" t="s">
        <v>5221</v>
      </c>
      <c r="B2757" s="101" t="s">
        <v>5222</v>
      </c>
      <c r="D2757" s="13"/>
      <c r="E2757" s="13"/>
      <c r="F2757" s="13"/>
      <c r="G2757" s="102">
        <v>2.0</v>
      </c>
      <c r="H2757" s="101" t="s">
        <v>2942</v>
      </c>
      <c r="I2757" s="102">
        <v>2.0</v>
      </c>
      <c r="J2757" s="102">
        <v>2.46</v>
      </c>
      <c r="K2757" s="101" t="s">
        <v>2941</v>
      </c>
      <c r="L2757" s="102">
        <v>23.0</v>
      </c>
      <c r="M2757" s="13"/>
    </row>
    <row r="2758">
      <c r="A2758" s="101" t="s">
        <v>5223</v>
      </c>
      <c r="B2758" s="101">
        <v>24201.0</v>
      </c>
      <c r="C2758" s="13"/>
      <c r="D2758" s="13"/>
      <c r="E2758" s="13"/>
      <c r="F2758" s="13"/>
      <c r="G2758" s="102">
        <v>1.0</v>
      </c>
      <c r="H2758" s="101" t="s">
        <v>2940</v>
      </c>
      <c r="I2758" s="102">
        <v>2.6</v>
      </c>
      <c r="J2758" s="102">
        <v>3.2</v>
      </c>
      <c r="K2758" s="101" t="s">
        <v>2941</v>
      </c>
      <c r="L2758" s="102">
        <v>23.0</v>
      </c>
      <c r="M2758" s="13"/>
    </row>
    <row r="2759">
      <c r="A2759" s="101" t="s">
        <v>5223</v>
      </c>
      <c r="B2759" s="101">
        <v>24201.0</v>
      </c>
      <c r="C2759" s="13"/>
      <c r="D2759" s="13"/>
      <c r="E2759" s="13"/>
      <c r="F2759" s="13"/>
      <c r="G2759" s="102">
        <v>2.0</v>
      </c>
      <c r="H2759" s="101" t="s">
        <v>2942</v>
      </c>
      <c r="I2759" s="102">
        <v>2.6</v>
      </c>
      <c r="J2759" s="102">
        <v>3.2</v>
      </c>
      <c r="K2759" s="101" t="s">
        <v>2941</v>
      </c>
      <c r="L2759" s="102">
        <v>23.0</v>
      </c>
      <c r="M2759" s="13"/>
    </row>
    <row r="2760">
      <c r="A2760" s="101" t="s">
        <v>5224</v>
      </c>
      <c r="B2760" s="101" t="s">
        <v>5225</v>
      </c>
      <c r="D2760" s="13"/>
      <c r="E2760" s="13"/>
      <c r="F2760" s="13"/>
      <c r="G2760" s="102">
        <v>1.0</v>
      </c>
      <c r="H2760" s="101" t="s">
        <v>2940</v>
      </c>
      <c r="I2760" s="102">
        <v>2.44</v>
      </c>
      <c r="J2760" s="102">
        <v>3.0</v>
      </c>
      <c r="K2760" s="101" t="s">
        <v>2941</v>
      </c>
      <c r="L2760" s="102">
        <v>23.0</v>
      </c>
      <c r="M2760" s="13"/>
    </row>
    <row r="2761">
      <c r="A2761" s="101" t="s">
        <v>5224</v>
      </c>
      <c r="B2761" s="101" t="s">
        <v>5225</v>
      </c>
      <c r="D2761" s="13"/>
      <c r="E2761" s="13"/>
      <c r="F2761" s="13"/>
      <c r="G2761" s="102">
        <v>2.0</v>
      </c>
      <c r="H2761" s="101" t="s">
        <v>2942</v>
      </c>
      <c r="I2761" s="102">
        <v>2.0</v>
      </c>
      <c r="J2761" s="102">
        <v>2.46</v>
      </c>
      <c r="K2761" s="101" t="s">
        <v>2941</v>
      </c>
      <c r="L2761" s="102">
        <v>23.0</v>
      </c>
      <c r="M2761" s="13"/>
    </row>
    <row r="2762">
      <c r="A2762" s="101" t="s">
        <v>5226</v>
      </c>
      <c r="B2762" s="101" t="s">
        <v>5227</v>
      </c>
      <c r="D2762" s="13"/>
      <c r="E2762" s="13"/>
      <c r="F2762" s="13"/>
      <c r="G2762" s="102">
        <v>1.0</v>
      </c>
      <c r="H2762" s="101" t="s">
        <v>2940</v>
      </c>
      <c r="I2762" s="102">
        <v>2.68</v>
      </c>
      <c r="J2762" s="102">
        <v>3.3</v>
      </c>
      <c r="K2762" s="101" t="s">
        <v>2941</v>
      </c>
      <c r="L2762" s="102">
        <v>23.0</v>
      </c>
      <c r="M2762" s="13"/>
    </row>
    <row r="2763">
      <c r="A2763" s="101" t="s">
        <v>5226</v>
      </c>
      <c r="B2763" s="101" t="s">
        <v>5227</v>
      </c>
      <c r="D2763" s="13"/>
      <c r="E2763" s="13"/>
      <c r="F2763" s="13"/>
      <c r="G2763" s="102">
        <v>2.0</v>
      </c>
      <c r="H2763" s="101" t="s">
        <v>2942</v>
      </c>
      <c r="I2763" s="102">
        <v>2.7</v>
      </c>
      <c r="J2763" s="102">
        <v>3.32</v>
      </c>
      <c r="K2763" s="101" t="s">
        <v>2941</v>
      </c>
      <c r="L2763" s="102">
        <v>23.0</v>
      </c>
      <c r="M2763" s="13"/>
    </row>
    <row r="2764">
      <c r="A2764" s="101" t="s">
        <v>5228</v>
      </c>
      <c r="B2764" s="101" t="s">
        <v>5229</v>
      </c>
      <c r="D2764" s="13"/>
      <c r="E2764" s="13"/>
      <c r="F2764" s="13"/>
      <c r="G2764" s="102">
        <v>1.0</v>
      </c>
      <c r="H2764" s="101" t="s">
        <v>2940</v>
      </c>
      <c r="I2764" s="102">
        <v>2.68</v>
      </c>
      <c r="J2764" s="102">
        <v>3.3</v>
      </c>
      <c r="K2764" s="101" t="s">
        <v>2941</v>
      </c>
      <c r="L2764" s="102">
        <v>23.0</v>
      </c>
      <c r="M2764" s="13"/>
    </row>
    <row r="2765">
      <c r="A2765" s="101" t="s">
        <v>5228</v>
      </c>
      <c r="B2765" s="101" t="s">
        <v>5229</v>
      </c>
      <c r="D2765" s="13"/>
      <c r="E2765" s="13"/>
      <c r="F2765" s="13"/>
      <c r="G2765" s="102">
        <v>2.0</v>
      </c>
      <c r="H2765" s="101" t="s">
        <v>2942</v>
      </c>
      <c r="I2765" s="102">
        <v>2.7</v>
      </c>
      <c r="J2765" s="102">
        <v>3.32</v>
      </c>
      <c r="K2765" s="101" t="s">
        <v>2941</v>
      </c>
      <c r="L2765" s="102">
        <v>23.0</v>
      </c>
      <c r="M2765" s="13"/>
    </row>
    <row r="2766">
      <c r="A2766" s="101" t="s">
        <v>5230</v>
      </c>
      <c r="B2766" s="101" t="s">
        <v>5231</v>
      </c>
      <c r="D2766" s="13"/>
      <c r="E2766" s="13"/>
      <c r="F2766" s="13"/>
      <c r="G2766" s="102">
        <v>1.0</v>
      </c>
      <c r="H2766" s="101" t="s">
        <v>2940</v>
      </c>
      <c r="I2766" s="102">
        <v>2.44</v>
      </c>
      <c r="J2766" s="102">
        <v>3.0</v>
      </c>
      <c r="K2766" s="101" t="s">
        <v>2941</v>
      </c>
      <c r="L2766" s="102">
        <v>23.0</v>
      </c>
      <c r="M2766" s="13"/>
    </row>
    <row r="2767">
      <c r="A2767" s="101" t="s">
        <v>5230</v>
      </c>
      <c r="B2767" s="101" t="s">
        <v>5231</v>
      </c>
      <c r="D2767" s="13"/>
      <c r="E2767" s="13"/>
      <c r="F2767" s="13"/>
      <c r="G2767" s="102">
        <v>2.0</v>
      </c>
      <c r="H2767" s="101" t="s">
        <v>2942</v>
      </c>
      <c r="I2767" s="102">
        <v>1.9</v>
      </c>
      <c r="J2767" s="102">
        <v>2.34</v>
      </c>
      <c r="K2767" s="101" t="s">
        <v>2941</v>
      </c>
      <c r="L2767" s="102">
        <v>23.0</v>
      </c>
      <c r="M2767" s="13"/>
    </row>
    <row r="2768">
      <c r="A2768" s="101" t="s">
        <v>5232</v>
      </c>
      <c r="B2768" s="101">
        <v>1172.0</v>
      </c>
      <c r="C2768" s="13"/>
      <c r="D2768" s="13"/>
      <c r="E2768" s="13"/>
      <c r="F2768" s="13"/>
      <c r="G2768" s="102">
        <v>1.0</v>
      </c>
      <c r="H2768" s="101" t="s">
        <v>2940</v>
      </c>
      <c r="I2768" s="102">
        <v>4.39</v>
      </c>
      <c r="J2768" s="102">
        <v>5.4</v>
      </c>
      <c r="K2768" s="101" t="s">
        <v>2941</v>
      </c>
      <c r="L2768" s="102">
        <v>23.0</v>
      </c>
      <c r="M2768" s="13"/>
    </row>
    <row r="2769">
      <c r="A2769" s="101" t="s">
        <v>5232</v>
      </c>
      <c r="B2769" s="101">
        <v>1172.0</v>
      </c>
      <c r="C2769" s="13"/>
      <c r="D2769" s="13"/>
      <c r="E2769" s="13"/>
      <c r="F2769" s="13"/>
      <c r="G2769" s="102">
        <v>2.0</v>
      </c>
      <c r="H2769" s="101" t="s">
        <v>2942</v>
      </c>
      <c r="I2769" s="102">
        <v>4.4</v>
      </c>
      <c r="J2769" s="102">
        <v>5.41</v>
      </c>
      <c r="K2769" s="101" t="s">
        <v>2941</v>
      </c>
      <c r="L2769" s="102">
        <v>23.0</v>
      </c>
      <c r="M2769" s="13"/>
    </row>
    <row r="2770">
      <c r="A2770" s="101" t="s">
        <v>5233</v>
      </c>
      <c r="B2770" s="101">
        <v>1173.0</v>
      </c>
      <c r="C2770" s="13"/>
      <c r="D2770" s="13"/>
      <c r="E2770" s="13"/>
      <c r="F2770" s="13"/>
      <c r="G2770" s="102">
        <v>1.0</v>
      </c>
      <c r="H2770" s="101" t="s">
        <v>2940</v>
      </c>
      <c r="I2770" s="102">
        <v>5.28</v>
      </c>
      <c r="J2770" s="102">
        <v>6.49</v>
      </c>
      <c r="K2770" s="101" t="s">
        <v>2941</v>
      </c>
      <c r="L2770" s="102">
        <v>23.0</v>
      </c>
      <c r="M2770" s="13"/>
    </row>
    <row r="2771">
      <c r="A2771" s="101" t="s">
        <v>5233</v>
      </c>
      <c r="B2771" s="101">
        <v>1173.0</v>
      </c>
      <c r="C2771" s="13"/>
      <c r="D2771" s="13"/>
      <c r="E2771" s="13"/>
      <c r="F2771" s="13"/>
      <c r="G2771" s="102">
        <v>2.0</v>
      </c>
      <c r="H2771" s="101" t="s">
        <v>2942</v>
      </c>
      <c r="I2771" s="102">
        <v>5.3</v>
      </c>
      <c r="J2771" s="102">
        <v>6.52</v>
      </c>
      <c r="K2771" s="101" t="s">
        <v>2941</v>
      </c>
      <c r="L2771" s="102">
        <v>23.0</v>
      </c>
      <c r="M2771" s="13"/>
    </row>
    <row r="2772">
      <c r="A2772" s="101" t="s">
        <v>5234</v>
      </c>
      <c r="B2772" s="101">
        <v>1745.0</v>
      </c>
      <c r="C2772" s="13"/>
      <c r="D2772" s="13"/>
      <c r="E2772" s="13"/>
      <c r="F2772" s="13"/>
      <c r="G2772" s="102">
        <v>1.0</v>
      </c>
      <c r="H2772" s="101" t="s">
        <v>2940</v>
      </c>
      <c r="I2772" s="102">
        <v>3.9</v>
      </c>
      <c r="J2772" s="102">
        <v>4.8</v>
      </c>
      <c r="K2772" s="101" t="s">
        <v>2941</v>
      </c>
      <c r="L2772" s="102">
        <v>23.0</v>
      </c>
      <c r="M2772" s="13"/>
    </row>
    <row r="2773">
      <c r="A2773" s="101" t="s">
        <v>5234</v>
      </c>
      <c r="B2773" s="101">
        <v>1745.0</v>
      </c>
      <c r="C2773" s="13"/>
      <c r="D2773" s="13"/>
      <c r="E2773" s="13"/>
      <c r="F2773" s="13"/>
      <c r="G2773" s="102">
        <v>2.0</v>
      </c>
      <c r="H2773" s="101" t="s">
        <v>2942</v>
      </c>
      <c r="I2773" s="102">
        <v>3.9</v>
      </c>
      <c r="J2773" s="102">
        <v>4.8</v>
      </c>
      <c r="K2773" s="101" t="s">
        <v>2941</v>
      </c>
      <c r="L2773" s="102">
        <v>23.0</v>
      </c>
      <c r="M2773" s="13"/>
    </row>
    <row r="2774">
      <c r="A2774" s="101" t="s">
        <v>5235</v>
      </c>
      <c r="B2774" s="101">
        <v>24127.0</v>
      </c>
      <c r="C2774" s="13"/>
      <c r="D2774" s="13"/>
      <c r="E2774" s="13"/>
      <c r="F2774" s="13"/>
      <c r="G2774" s="102">
        <v>1.0</v>
      </c>
      <c r="H2774" s="101" t="s">
        <v>2940</v>
      </c>
      <c r="I2774" s="102">
        <v>6.18</v>
      </c>
      <c r="J2774" s="102">
        <v>7.6</v>
      </c>
      <c r="K2774" s="101" t="s">
        <v>2941</v>
      </c>
      <c r="L2774" s="102">
        <v>23.0</v>
      </c>
      <c r="M2774" s="13"/>
    </row>
    <row r="2775">
      <c r="A2775" s="101" t="s">
        <v>5235</v>
      </c>
      <c r="B2775" s="101">
        <v>24127.0</v>
      </c>
      <c r="C2775" s="13"/>
      <c r="D2775" s="13"/>
      <c r="E2775" s="13"/>
      <c r="F2775" s="13"/>
      <c r="G2775" s="102">
        <v>2.0</v>
      </c>
      <c r="H2775" s="101" t="s">
        <v>2942</v>
      </c>
      <c r="I2775" s="102">
        <v>6.2</v>
      </c>
      <c r="J2775" s="102">
        <v>7.63</v>
      </c>
      <c r="K2775" s="101" t="s">
        <v>2941</v>
      </c>
      <c r="L2775" s="102">
        <v>23.0</v>
      </c>
      <c r="M2775" s="13"/>
    </row>
    <row r="2776">
      <c r="A2776" s="101" t="s">
        <v>5236</v>
      </c>
      <c r="B2776" s="101">
        <v>24203.0</v>
      </c>
      <c r="C2776" s="13"/>
      <c r="D2776" s="13"/>
      <c r="E2776" s="13"/>
      <c r="F2776" s="13"/>
      <c r="G2776" s="102">
        <v>1.0</v>
      </c>
      <c r="H2776" s="101" t="s">
        <v>2940</v>
      </c>
      <c r="I2776" s="102">
        <v>2.68</v>
      </c>
      <c r="J2776" s="102">
        <v>3.3</v>
      </c>
      <c r="K2776" s="101" t="s">
        <v>2941</v>
      </c>
      <c r="L2776" s="102">
        <v>23.0</v>
      </c>
      <c r="M2776" s="13"/>
    </row>
    <row r="2777">
      <c r="A2777" s="101" t="s">
        <v>5236</v>
      </c>
      <c r="B2777" s="101">
        <v>24203.0</v>
      </c>
      <c r="C2777" s="13"/>
      <c r="D2777" s="13"/>
      <c r="E2777" s="13"/>
      <c r="F2777" s="13"/>
      <c r="G2777" s="102">
        <v>2.0</v>
      </c>
      <c r="H2777" s="101" t="s">
        <v>2942</v>
      </c>
      <c r="I2777" s="102">
        <v>2.7</v>
      </c>
      <c r="J2777" s="102">
        <v>3.32</v>
      </c>
      <c r="K2777" s="101" t="s">
        <v>2941</v>
      </c>
      <c r="L2777" s="102">
        <v>23.0</v>
      </c>
      <c r="M2777" s="13"/>
    </row>
    <row r="2778">
      <c r="A2778" s="101" t="s">
        <v>5237</v>
      </c>
      <c r="B2778" s="101">
        <v>24212.0</v>
      </c>
      <c r="C2778" s="13"/>
      <c r="D2778" s="13"/>
      <c r="E2778" s="13"/>
      <c r="F2778" s="13"/>
      <c r="G2778" s="102">
        <v>1.0</v>
      </c>
      <c r="H2778" s="101" t="s">
        <v>2940</v>
      </c>
      <c r="I2778" s="102">
        <v>2.68</v>
      </c>
      <c r="J2778" s="102">
        <v>3.3</v>
      </c>
      <c r="K2778" s="101" t="s">
        <v>2941</v>
      </c>
      <c r="L2778" s="102">
        <v>23.0</v>
      </c>
      <c r="M2778" s="13"/>
    </row>
    <row r="2779">
      <c r="A2779" s="101" t="s">
        <v>5237</v>
      </c>
      <c r="B2779" s="101">
        <v>24212.0</v>
      </c>
      <c r="C2779" s="13"/>
      <c r="D2779" s="13"/>
      <c r="E2779" s="13"/>
      <c r="F2779" s="13"/>
      <c r="G2779" s="102">
        <v>2.0</v>
      </c>
      <c r="H2779" s="101" t="s">
        <v>2942</v>
      </c>
      <c r="I2779" s="102">
        <v>2.7</v>
      </c>
      <c r="J2779" s="102">
        <v>3.32</v>
      </c>
      <c r="K2779" s="101" t="s">
        <v>2941</v>
      </c>
      <c r="L2779" s="102">
        <v>23.0</v>
      </c>
      <c r="M2779" s="13"/>
    </row>
    <row r="2780">
      <c r="A2780" s="101" t="s">
        <v>5238</v>
      </c>
      <c r="B2780" s="101">
        <v>24045.0</v>
      </c>
      <c r="C2780" s="13"/>
      <c r="D2780" s="13"/>
      <c r="E2780" s="13"/>
      <c r="F2780" s="13"/>
      <c r="G2780" s="102">
        <v>1.0</v>
      </c>
      <c r="H2780" s="101" t="s">
        <v>2940</v>
      </c>
      <c r="I2780" s="102">
        <v>4.31</v>
      </c>
      <c r="J2780" s="102">
        <v>5.3</v>
      </c>
      <c r="K2780" s="101" t="s">
        <v>2941</v>
      </c>
      <c r="L2780" s="102">
        <v>23.0</v>
      </c>
      <c r="M2780" s="13"/>
    </row>
    <row r="2781">
      <c r="A2781" s="101" t="s">
        <v>5238</v>
      </c>
      <c r="B2781" s="101">
        <v>24045.0</v>
      </c>
      <c r="C2781" s="13"/>
      <c r="D2781" s="13"/>
      <c r="E2781" s="13"/>
      <c r="F2781" s="13"/>
      <c r="G2781" s="102">
        <v>2.0</v>
      </c>
      <c r="H2781" s="101" t="s">
        <v>2942</v>
      </c>
      <c r="I2781" s="102">
        <v>4.3</v>
      </c>
      <c r="J2781" s="102">
        <v>5.29</v>
      </c>
      <c r="K2781" s="101" t="s">
        <v>2941</v>
      </c>
      <c r="L2781" s="102">
        <v>23.0</v>
      </c>
      <c r="M2781" s="13"/>
    </row>
    <row r="2782">
      <c r="A2782" s="101" t="s">
        <v>5239</v>
      </c>
      <c r="B2782" s="101">
        <v>24238.0</v>
      </c>
      <c r="C2782" s="13"/>
      <c r="D2782" s="13"/>
      <c r="E2782" s="13"/>
      <c r="F2782" s="13"/>
      <c r="G2782" s="102">
        <v>1.0</v>
      </c>
      <c r="H2782" s="101" t="s">
        <v>2940</v>
      </c>
      <c r="I2782" s="102">
        <v>7.32</v>
      </c>
      <c r="J2782" s="102">
        <v>9.0</v>
      </c>
      <c r="K2782" s="101" t="s">
        <v>2941</v>
      </c>
      <c r="L2782" s="102">
        <v>23.0</v>
      </c>
      <c r="M2782" s="13"/>
    </row>
    <row r="2783">
      <c r="A2783" s="101" t="s">
        <v>5239</v>
      </c>
      <c r="B2783" s="101">
        <v>24238.0</v>
      </c>
      <c r="C2783" s="13"/>
      <c r="D2783" s="13"/>
      <c r="E2783" s="13"/>
      <c r="F2783" s="13"/>
      <c r="G2783" s="102">
        <v>2.0</v>
      </c>
      <c r="H2783" s="101" t="s">
        <v>2942</v>
      </c>
      <c r="I2783" s="102">
        <v>7.3</v>
      </c>
      <c r="J2783" s="102">
        <v>8.98</v>
      </c>
      <c r="K2783" s="101" t="s">
        <v>2941</v>
      </c>
      <c r="L2783" s="102">
        <v>23.0</v>
      </c>
      <c r="M2783" s="13"/>
    </row>
    <row r="2784">
      <c r="A2784" s="101" t="s">
        <v>5240</v>
      </c>
      <c r="B2784" s="101">
        <v>84.0</v>
      </c>
      <c r="C2784" s="13"/>
      <c r="D2784" s="13"/>
      <c r="E2784" s="13"/>
      <c r="F2784" s="13"/>
      <c r="G2784" s="102">
        <v>1.0</v>
      </c>
      <c r="H2784" s="101" t="s">
        <v>2940</v>
      </c>
      <c r="I2784" s="102">
        <v>2.68</v>
      </c>
      <c r="J2784" s="102">
        <v>3.3</v>
      </c>
      <c r="K2784" s="101" t="s">
        <v>2941</v>
      </c>
      <c r="L2784" s="102">
        <v>23.0</v>
      </c>
      <c r="M2784" s="13"/>
    </row>
    <row r="2785">
      <c r="A2785" s="101" t="s">
        <v>5240</v>
      </c>
      <c r="B2785" s="101">
        <v>84.0</v>
      </c>
      <c r="C2785" s="13"/>
      <c r="D2785" s="13"/>
      <c r="E2785" s="13"/>
      <c r="F2785" s="13"/>
      <c r="G2785" s="102">
        <v>2.0</v>
      </c>
      <c r="H2785" s="101" t="s">
        <v>2942</v>
      </c>
      <c r="I2785" s="102">
        <v>2.7</v>
      </c>
      <c r="J2785" s="102">
        <v>3.32</v>
      </c>
      <c r="K2785" s="101" t="s">
        <v>2941</v>
      </c>
      <c r="L2785" s="102">
        <v>23.0</v>
      </c>
      <c r="M2785" s="13"/>
    </row>
    <row r="2786">
      <c r="A2786" s="101" t="s">
        <v>5241</v>
      </c>
      <c r="B2786" s="101">
        <v>24145.0</v>
      </c>
      <c r="C2786" s="13"/>
      <c r="D2786" s="13"/>
      <c r="E2786" s="13"/>
      <c r="F2786" s="13"/>
      <c r="G2786" s="102">
        <v>1.0</v>
      </c>
      <c r="H2786" s="101" t="s">
        <v>2940</v>
      </c>
      <c r="I2786" s="102">
        <v>3.58</v>
      </c>
      <c r="J2786" s="102">
        <v>4.4</v>
      </c>
      <c r="K2786" s="101" t="s">
        <v>2941</v>
      </c>
      <c r="L2786" s="102">
        <v>23.0</v>
      </c>
      <c r="M2786" s="13"/>
    </row>
    <row r="2787">
      <c r="A2787" s="101" t="s">
        <v>5241</v>
      </c>
      <c r="B2787" s="101">
        <v>24145.0</v>
      </c>
      <c r="C2787" s="13"/>
      <c r="D2787" s="13"/>
      <c r="E2787" s="13"/>
      <c r="F2787" s="13"/>
      <c r="G2787" s="102">
        <v>2.0</v>
      </c>
      <c r="H2787" s="101" t="s">
        <v>2942</v>
      </c>
      <c r="I2787" s="102">
        <v>3.6</v>
      </c>
      <c r="J2787" s="102">
        <v>4.43</v>
      </c>
      <c r="K2787" s="101" t="s">
        <v>2941</v>
      </c>
      <c r="L2787" s="102">
        <v>23.0</v>
      </c>
      <c r="M2787" s="13"/>
    </row>
    <row r="2788">
      <c r="A2788" s="101" t="s">
        <v>5242</v>
      </c>
      <c r="B2788" s="101">
        <v>20002.0</v>
      </c>
      <c r="C2788" s="13"/>
      <c r="D2788" s="13"/>
      <c r="E2788" s="13"/>
      <c r="F2788" s="13"/>
      <c r="G2788" s="102">
        <v>1.0</v>
      </c>
      <c r="H2788" s="101" t="s">
        <v>2940</v>
      </c>
      <c r="I2788" s="102">
        <v>0.98</v>
      </c>
      <c r="J2788" s="102">
        <v>1.21</v>
      </c>
      <c r="K2788" s="101" t="s">
        <v>2941</v>
      </c>
      <c r="L2788" s="102">
        <v>23.0</v>
      </c>
      <c r="M2788" s="13"/>
    </row>
    <row r="2789">
      <c r="A2789" s="101" t="s">
        <v>5242</v>
      </c>
      <c r="B2789" s="101">
        <v>20002.0</v>
      </c>
      <c r="C2789" s="13"/>
      <c r="D2789" s="13"/>
      <c r="E2789" s="13"/>
      <c r="F2789" s="13"/>
      <c r="G2789" s="102">
        <v>2.0</v>
      </c>
      <c r="H2789" s="101" t="s">
        <v>2942</v>
      </c>
      <c r="I2789" s="102">
        <v>1.0</v>
      </c>
      <c r="J2789" s="102">
        <v>1.23</v>
      </c>
      <c r="K2789" s="101" t="s">
        <v>2941</v>
      </c>
      <c r="L2789" s="102">
        <v>23.0</v>
      </c>
      <c r="M2789" s="13"/>
    </row>
    <row r="2790">
      <c r="A2790" s="101" t="s">
        <v>5243</v>
      </c>
      <c r="B2790" s="101">
        <v>21002.0</v>
      </c>
      <c r="C2790" s="13"/>
      <c r="D2790" s="13"/>
      <c r="E2790" s="13"/>
      <c r="F2790" s="13"/>
      <c r="G2790" s="102">
        <v>1.0</v>
      </c>
      <c r="H2790" s="101" t="s">
        <v>2940</v>
      </c>
      <c r="I2790" s="102">
        <v>0.98</v>
      </c>
      <c r="J2790" s="102">
        <v>1.21</v>
      </c>
      <c r="K2790" s="101" t="s">
        <v>2941</v>
      </c>
      <c r="L2790" s="102">
        <v>23.0</v>
      </c>
      <c r="M2790" s="13"/>
    </row>
    <row r="2791">
      <c r="A2791" s="101" t="s">
        <v>5243</v>
      </c>
      <c r="B2791" s="101">
        <v>21002.0</v>
      </c>
      <c r="C2791" s="13"/>
      <c r="D2791" s="13"/>
      <c r="E2791" s="13"/>
      <c r="F2791" s="13"/>
      <c r="G2791" s="102">
        <v>2.0</v>
      </c>
      <c r="H2791" s="101" t="s">
        <v>2942</v>
      </c>
      <c r="I2791" s="102">
        <v>1.0</v>
      </c>
      <c r="J2791" s="102">
        <v>1.23</v>
      </c>
      <c r="K2791" s="101" t="s">
        <v>2941</v>
      </c>
      <c r="L2791" s="102">
        <v>23.0</v>
      </c>
      <c r="M2791" s="13"/>
    </row>
    <row r="2792">
      <c r="A2792" s="101" t="s">
        <v>5244</v>
      </c>
      <c r="B2792" s="101">
        <v>24061.0</v>
      </c>
      <c r="C2792" s="13"/>
      <c r="D2792" s="13"/>
      <c r="E2792" s="13"/>
      <c r="F2792" s="13"/>
      <c r="G2792" s="102">
        <v>1.0</v>
      </c>
      <c r="H2792" s="101" t="s">
        <v>2940</v>
      </c>
      <c r="I2792" s="102">
        <v>5.61</v>
      </c>
      <c r="J2792" s="102">
        <v>6.9</v>
      </c>
      <c r="K2792" s="101" t="s">
        <v>2941</v>
      </c>
      <c r="L2792" s="102">
        <v>23.0</v>
      </c>
      <c r="M2792" s="13"/>
    </row>
    <row r="2793">
      <c r="A2793" s="101" t="s">
        <v>5244</v>
      </c>
      <c r="B2793" s="101">
        <v>24061.0</v>
      </c>
      <c r="C2793" s="13"/>
      <c r="D2793" s="13"/>
      <c r="E2793" s="13"/>
      <c r="F2793" s="13"/>
      <c r="G2793" s="102">
        <v>2.0</v>
      </c>
      <c r="H2793" s="101" t="s">
        <v>2942</v>
      </c>
      <c r="I2793" s="102">
        <v>5.6</v>
      </c>
      <c r="J2793" s="102">
        <v>6.89</v>
      </c>
      <c r="K2793" s="101" t="s">
        <v>2941</v>
      </c>
      <c r="L2793" s="102">
        <v>23.0</v>
      </c>
      <c r="M2793" s="13"/>
    </row>
    <row r="2794">
      <c r="A2794" s="101" t="s">
        <v>5245</v>
      </c>
      <c r="B2794" s="101">
        <v>26.0</v>
      </c>
      <c r="C2794" s="13"/>
      <c r="D2794" s="13"/>
      <c r="E2794" s="13"/>
      <c r="F2794" s="13"/>
      <c r="G2794" s="102">
        <v>1.0</v>
      </c>
      <c r="H2794" s="101" t="s">
        <v>2940</v>
      </c>
      <c r="I2794" s="102">
        <v>2.7</v>
      </c>
      <c r="J2794" s="102">
        <v>3.32</v>
      </c>
      <c r="K2794" s="101" t="s">
        <v>2941</v>
      </c>
      <c r="L2794" s="102">
        <v>23.0</v>
      </c>
      <c r="M2794" s="13"/>
    </row>
    <row r="2795">
      <c r="A2795" s="101" t="s">
        <v>5245</v>
      </c>
      <c r="B2795" s="101">
        <v>26.0</v>
      </c>
      <c r="C2795" s="13"/>
      <c r="D2795" s="13"/>
      <c r="E2795" s="13"/>
      <c r="F2795" s="13"/>
      <c r="G2795" s="102">
        <v>2.0</v>
      </c>
      <c r="H2795" s="101" t="s">
        <v>2942</v>
      </c>
      <c r="I2795" s="102">
        <v>2.7</v>
      </c>
      <c r="J2795" s="102">
        <v>3.32</v>
      </c>
      <c r="K2795" s="101" t="s">
        <v>2941</v>
      </c>
      <c r="L2795" s="102">
        <v>23.0</v>
      </c>
      <c r="M2795" s="13"/>
    </row>
    <row r="2796">
      <c r="A2796" s="101" t="s">
        <v>5246</v>
      </c>
      <c r="B2796" s="101">
        <v>1056.0</v>
      </c>
      <c r="C2796" s="13"/>
      <c r="D2796" s="13"/>
      <c r="E2796" s="13"/>
      <c r="F2796" s="13"/>
      <c r="G2796" s="102">
        <v>1.0</v>
      </c>
      <c r="H2796" s="101" t="s">
        <v>2940</v>
      </c>
      <c r="I2796" s="102">
        <v>2.68</v>
      </c>
      <c r="J2796" s="102">
        <v>3.3</v>
      </c>
      <c r="K2796" s="101" t="s">
        <v>2941</v>
      </c>
      <c r="L2796" s="102">
        <v>23.0</v>
      </c>
      <c r="M2796" s="13"/>
    </row>
    <row r="2797">
      <c r="A2797" s="101" t="s">
        <v>5246</v>
      </c>
      <c r="B2797" s="101">
        <v>1056.0</v>
      </c>
      <c r="C2797" s="13"/>
      <c r="D2797" s="13"/>
      <c r="E2797" s="13"/>
      <c r="F2797" s="13"/>
      <c r="G2797" s="102">
        <v>2.0</v>
      </c>
      <c r="H2797" s="101" t="s">
        <v>2942</v>
      </c>
      <c r="I2797" s="102">
        <v>2.7</v>
      </c>
      <c r="J2797" s="102">
        <v>3.32</v>
      </c>
      <c r="K2797" s="101" t="s">
        <v>2941</v>
      </c>
      <c r="L2797" s="102">
        <v>23.0</v>
      </c>
      <c r="M2797" s="13"/>
    </row>
    <row r="2798">
      <c r="A2798" s="101" t="s">
        <v>5247</v>
      </c>
      <c r="B2798" s="101">
        <v>20053.0</v>
      </c>
      <c r="C2798" s="13"/>
      <c r="D2798" s="13"/>
      <c r="E2798" s="13"/>
      <c r="F2798" s="13"/>
      <c r="G2798" s="102">
        <v>1.0</v>
      </c>
      <c r="H2798" s="101" t="s">
        <v>2940</v>
      </c>
      <c r="I2798" s="102">
        <v>1.22</v>
      </c>
      <c r="J2798" s="102">
        <v>1.5</v>
      </c>
      <c r="K2798" s="101" t="s">
        <v>2941</v>
      </c>
      <c r="L2798" s="102">
        <v>23.0</v>
      </c>
      <c r="M2798" s="13"/>
    </row>
    <row r="2799">
      <c r="A2799" s="101" t="s">
        <v>5247</v>
      </c>
      <c r="B2799" s="101">
        <v>20053.0</v>
      </c>
      <c r="C2799" s="13"/>
      <c r="D2799" s="13"/>
      <c r="E2799" s="13"/>
      <c r="F2799" s="13"/>
      <c r="G2799" s="102">
        <v>2.0</v>
      </c>
      <c r="H2799" s="101" t="s">
        <v>2942</v>
      </c>
      <c r="I2799" s="102">
        <v>1.0</v>
      </c>
      <c r="J2799" s="102">
        <v>1.23</v>
      </c>
      <c r="K2799" s="101" t="s">
        <v>2941</v>
      </c>
      <c r="L2799" s="102">
        <v>23.0</v>
      </c>
      <c r="M2799" s="13"/>
    </row>
    <row r="2800">
      <c r="A2800" s="101" t="s">
        <v>5248</v>
      </c>
      <c r="B2800" s="101">
        <v>20051.0</v>
      </c>
      <c r="C2800" s="13"/>
      <c r="D2800" s="13"/>
      <c r="E2800" s="13"/>
      <c r="F2800" s="13"/>
      <c r="G2800" s="102">
        <v>1.0</v>
      </c>
      <c r="H2800" s="101" t="s">
        <v>2940</v>
      </c>
      <c r="I2800" s="102">
        <v>1.22</v>
      </c>
      <c r="J2800" s="102">
        <v>1.5</v>
      </c>
      <c r="K2800" s="101" t="s">
        <v>2941</v>
      </c>
      <c r="L2800" s="102">
        <v>23.0</v>
      </c>
      <c r="M2800" s="13"/>
    </row>
    <row r="2801">
      <c r="A2801" s="101" t="s">
        <v>5248</v>
      </c>
      <c r="B2801" s="101">
        <v>20051.0</v>
      </c>
      <c r="C2801" s="13"/>
      <c r="D2801" s="13"/>
      <c r="E2801" s="13"/>
      <c r="F2801" s="13"/>
      <c r="G2801" s="102">
        <v>2.0</v>
      </c>
      <c r="H2801" s="101" t="s">
        <v>2942</v>
      </c>
      <c r="I2801" s="102">
        <v>1.0</v>
      </c>
      <c r="J2801" s="102">
        <v>1.23</v>
      </c>
      <c r="K2801" s="101" t="s">
        <v>2941</v>
      </c>
      <c r="L2801" s="102">
        <v>23.0</v>
      </c>
      <c r="M2801" s="13"/>
    </row>
    <row r="2802">
      <c r="A2802" s="101" t="s">
        <v>5249</v>
      </c>
      <c r="B2802" s="101">
        <v>20052.0</v>
      </c>
      <c r="C2802" s="13"/>
      <c r="D2802" s="13"/>
      <c r="E2802" s="13"/>
      <c r="F2802" s="13"/>
      <c r="G2802" s="102">
        <v>1.0</v>
      </c>
      <c r="H2802" s="101" t="s">
        <v>2940</v>
      </c>
      <c r="I2802" s="102">
        <v>1.22</v>
      </c>
      <c r="J2802" s="102">
        <v>1.5</v>
      </c>
      <c r="K2802" s="101" t="s">
        <v>2941</v>
      </c>
      <c r="L2802" s="102">
        <v>23.0</v>
      </c>
      <c r="M2802" s="13"/>
    </row>
    <row r="2803">
      <c r="A2803" s="101" t="s">
        <v>5249</v>
      </c>
      <c r="B2803" s="101">
        <v>20052.0</v>
      </c>
      <c r="C2803" s="13"/>
      <c r="D2803" s="13"/>
      <c r="E2803" s="13"/>
      <c r="F2803" s="13"/>
      <c r="G2803" s="102">
        <v>2.0</v>
      </c>
      <c r="H2803" s="101" t="s">
        <v>2942</v>
      </c>
      <c r="I2803" s="102">
        <v>1.0</v>
      </c>
      <c r="J2803" s="102">
        <v>1.23</v>
      </c>
      <c r="K2803" s="101" t="s">
        <v>2941</v>
      </c>
      <c r="L2803" s="102">
        <v>23.0</v>
      </c>
      <c r="M2803" s="13"/>
    </row>
    <row r="2804">
      <c r="A2804" s="101" t="s">
        <v>5250</v>
      </c>
      <c r="B2804" s="101">
        <v>20054.0</v>
      </c>
      <c r="C2804" s="13"/>
      <c r="D2804" s="13"/>
      <c r="E2804" s="13"/>
      <c r="F2804" s="13"/>
      <c r="G2804" s="102">
        <v>1.0</v>
      </c>
      <c r="H2804" s="101" t="s">
        <v>2940</v>
      </c>
      <c r="I2804" s="102">
        <v>1.22</v>
      </c>
      <c r="J2804" s="102">
        <v>1.5</v>
      </c>
      <c r="K2804" s="101" t="s">
        <v>2941</v>
      </c>
      <c r="L2804" s="102">
        <v>23.0</v>
      </c>
      <c r="M2804" s="13"/>
    </row>
    <row r="2805">
      <c r="A2805" s="101" t="s">
        <v>5250</v>
      </c>
      <c r="B2805" s="101">
        <v>20054.0</v>
      </c>
      <c r="C2805" s="13"/>
      <c r="D2805" s="13"/>
      <c r="E2805" s="13"/>
      <c r="F2805" s="13"/>
      <c r="G2805" s="102">
        <v>2.0</v>
      </c>
      <c r="H2805" s="101" t="s">
        <v>2942</v>
      </c>
      <c r="I2805" s="102">
        <v>1.0</v>
      </c>
      <c r="J2805" s="102">
        <v>1.23</v>
      </c>
      <c r="K2805" s="101" t="s">
        <v>2941</v>
      </c>
      <c r="L2805" s="102">
        <v>23.0</v>
      </c>
      <c r="M2805" s="13"/>
    </row>
    <row r="2806">
      <c r="A2806" s="101" t="s">
        <v>5251</v>
      </c>
      <c r="B2806" s="101">
        <v>24250.0</v>
      </c>
      <c r="C2806" s="13"/>
      <c r="D2806" s="13"/>
      <c r="E2806" s="13"/>
      <c r="F2806" s="13"/>
      <c r="G2806" s="102">
        <v>1.0</v>
      </c>
      <c r="H2806" s="101" t="s">
        <v>2940</v>
      </c>
      <c r="I2806" s="102">
        <v>3.25</v>
      </c>
      <c r="J2806" s="102">
        <v>4.0</v>
      </c>
      <c r="K2806" s="101" t="s">
        <v>2941</v>
      </c>
      <c r="L2806" s="102">
        <v>23.0</v>
      </c>
      <c r="M2806" s="13"/>
    </row>
    <row r="2807">
      <c r="A2807" s="101" t="s">
        <v>5251</v>
      </c>
      <c r="B2807" s="101">
        <v>24250.0</v>
      </c>
      <c r="C2807" s="13"/>
      <c r="D2807" s="13"/>
      <c r="E2807" s="13"/>
      <c r="F2807" s="13"/>
      <c r="G2807" s="102">
        <v>2.0</v>
      </c>
      <c r="H2807" s="101" t="s">
        <v>2942</v>
      </c>
      <c r="I2807" s="102">
        <v>2.6</v>
      </c>
      <c r="J2807" s="102">
        <v>3.2</v>
      </c>
      <c r="K2807" s="101" t="s">
        <v>2941</v>
      </c>
      <c r="L2807" s="102">
        <v>23.0</v>
      </c>
      <c r="M2807" s="13"/>
    </row>
    <row r="2808">
      <c r="A2808" s="101" t="s">
        <v>5252</v>
      </c>
      <c r="B2808" s="101">
        <v>24283.0</v>
      </c>
      <c r="C2808" s="13"/>
      <c r="D2808" s="13"/>
      <c r="E2808" s="13"/>
      <c r="F2808" s="13"/>
      <c r="G2808" s="102">
        <v>1.0</v>
      </c>
      <c r="H2808" s="101" t="s">
        <v>2940</v>
      </c>
      <c r="I2808" s="102">
        <v>3.17</v>
      </c>
      <c r="J2808" s="102">
        <v>3.9</v>
      </c>
      <c r="K2808" s="101" t="s">
        <v>2941</v>
      </c>
      <c r="L2808" s="102">
        <v>23.0</v>
      </c>
      <c r="M2808" s="13"/>
    </row>
    <row r="2809">
      <c r="A2809" s="101" t="s">
        <v>5252</v>
      </c>
      <c r="B2809" s="101">
        <v>24283.0</v>
      </c>
      <c r="C2809" s="13"/>
      <c r="D2809" s="13"/>
      <c r="E2809" s="13"/>
      <c r="F2809" s="13"/>
      <c r="G2809" s="102">
        <v>2.0</v>
      </c>
      <c r="H2809" s="101" t="s">
        <v>2942</v>
      </c>
      <c r="I2809" s="102">
        <v>2.5</v>
      </c>
      <c r="J2809" s="102">
        <v>3.08</v>
      </c>
      <c r="K2809" s="101" t="s">
        <v>2941</v>
      </c>
      <c r="L2809" s="102">
        <v>23.0</v>
      </c>
      <c r="M2809" s="13"/>
    </row>
    <row r="2810">
      <c r="A2810" s="101" t="s">
        <v>5253</v>
      </c>
      <c r="B2810" s="101">
        <v>24263.0</v>
      </c>
      <c r="C2810" s="13"/>
      <c r="D2810" s="13"/>
      <c r="E2810" s="13"/>
      <c r="F2810" s="13"/>
      <c r="G2810" s="102">
        <v>1.0</v>
      </c>
      <c r="H2810" s="101" t="s">
        <v>2940</v>
      </c>
      <c r="I2810" s="102">
        <v>3.17</v>
      </c>
      <c r="J2810" s="102">
        <v>3.9</v>
      </c>
      <c r="K2810" s="101" t="s">
        <v>2941</v>
      </c>
      <c r="L2810" s="102">
        <v>23.0</v>
      </c>
      <c r="M2810" s="13"/>
    </row>
    <row r="2811">
      <c r="A2811" s="101" t="s">
        <v>5253</v>
      </c>
      <c r="B2811" s="101">
        <v>24263.0</v>
      </c>
      <c r="C2811" s="13"/>
      <c r="D2811" s="13"/>
      <c r="E2811" s="13"/>
      <c r="F2811" s="13"/>
      <c r="G2811" s="102">
        <v>2.0</v>
      </c>
      <c r="H2811" s="101" t="s">
        <v>2942</v>
      </c>
      <c r="I2811" s="102">
        <v>2.5</v>
      </c>
      <c r="J2811" s="102">
        <v>3.08</v>
      </c>
      <c r="K2811" s="101" t="s">
        <v>2941</v>
      </c>
      <c r="L2811" s="102">
        <v>23.0</v>
      </c>
      <c r="M2811" s="13"/>
    </row>
    <row r="2812">
      <c r="A2812" s="101" t="s">
        <v>5254</v>
      </c>
      <c r="B2812" s="101">
        <v>917.0</v>
      </c>
      <c r="C2812" s="13"/>
      <c r="D2812" s="13"/>
      <c r="E2812" s="13"/>
      <c r="F2812" s="13"/>
      <c r="G2812" s="102">
        <v>1.0</v>
      </c>
      <c r="H2812" s="101" t="s">
        <v>2940</v>
      </c>
      <c r="I2812" s="102">
        <v>7.07</v>
      </c>
      <c r="J2812" s="102">
        <v>8.7</v>
      </c>
      <c r="K2812" s="101" t="s">
        <v>2941</v>
      </c>
      <c r="L2812" s="102">
        <v>23.0</v>
      </c>
      <c r="M2812" s="13"/>
    </row>
    <row r="2813">
      <c r="A2813" s="101" t="s">
        <v>5254</v>
      </c>
      <c r="B2813" s="101">
        <v>917.0</v>
      </c>
      <c r="C2813" s="13"/>
      <c r="D2813" s="13"/>
      <c r="E2813" s="13"/>
      <c r="F2813" s="13"/>
      <c r="G2813" s="102">
        <v>2.0</v>
      </c>
      <c r="H2813" s="101" t="s">
        <v>2942</v>
      </c>
      <c r="I2813" s="102">
        <v>7.1</v>
      </c>
      <c r="J2813" s="102">
        <v>8.73</v>
      </c>
      <c r="K2813" s="101" t="s">
        <v>2941</v>
      </c>
      <c r="L2813" s="102">
        <v>23.0</v>
      </c>
      <c r="M2813" s="13"/>
    </row>
    <row r="2814">
      <c r="A2814" s="101" t="s">
        <v>5255</v>
      </c>
      <c r="B2814" s="101">
        <v>1422.0</v>
      </c>
      <c r="C2814" s="13"/>
      <c r="D2814" s="13"/>
      <c r="E2814" s="13"/>
      <c r="F2814" s="13"/>
      <c r="G2814" s="102">
        <v>1.0</v>
      </c>
      <c r="H2814" s="101" t="s">
        <v>2940</v>
      </c>
      <c r="I2814" s="102">
        <v>8.13</v>
      </c>
      <c r="J2814" s="102">
        <v>10.0</v>
      </c>
      <c r="K2814" s="101" t="s">
        <v>2941</v>
      </c>
      <c r="L2814" s="102">
        <v>23.0</v>
      </c>
      <c r="M2814" s="13"/>
    </row>
    <row r="2815">
      <c r="A2815" s="101" t="s">
        <v>5255</v>
      </c>
      <c r="B2815" s="101">
        <v>1422.0</v>
      </c>
      <c r="C2815" s="13"/>
      <c r="D2815" s="13"/>
      <c r="E2815" s="13"/>
      <c r="F2815" s="13"/>
      <c r="G2815" s="102">
        <v>2.0</v>
      </c>
      <c r="H2815" s="101" t="s">
        <v>2942</v>
      </c>
      <c r="I2815" s="102">
        <v>8.1</v>
      </c>
      <c r="J2815" s="102">
        <v>9.96</v>
      </c>
      <c r="K2815" s="101" t="s">
        <v>2941</v>
      </c>
      <c r="L2815" s="102">
        <v>23.0</v>
      </c>
      <c r="M2815" s="13"/>
    </row>
    <row r="2816">
      <c r="A2816" s="101" t="s">
        <v>5256</v>
      </c>
      <c r="B2816" s="101">
        <v>24023.0</v>
      </c>
      <c r="C2816" s="13"/>
      <c r="D2816" s="13"/>
      <c r="E2816" s="13"/>
      <c r="F2816" s="13"/>
      <c r="G2816" s="102">
        <v>1.0</v>
      </c>
      <c r="H2816" s="101" t="s">
        <v>2940</v>
      </c>
      <c r="I2816" s="102">
        <v>2.76</v>
      </c>
      <c r="J2816" s="102">
        <v>3.39</v>
      </c>
      <c r="K2816" s="101" t="s">
        <v>2941</v>
      </c>
      <c r="L2816" s="102">
        <v>23.0</v>
      </c>
      <c r="M2816" s="13"/>
    </row>
    <row r="2817">
      <c r="A2817" s="101" t="s">
        <v>5256</v>
      </c>
      <c r="B2817" s="101">
        <v>24023.0</v>
      </c>
      <c r="C2817" s="13"/>
      <c r="D2817" s="13"/>
      <c r="E2817" s="13"/>
      <c r="F2817" s="13"/>
      <c r="G2817" s="102">
        <v>2.0</v>
      </c>
      <c r="H2817" s="101" t="s">
        <v>2942</v>
      </c>
      <c r="I2817" s="102">
        <v>2.2</v>
      </c>
      <c r="J2817" s="102">
        <v>2.71</v>
      </c>
      <c r="K2817" s="101" t="s">
        <v>2941</v>
      </c>
      <c r="L2817" s="102">
        <v>23.0</v>
      </c>
      <c r="M2817" s="13"/>
    </row>
    <row r="2818">
      <c r="A2818" s="101" t="s">
        <v>5257</v>
      </c>
      <c r="B2818" s="101">
        <v>24022.0</v>
      </c>
      <c r="C2818" s="13"/>
      <c r="D2818" s="13"/>
      <c r="E2818" s="13"/>
      <c r="F2818" s="13"/>
      <c r="G2818" s="102">
        <v>1.0</v>
      </c>
      <c r="H2818" s="101" t="s">
        <v>2940</v>
      </c>
      <c r="I2818" s="102">
        <v>2.76</v>
      </c>
      <c r="J2818" s="102">
        <v>3.39</v>
      </c>
      <c r="K2818" s="101" t="s">
        <v>2941</v>
      </c>
      <c r="L2818" s="102">
        <v>23.0</v>
      </c>
      <c r="M2818" s="13"/>
    </row>
    <row r="2819">
      <c r="A2819" s="101" t="s">
        <v>5257</v>
      </c>
      <c r="B2819" s="101">
        <v>24022.0</v>
      </c>
      <c r="C2819" s="13"/>
      <c r="D2819" s="13"/>
      <c r="E2819" s="13"/>
      <c r="F2819" s="13"/>
      <c r="G2819" s="102">
        <v>2.0</v>
      </c>
      <c r="H2819" s="101" t="s">
        <v>2942</v>
      </c>
      <c r="I2819" s="102">
        <v>2.2</v>
      </c>
      <c r="J2819" s="102">
        <v>2.71</v>
      </c>
      <c r="K2819" s="101" t="s">
        <v>2941</v>
      </c>
      <c r="L2819" s="102">
        <v>23.0</v>
      </c>
      <c r="M2819" s="13"/>
    </row>
    <row r="2820">
      <c r="A2820" s="101" t="s">
        <v>5258</v>
      </c>
      <c r="B2820" s="101" t="s">
        <v>5259</v>
      </c>
      <c r="C2820" s="13"/>
      <c r="D2820" s="13"/>
      <c r="E2820" s="13"/>
      <c r="F2820" s="13"/>
      <c r="G2820" s="102">
        <v>1.0</v>
      </c>
      <c r="H2820" s="101" t="s">
        <v>2940</v>
      </c>
      <c r="I2820" s="102">
        <v>5.12</v>
      </c>
      <c r="J2820" s="102">
        <v>6.3</v>
      </c>
      <c r="K2820" s="101" t="s">
        <v>2941</v>
      </c>
      <c r="L2820" s="102">
        <v>23.0</v>
      </c>
      <c r="M2820" s="13"/>
    </row>
    <row r="2821">
      <c r="A2821" s="101" t="s">
        <v>5258</v>
      </c>
      <c r="B2821" s="101" t="s">
        <v>5259</v>
      </c>
      <c r="C2821" s="13"/>
      <c r="D2821" s="13"/>
      <c r="E2821" s="13"/>
      <c r="F2821" s="13"/>
      <c r="G2821" s="102">
        <v>2.0</v>
      </c>
      <c r="H2821" s="101" t="s">
        <v>2942</v>
      </c>
      <c r="I2821" s="102">
        <v>4.1</v>
      </c>
      <c r="J2821" s="102">
        <v>5.04</v>
      </c>
      <c r="K2821" s="101" t="s">
        <v>2941</v>
      </c>
      <c r="L2821" s="102">
        <v>23.0</v>
      </c>
      <c r="M2821" s="13"/>
    </row>
    <row r="2822">
      <c r="A2822" s="101" t="s">
        <v>5260</v>
      </c>
      <c r="B2822" s="101" t="s">
        <v>5261</v>
      </c>
      <c r="C2822" s="13"/>
      <c r="D2822" s="13"/>
      <c r="E2822" s="13"/>
      <c r="F2822" s="13"/>
      <c r="G2822" s="102">
        <v>1.0</v>
      </c>
      <c r="H2822" s="101" t="s">
        <v>2940</v>
      </c>
      <c r="I2822" s="102">
        <v>5.12</v>
      </c>
      <c r="J2822" s="102">
        <v>6.3</v>
      </c>
      <c r="K2822" s="101" t="s">
        <v>2941</v>
      </c>
      <c r="L2822" s="102">
        <v>23.0</v>
      </c>
      <c r="M2822" s="13"/>
    </row>
    <row r="2823">
      <c r="A2823" s="101" t="s">
        <v>5260</v>
      </c>
      <c r="B2823" s="101" t="s">
        <v>5261</v>
      </c>
      <c r="C2823" s="13"/>
      <c r="D2823" s="13"/>
      <c r="E2823" s="13"/>
      <c r="F2823" s="13"/>
      <c r="G2823" s="102">
        <v>2.0</v>
      </c>
      <c r="H2823" s="101" t="s">
        <v>2942</v>
      </c>
      <c r="I2823" s="102">
        <v>4.1</v>
      </c>
      <c r="J2823" s="102">
        <v>5.04</v>
      </c>
      <c r="K2823" s="101" t="s">
        <v>2941</v>
      </c>
      <c r="L2823" s="102">
        <v>23.0</v>
      </c>
      <c r="M2823" s="13"/>
    </row>
    <row r="2824">
      <c r="A2824" s="101" t="s">
        <v>5262</v>
      </c>
      <c r="B2824" s="101">
        <v>315.0</v>
      </c>
      <c r="C2824" s="13"/>
      <c r="D2824" s="13"/>
      <c r="E2824" s="13"/>
      <c r="F2824" s="13"/>
      <c r="G2824" s="102">
        <v>1.0</v>
      </c>
      <c r="H2824" s="101" t="s">
        <v>2940</v>
      </c>
      <c r="I2824" s="102">
        <v>8.78</v>
      </c>
      <c r="J2824" s="102">
        <v>10.8</v>
      </c>
      <c r="K2824" s="101" t="s">
        <v>2941</v>
      </c>
      <c r="L2824" s="102">
        <v>23.0</v>
      </c>
      <c r="M2824" s="13"/>
    </row>
    <row r="2825">
      <c r="A2825" s="101" t="s">
        <v>5262</v>
      </c>
      <c r="B2825" s="101">
        <v>315.0</v>
      </c>
      <c r="C2825" s="13"/>
      <c r="D2825" s="13"/>
      <c r="E2825" s="13"/>
      <c r="F2825" s="13"/>
      <c r="G2825" s="102">
        <v>2.0</v>
      </c>
      <c r="H2825" s="101" t="s">
        <v>2942</v>
      </c>
      <c r="I2825" s="102">
        <v>8.8</v>
      </c>
      <c r="J2825" s="102">
        <v>10.82</v>
      </c>
      <c r="K2825" s="101" t="s">
        <v>2941</v>
      </c>
      <c r="L2825" s="102">
        <v>23.0</v>
      </c>
      <c r="M2825" s="13"/>
    </row>
    <row r="2826">
      <c r="A2826" s="101" t="s">
        <v>5263</v>
      </c>
      <c r="B2826" s="101">
        <v>903.0</v>
      </c>
      <c r="C2826" s="13"/>
      <c r="D2826" s="13"/>
      <c r="E2826" s="13"/>
      <c r="F2826" s="13"/>
      <c r="G2826" s="102">
        <v>1.0</v>
      </c>
      <c r="H2826" s="101" t="s">
        <v>2940</v>
      </c>
      <c r="I2826" s="102">
        <v>5.2</v>
      </c>
      <c r="J2826" s="102">
        <v>6.4</v>
      </c>
      <c r="K2826" s="101" t="s">
        <v>2941</v>
      </c>
      <c r="L2826" s="102">
        <v>23.0</v>
      </c>
      <c r="M2826" s="13"/>
    </row>
    <row r="2827">
      <c r="A2827" s="101" t="s">
        <v>5263</v>
      </c>
      <c r="B2827" s="101">
        <v>903.0</v>
      </c>
      <c r="C2827" s="13"/>
      <c r="D2827" s="13"/>
      <c r="E2827" s="13"/>
      <c r="F2827" s="13"/>
      <c r="G2827" s="102">
        <v>2.0</v>
      </c>
      <c r="H2827" s="101" t="s">
        <v>2942</v>
      </c>
      <c r="I2827" s="102">
        <v>5.2</v>
      </c>
      <c r="J2827" s="102">
        <v>6.4</v>
      </c>
      <c r="K2827" s="101" t="s">
        <v>2941</v>
      </c>
      <c r="L2827" s="102">
        <v>23.0</v>
      </c>
      <c r="M2827" s="13"/>
    </row>
    <row r="2828">
      <c r="A2828" s="101" t="s">
        <v>5264</v>
      </c>
      <c r="B2828" s="101" t="s">
        <v>5265</v>
      </c>
      <c r="D2828" s="13"/>
      <c r="E2828" s="13"/>
      <c r="F2828" s="13"/>
      <c r="G2828" s="102">
        <v>1.0</v>
      </c>
      <c r="H2828" s="101" t="s">
        <v>2940</v>
      </c>
      <c r="I2828" s="102">
        <v>6.42</v>
      </c>
      <c r="J2828" s="102">
        <v>7.9</v>
      </c>
      <c r="K2828" s="101" t="s">
        <v>2941</v>
      </c>
      <c r="L2828" s="102">
        <v>23.0</v>
      </c>
      <c r="M2828" s="13"/>
    </row>
    <row r="2829">
      <c r="A2829" s="101" t="s">
        <v>5264</v>
      </c>
      <c r="B2829" s="101" t="s">
        <v>5265</v>
      </c>
      <c r="D2829" s="13"/>
      <c r="E2829" s="13"/>
      <c r="F2829" s="13"/>
      <c r="G2829" s="102">
        <v>2.0</v>
      </c>
      <c r="H2829" s="101" t="s">
        <v>2942</v>
      </c>
      <c r="I2829" s="102">
        <v>5.1</v>
      </c>
      <c r="J2829" s="102">
        <v>6.27</v>
      </c>
      <c r="K2829" s="101" t="s">
        <v>2941</v>
      </c>
      <c r="L2829" s="102">
        <v>23.0</v>
      </c>
      <c r="M2829" s="13"/>
    </row>
    <row r="2830">
      <c r="A2830" s="101" t="s">
        <v>5266</v>
      </c>
      <c r="B2830" s="101">
        <v>305.0</v>
      </c>
      <c r="C2830" s="13"/>
      <c r="D2830" s="13"/>
      <c r="E2830" s="13"/>
      <c r="F2830" s="13"/>
      <c r="G2830" s="102">
        <v>1.0</v>
      </c>
      <c r="H2830" s="101" t="s">
        <v>2940</v>
      </c>
      <c r="I2830" s="102">
        <v>12.36</v>
      </c>
      <c r="J2830" s="102">
        <v>15.2</v>
      </c>
      <c r="K2830" s="101" t="s">
        <v>2941</v>
      </c>
      <c r="L2830" s="102">
        <v>23.0</v>
      </c>
      <c r="M2830" s="13"/>
    </row>
    <row r="2831">
      <c r="A2831" s="101" t="s">
        <v>5266</v>
      </c>
      <c r="B2831" s="101">
        <v>305.0</v>
      </c>
      <c r="C2831" s="13"/>
      <c r="D2831" s="13"/>
      <c r="E2831" s="13"/>
      <c r="F2831" s="13"/>
      <c r="G2831" s="102">
        <v>2.0</v>
      </c>
      <c r="H2831" s="101" t="s">
        <v>2942</v>
      </c>
      <c r="I2831" s="102">
        <v>9.9</v>
      </c>
      <c r="J2831" s="102">
        <v>12.18</v>
      </c>
      <c r="K2831" s="101" t="s">
        <v>2941</v>
      </c>
      <c r="L2831" s="102">
        <v>23.0</v>
      </c>
      <c r="M2831" s="13"/>
    </row>
    <row r="2832">
      <c r="A2832" s="101" t="s">
        <v>5267</v>
      </c>
      <c r="B2832" s="101">
        <v>24001.0</v>
      </c>
      <c r="C2832" s="13"/>
      <c r="D2832" s="13"/>
      <c r="E2832" s="13"/>
      <c r="F2832" s="13"/>
      <c r="G2832" s="102">
        <v>1.0</v>
      </c>
      <c r="H2832" s="101" t="s">
        <v>2940</v>
      </c>
      <c r="I2832" s="102">
        <v>5.53</v>
      </c>
      <c r="J2832" s="102">
        <v>6.8</v>
      </c>
      <c r="K2832" s="101" t="s">
        <v>2941</v>
      </c>
      <c r="L2832" s="102">
        <v>23.0</v>
      </c>
      <c r="M2832" s="13"/>
    </row>
    <row r="2833">
      <c r="A2833" s="101" t="s">
        <v>5267</v>
      </c>
      <c r="B2833" s="101">
        <v>24001.0</v>
      </c>
      <c r="C2833" s="13"/>
      <c r="D2833" s="13"/>
      <c r="E2833" s="13"/>
      <c r="F2833" s="13"/>
      <c r="G2833" s="102">
        <v>2.0</v>
      </c>
      <c r="H2833" s="101" t="s">
        <v>2942</v>
      </c>
      <c r="I2833" s="102">
        <v>4.4</v>
      </c>
      <c r="J2833" s="102">
        <v>5.41</v>
      </c>
      <c r="K2833" s="101" t="s">
        <v>2941</v>
      </c>
      <c r="L2833" s="102">
        <v>23.0</v>
      </c>
      <c r="M2833" s="13"/>
    </row>
    <row r="2834">
      <c r="A2834" s="101" t="s">
        <v>5268</v>
      </c>
      <c r="B2834" s="101">
        <v>24100.0</v>
      </c>
      <c r="C2834" s="13"/>
      <c r="D2834" s="13"/>
      <c r="E2834" s="13"/>
      <c r="F2834" s="13"/>
      <c r="G2834" s="102">
        <v>1.0</v>
      </c>
      <c r="H2834" s="101" t="s">
        <v>2940</v>
      </c>
      <c r="I2834" s="102">
        <v>2.03</v>
      </c>
      <c r="J2834" s="102">
        <v>2.5</v>
      </c>
      <c r="K2834" s="101" t="s">
        <v>2941</v>
      </c>
      <c r="L2834" s="102">
        <v>23.0</v>
      </c>
      <c r="M2834" s="13"/>
    </row>
    <row r="2835">
      <c r="A2835" s="101" t="s">
        <v>5268</v>
      </c>
      <c r="B2835" s="101">
        <v>24100.0</v>
      </c>
      <c r="C2835" s="13"/>
      <c r="D2835" s="13"/>
      <c r="E2835" s="13"/>
      <c r="F2835" s="13"/>
      <c r="G2835" s="102">
        <v>2.0</v>
      </c>
      <c r="H2835" s="101" t="s">
        <v>2942</v>
      </c>
      <c r="I2835" s="102">
        <v>1.6</v>
      </c>
      <c r="J2835" s="102">
        <v>1.97</v>
      </c>
      <c r="K2835" s="101" t="s">
        <v>2941</v>
      </c>
      <c r="L2835" s="102">
        <v>23.0</v>
      </c>
      <c r="M2835" s="13"/>
    </row>
    <row r="2836">
      <c r="A2836" s="101" t="s">
        <v>5269</v>
      </c>
      <c r="B2836" s="101">
        <v>1687.0</v>
      </c>
      <c r="C2836" s="13"/>
      <c r="D2836" s="13"/>
      <c r="E2836" s="13"/>
      <c r="F2836" s="13"/>
      <c r="G2836" s="102">
        <v>1.0</v>
      </c>
      <c r="H2836" s="101" t="s">
        <v>2940</v>
      </c>
      <c r="I2836" s="102">
        <v>3.17</v>
      </c>
      <c r="J2836" s="102">
        <v>3.9</v>
      </c>
      <c r="K2836" s="101" t="s">
        <v>2941</v>
      </c>
      <c r="L2836" s="102">
        <v>23.0</v>
      </c>
      <c r="M2836" s="13"/>
    </row>
    <row r="2837">
      <c r="A2837" s="101" t="s">
        <v>5269</v>
      </c>
      <c r="B2837" s="101">
        <v>1687.0</v>
      </c>
      <c r="C2837" s="13"/>
      <c r="D2837" s="13"/>
      <c r="E2837" s="13"/>
      <c r="F2837" s="13"/>
      <c r="G2837" s="102">
        <v>2.0</v>
      </c>
      <c r="H2837" s="101" t="s">
        <v>2942</v>
      </c>
      <c r="I2837" s="102">
        <v>3.2</v>
      </c>
      <c r="J2837" s="102">
        <v>3.94</v>
      </c>
      <c r="K2837" s="101" t="s">
        <v>2941</v>
      </c>
      <c r="L2837" s="102">
        <v>23.0</v>
      </c>
      <c r="M2837" s="13"/>
    </row>
    <row r="2838">
      <c r="A2838" s="101" t="s">
        <v>5270</v>
      </c>
      <c r="B2838" s="101">
        <v>24204.0</v>
      </c>
      <c r="C2838" s="13"/>
      <c r="D2838" s="13"/>
      <c r="E2838" s="13"/>
      <c r="F2838" s="13"/>
      <c r="G2838" s="102">
        <v>1.0</v>
      </c>
      <c r="H2838" s="101" t="s">
        <v>2940</v>
      </c>
      <c r="I2838" s="102">
        <v>2.44</v>
      </c>
      <c r="J2838" s="102">
        <v>3.0</v>
      </c>
      <c r="K2838" s="101" t="s">
        <v>2941</v>
      </c>
      <c r="L2838" s="102">
        <v>23.0</v>
      </c>
      <c r="M2838" s="13"/>
    </row>
    <row r="2839">
      <c r="A2839" s="101" t="s">
        <v>5270</v>
      </c>
      <c r="B2839" s="101">
        <v>24204.0</v>
      </c>
      <c r="C2839" s="13"/>
      <c r="D2839" s="13"/>
      <c r="E2839" s="13"/>
      <c r="F2839" s="13"/>
      <c r="G2839" s="102">
        <v>2.0</v>
      </c>
      <c r="H2839" s="101" t="s">
        <v>2942</v>
      </c>
      <c r="I2839" s="102">
        <v>2.0</v>
      </c>
      <c r="J2839" s="102">
        <v>2.46</v>
      </c>
      <c r="K2839" s="101" t="s">
        <v>2941</v>
      </c>
      <c r="L2839" s="102">
        <v>23.0</v>
      </c>
      <c r="M2839" s="13"/>
    </row>
    <row r="2840">
      <c r="A2840" s="101" t="s">
        <v>5271</v>
      </c>
      <c r="B2840" s="101">
        <v>1302.0</v>
      </c>
      <c r="C2840" s="13"/>
      <c r="D2840" s="13"/>
      <c r="E2840" s="13"/>
      <c r="F2840" s="13"/>
      <c r="G2840" s="102">
        <v>1.0</v>
      </c>
      <c r="H2840" s="101" t="s">
        <v>2940</v>
      </c>
      <c r="I2840" s="102">
        <v>3.17</v>
      </c>
      <c r="J2840" s="102">
        <v>3.9</v>
      </c>
      <c r="K2840" s="101" t="s">
        <v>2941</v>
      </c>
      <c r="L2840" s="102">
        <v>23.0</v>
      </c>
      <c r="M2840" s="13"/>
    </row>
    <row r="2841">
      <c r="A2841" s="101" t="s">
        <v>5271</v>
      </c>
      <c r="B2841" s="101">
        <v>1302.0</v>
      </c>
      <c r="C2841" s="13"/>
      <c r="D2841" s="13"/>
      <c r="E2841" s="13"/>
      <c r="F2841" s="13"/>
      <c r="G2841" s="102">
        <v>2.0</v>
      </c>
      <c r="H2841" s="101" t="s">
        <v>2942</v>
      </c>
      <c r="I2841" s="102">
        <v>3.2</v>
      </c>
      <c r="J2841" s="102">
        <v>3.94</v>
      </c>
      <c r="K2841" s="101" t="s">
        <v>2941</v>
      </c>
      <c r="L2841" s="102">
        <v>23.0</v>
      </c>
      <c r="M2841" s="13"/>
    </row>
    <row r="2842">
      <c r="A2842" s="101" t="s">
        <v>5272</v>
      </c>
      <c r="B2842" s="101" t="s">
        <v>5273</v>
      </c>
      <c r="D2842" s="13"/>
      <c r="E2842" s="13"/>
      <c r="F2842" s="13"/>
      <c r="G2842" s="102">
        <v>1.0</v>
      </c>
      <c r="H2842" s="101" t="s">
        <v>2940</v>
      </c>
      <c r="I2842" s="102">
        <v>8.62</v>
      </c>
      <c r="J2842" s="102">
        <v>10.6</v>
      </c>
      <c r="K2842" s="101" t="s">
        <v>2941</v>
      </c>
      <c r="L2842" s="102">
        <v>23.0</v>
      </c>
      <c r="M2842" s="13"/>
    </row>
    <row r="2843">
      <c r="A2843" s="101" t="s">
        <v>5272</v>
      </c>
      <c r="B2843" s="101" t="s">
        <v>5273</v>
      </c>
      <c r="D2843" s="13"/>
      <c r="E2843" s="13"/>
      <c r="F2843" s="13"/>
      <c r="G2843" s="102">
        <v>2.0</v>
      </c>
      <c r="H2843" s="101" t="s">
        <v>2942</v>
      </c>
      <c r="I2843" s="102">
        <v>6.9</v>
      </c>
      <c r="J2843" s="102">
        <v>8.49</v>
      </c>
      <c r="K2843" s="101" t="s">
        <v>2941</v>
      </c>
      <c r="L2843" s="102">
        <v>23.0</v>
      </c>
      <c r="M2843" s="13"/>
    </row>
    <row r="2844">
      <c r="A2844" s="101" t="s">
        <v>5274</v>
      </c>
      <c r="B2844" s="101">
        <v>24052.0</v>
      </c>
      <c r="C2844" s="13"/>
      <c r="D2844" s="13"/>
      <c r="E2844" s="13"/>
      <c r="F2844" s="13"/>
      <c r="G2844" s="102">
        <v>1.0</v>
      </c>
      <c r="H2844" s="101" t="s">
        <v>2940</v>
      </c>
      <c r="I2844" s="102">
        <v>5.53</v>
      </c>
      <c r="J2844" s="102">
        <v>6.8</v>
      </c>
      <c r="K2844" s="101" t="s">
        <v>2941</v>
      </c>
      <c r="L2844" s="102">
        <v>23.0</v>
      </c>
      <c r="M2844" s="13"/>
    </row>
    <row r="2845">
      <c r="A2845" s="101" t="s">
        <v>5274</v>
      </c>
      <c r="B2845" s="101">
        <v>24052.0</v>
      </c>
      <c r="C2845" s="13"/>
      <c r="D2845" s="13"/>
      <c r="E2845" s="13"/>
      <c r="F2845" s="13"/>
      <c r="G2845" s="102">
        <v>2.0</v>
      </c>
      <c r="H2845" s="101" t="s">
        <v>2942</v>
      </c>
      <c r="I2845" s="102">
        <v>4.4</v>
      </c>
      <c r="J2845" s="102">
        <v>5.41</v>
      </c>
      <c r="K2845" s="101" t="s">
        <v>2941</v>
      </c>
      <c r="L2845" s="102">
        <v>23.0</v>
      </c>
      <c r="M2845" s="13"/>
    </row>
    <row r="2846">
      <c r="A2846" s="101" t="s">
        <v>5275</v>
      </c>
      <c r="B2846" s="101">
        <v>566.0</v>
      </c>
      <c r="C2846" s="13"/>
      <c r="D2846" s="13"/>
      <c r="E2846" s="13"/>
      <c r="F2846" s="13"/>
      <c r="G2846" s="102">
        <v>1.0</v>
      </c>
      <c r="H2846" s="101" t="s">
        <v>2940</v>
      </c>
      <c r="I2846" s="102">
        <v>3.58</v>
      </c>
      <c r="J2846" s="102">
        <v>4.4</v>
      </c>
      <c r="K2846" s="101" t="s">
        <v>2941</v>
      </c>
      <c r="L2846" s="102">
        <v>23.0</v>
      </c>
      <c r="M2846" s="13"/>
    </row>
    <row r="2847">
      <c r="A2847" s="101" t="s">
        <v>5275</v>
      </c>
      <c r="B2847" s="101">
        <v>566.0</v>
      </c>
      <c r="C2847" s="13"/>
      <c r="D2847" s="13"/>
      <c r="E2847" s="13"/>
      <c r="F2847" s="13"/>
      <c r="G2847" s="102">
        <v>2.0</v>
      </c>
      <c r="H2847" s="101" t="s">
        <v>2942</v>
      </c>
      <c r="I2847" s="102">
        <v>3.6</v>
      </c>
      <c r="J2847" s="102">
        <v>4.43</v>
      </c>
      <c r="K2847" s="101" t="s">
        <v>2941</v>
      </c>
      <c r="L2847" s="102">
        <v>23.0</v>
      </c>
      <c r="M2847" s="13"/>
    </row>
    <row r="2848">
      <c r="A2848" s="101" t="s">
        <v>5276</v>
      </c>
      <c r="B2848" s="101" t="s">
        <v>5277</v>
      </c>
      <c r="D2848" s="13"/>
      <c r="E2848" s="13"/>
      <c r="F2848" s="13"/>
      <c r="G2848" s="102">
        <v>1.0</v>
      </c>
      <c r="H2848" s="101" t="s">
        <v>2940</v>
      </c>
      <c r="I2848" s="102">
        <v>2.44</v>
      </c>
      <c r="J2848" s="102">
        <v>3.0</v>
      </c>
      <c r="K2848" s="101" t="s">
        <v>2941</v>
      </c>
      <c r="L2848" s="102">
        <v>23.0</v>
      </c>
      <c r="M2848" s="13"/>
    </row>
    <row r="2849">
      <c r="A2849" s="101" t="s">
        <v>5276</v>
      </c>
      <c r="B2849" s="101" t="s">
        <v>5277</v>
      </c>
      <c r="D2849" s="13"/>
      <c r="E2849" s="13"/>
      <c r="F2849" s="13"/>
      <c r="G2849" s="102">
        <v>2.0</v>
      </c>
      <c r="H2849" s="101" t="s">
        <v>2942</v>
      </c>
      <c r="I2849" s="102">
        <v>2.0</v>
      </c>
      <c r="J2849" s="102">
        <v>2.46</v>
      </c>
      <c r="K2849" s="101" t="s">
        <v>2941</v>
      </c>
      <c r="L2849" s="102">
        <v>23.0</v>
      </c>
      <c r="M2849" s="13"/>
    </row>
    <row r="2850">
      <c r="A2850" s="101" t="s">
        <v>5278</v>
      </c>
      <c r="B2850" s="101" t="s">
        <v>5279</v>
      </c>
      <c r="D2850" s="13"/>
      <c r="E2850" s="13"/>
      <c r="F2850" s="13"/>
      <c r="G2850" s="102">
        <v>1.0</v>
      </c>
      <c r="H2850" s="101" t="s">
        <v>2940</v>
      </c>
      <c r="I2850" s="102">
        <v>2.44</v>
      </c>
      <c r="J2850" s="102">
        <v>3.0</v>
      </c>
      <c r="K2850" s="101" t="s">
        <v>2941</v>
      </c>
      <c r="L2850" s="102">
        <v>23.0</v>
      </c>
      <c r="M2850" s="13"/>
    </row>
    <row r="2851">
      <c r="A2851" s="101" t="s">
        <v>5278</v>
      </c>
      <c r="B2851" s="101" t="s">
        <v>5279</v>
      </c>
      <c r="D2851" s="13"/>
      <c r="E2851" s="13"/>
      <c r="F2851" s="13"/>
      <c r="G2851" s="102">
        <v>2.0</v>
      </c>
      <c r="H2851" s="101" t="s">
        <v>2942</v>
      </c>
      <c r="I2851" s="102">
        <v>2.0</v>
      </c>
      <c r="J2851" s="102">
        <v>2.46</v>
      </c>
      <c r="K2851" s="101" t="s">
        <v>2941</v>
      </c>
      <c r="L2851" s="102">
        <v>23.0</v>
      </c>
      <c r="M2851" s="13"/>
    </row>
    <row r="2852">
      <c r="A2852" s="101" t="s">
        <v>5280</v>
      </c>
      <c r="B2852" s="101">
        <v>975.0</v>
      </c>
      <c r="C2852" s="13"/>
      <c r="D2852" s="13"/>
      <c r="E2852" s="13"/>
      <c r="F2852" s="13"/>
      <c r="G2852" s="102">
        <v>1.0</v>
      </c>
      <c r="H2852" s="101" t="s">
        <v>2940</v>
      </c>
      <c r="I2852" s="102">
        <v>2.68</v>
      </c>
      <c r="J2852" s="102">
        <v>3.3</v>
      </c>
      <c r="K2852" s="101" t="s">
        <v>2941</v>
      </c>
      <c r="L2852" s="102">
        <v>23.0</v>
      </c>
      <c r="M2852" s="13"/>
    </row>
    <row r="2853">
      <c r="A2853" s="101" t="s">
        <v>5280</v>
      </c>
      <c r="B2853" s="101">
        <v>975.0</v>
      </c>
      <c r="C2853" s="13"/>
      <c r="D2853" s="13"/>
      <c r="E2853" s="13"/>
      <c r="F2853" s="13"/>
      <c r="G2853" s="102">
        <v>2.0</v>
      </c>
      <c r="H2853" s="101" t="s">
        <v>2942</v>
      </c>
      <c r="I2853" s="102">
        <v>2.7</v>
      </c>
      <c r="J2853" s="102">
        <v>3.32</v>
      </c>
      <c r="K2853" s="101" t="s">
        <v>2941</v>
      </c>
      <c r="L2853" s="102">
        <v>23.0</v>
      </c>
      <c r="M2853" s="13"/>
    </row>
    <row r="2854">
      <c r="A2854" s="101" t="s">
        <v>5281</v>
      </c>
      <c r="B2854" s="101">
        <v>177.0</v>
      </c>
      <c r="C2854" s="13"/>
      <c r="D2854" s="13"/>
      <c r="E2854" s="13"/>
      <c r="F2854" s="13"/>
      <c r="G2854" s="102">
        <v>1.0</v>
      </c>
      <c r="H2854" s="101" t="s">
        <v>2940</v>
      </c>
      <c r="I2854" s="102">
        <v>2.68</v>
      </c>
      <c r="J2854" s="102">
        <v>3.3</v>
      </c>
      <c r="K2854" s="101" t="s">
        <v>2941</v>
      </c>
      <c r="L2854" s="102">
        <v>23.0</v>
      </c>
      <c r="M2854" s="13"/>
    </row>
    <row r="2855">
      <c r="A2855" s="101" t="s">
        <v>5281</v>
      </c>
      <c r="B2855" s="101">
        <v>177.0</v>
      </c>
      <c r="C2855" s="13"/>
      <c r="D2855" s="13"/>
      <c r="E2855" s="13"/>
      <c r="F2855" s="13"/>
      <c r="G2855" s="102">
        <v>2.0</v>
      </c>
      <c r="H2855" s="101" t="s">
        <v>2942</v>
      </c>
      <c r="I2855" s="102">
        <v>2.7</v>
      </c>
      <c r="J2855" s="102">
        <v>3.32</v>
      </c>
      <c r="K2855" s="101" t="s">
        <v>2941</v>
      </c>
      <c r="L2855" s="102">
        <v>23.0</v>
      </c>
      <c r="M2855" s="13"/>
    </row>
    <row r="2856">
      <c r="A2856" s="101" t="s">
        <v>5282</v>
      </c>
      <c r="B2856" s="101">
        <v>1439.0</v>
      </c>
      <c r="C2856" s="13"/>
      <c r="D2856" s="13"/>
      <c r="E2856" s="13"/>
      <c r="F2856" s="13"/>
      <c r="G2856" s="102">
        <v>1.0</v>
      </c>
      <c r="H2856" s="101" t="s">
        <v>2940</v>
      </c>
      <c r="I2856" s="102">
        <v>2.44</v>
      </c>
      <c r="J2856" s="102">
        <v>3.0</v>
      </c>
      <c r="K2856" s="101" t="s">
        <v>2941</v>
      </c>
      <c r="L2856" s="102">
        <v>23.0</v>
      </c>
      <c r="M2856" s="13"/>
    </row>
    <row r="2857">
      <c r="A2857" s="101" t="s">
        <v>5282</v>
      </c>
      <c r="B2857" s="101">
        <v>1439.0</v>
      </c>
      <c r="C2857" s="13"/>
      <c r="D2857" s="13"/>
      <c r="E2857" s="13"/>
      <c r="F2857" s="13"/>
      <c r="G2857" s="102">
        <v>2.0</v>
      </c>
      <c r="H2857" s="101" t="s">
        <v>2942</v>
      </c>
      <c r="I2857" s="102">
        <v>2.0</v>
      </c>
      <c r="J2857" s="102">
        <v>2.46</v>
      </c>
      <c r="K2857" s="101" t="s">
        <v>2941</v>
      </c>
      <c r="L2857" s="102">
        <v>23.0</v>
      </c>
      <c r="M2857" s="13"/>
    </row>
    <row r="2858">
      <c r="A2858" s="101" t="s">
        <v>5283</v>
      </c>
      <c r="B2858" s="101">
        <v>24059.0</v>
      </c>
      <c r="C2858" s="13"/>
      <c r="D2858" s="13"/>
      <c r="E2858" s="13"/>
      <c r="F2858" s="13"/>
      <c r="G2858" s="102">
        <v>1.0</v>
      </c>
      <c r="H2858" s="101" t="s">
        <v>2940</v>
      </c>
      <c r="I2858" s="102">
        <v>5.12</v>
      </c>
      <c r="J2858" s="102">
        <v>6.3</v>
      </c>
      <c r="K2858" s="101" t="s">
        <v>2941</v>
      </c>
      <c r="L2858" s="102">
        <v>23.0</v>
      </c>
      <c r="M2858" s="13"/>
    </row>
    <row r="2859">
      <c r="A2859" s="101" t="s">
        <v>5283</v>
      </c>
      <c r="B2859" s="101">
        <v>24059.0</v>
      </c>
      <c r="C2859" s="13"/>
      <c r="D2859" s="13"/>
      <c r="E2859" s="13"/>
      <c r="F2859" s="13"/>
      <c r="G2859" s="102">
        <v>2.0</v>
      </c>
      <c r="H2859" s="101" t="s">
        <v>2942</v>
      </c>
      <c r="I2859" s="102">
        <v>4.1</v>
      </c>
      <c r="J2859" s="102">
        <v>5.04</v>
      </c>
      <c r="K2859" s="101" t="s">
        <v>2941</v>
      </c>
      <c r="L2859" s="102">
        <v>23.0</v>
      </c>
      <c r="M2859" s="13"/>
    </row>
    <row r="2860">
      <c r="A2860" s="101" t="s">
        <v>5284</v>
      </c>
      <c r="B2860" s="101">
        <v>28.0</v>
      </c>
      <c r="C2860" s="13"/>
      <c r="D2860" s="13"/>
      <c r="E2860" s="13"/>
      <c r="F2860" s="13"/>
      <c r="G2860" s="102">
        <v>1.0</v>
      </c>
      <c r="H2860" s="101" t="s">
        <v>2940</v>
      </c>
      <c r="I2860" s="102">
        <v>2.44</v>
      </c>
      <c r="J2860" s="102">
        <v>3.0</v>
      </c>
      <c r="K2860" s="101" t="s">
        <v>2941</v>
      </c>
      <c r="L2860" s="102">
        <v>23.0</v>
      </c>
      <c r="M2860" s="13"/>
    </row>
    <row r="2861">
      <c r="A2861" s="101" t="s">
        <v>5284</v>
      </c>
      <c r="B2861" s="101">
        <v>28.0</v>
      </c>
      <c r="C2861" s="13"/>
      <c r="D2861" s="13"/>
      <c r="E2861" s="13"/>
      <c r="F2861" s="13"/>
      <c r="G2861" s="102">
        <v>2.0</v>
      </c>
      <c r="H2861" s="101" t="s">
        <v>2942</v>
      </c>
      <c r="I2861" s="102">
        <v>2.0</v>
      </c>
      <c r="J2861" s="102">
        <v>2.46</v>
      </c>
      <c r="K2861" s="101" t="s">
        <v>2941</v>
      </c>
      <c r="L2861" s="102">
        <v>23.0</v>
      </c>
      <c r="M2861" s="13"/>
    </row>
    <row r="2862">
      <c r="A2862" s="101" t="s">
        <v>5285</v>
      </c>
      <c r="B2862" s="101">
        <v>29.0</v>
      </c>
      <c r="C2862" s="13"/>
      <c r="D2862" s="13"/>
      <c r="E2862" s="13"/>
      <c r="F2862" s="13"/>
      <c r="G2862" s="102">
        <v>1.0</v>
      </c>
      <c r="H2862" s="101" t="s">
        <v>2940</v>
      </c>
      <c r="I2862" s="102">
        <v>2.44</v>
      </c>
      <c r="J2862" s="102">
        <v>3.0</v>
      </c>
      <c r="K2862" s="101" t="s">
        <v>2941</v>
      </c>
      <c r="L2862" s="102">
        <v>23.0</v>
      </c>
      <c r="M2862" s="13"/>
    </row>
    <row r="2863">
      <c r="A2863" s="101" t="s">
        <v>5285</v>
      </c>
      <c r="B2863" s="101">
        <v>29.0</v>
      </c>
      <c r="C2863" s="13"/>
      <c r="D2863" s="13"/>
      <c r="E2863" s="13"/>
      <c r="F2863" s="13"/>
      <c r="G2863" s="102">
        <v>2.0</v>
      </c>
      <c r="H2863" s="101" t="s">
        <v>2942</v>
      </c>
      <c r="I2863" s="102">
        <v>2.0</v>
      </c>
      <c r="J2863" s="102">
        <v>2.46</v>
      </c>
      <c r="K2863" s="101" t="s">
        <v>2941</v>
      </c>
      <c r="L2863" s="102">
        <v>23.0</v>
      </c>
      <c r="M2863" s="13"/>
    </row>
    <row r="2864">
      <c r="A2864" s="101" t="s">
        <v>5286</v>
      </c>
      <c r="B2864" s="101">
        <v>1441.0</v>
      </c>
      <c r="C2864" s="13"/>
      <c r="D2864" s="13"/>
      <c r="E2864" s="13"/>
      <c r="F2864" s="13"/>
      <c r="G2864" s="102">
        <v>1.0</v>
      </c>
      <c r="H2864" s="101" t="s">
        <v>2940</v>
      </c>
      <c r="I2864" s="102">
        <v>2.44</v>
      </c>
      <c r="J2864" s="102">
        <v>3.0</v>
      </c>
      <c r="K2864" s="101" t="s">
        <v>2941</v>
      </c>
      <c r="L2864" s="102">
        <v>23.0</v>
      </c>
      <c r="M2864" s="13"/>
    </row>
    <row r="2865">
      <c r="A2865" s="101" t="s">
        <v>5286</v>
      </c>
      <c r="B2865" s="101">
        <v>1441.0</v>
      </c>
      <c r="C2865" s="13"/>
      <c r="D2865" s="13"/>
      <c r="E2865" s="13"/>
      <c r="F2865" s="13"/>
      <c r="G2865" s="102">
        <v>2.0</v>
      </c>
      <c r="H2865" s="101" t="s">
        <v>2942</v>
      </c>
      <c r="I2865" s="102">
        <v>2.0</v>
      </c>
      <c r="J2865" s="102">
        <v>2.46</v>
      </c>
      <c r="K2865" s="101" t="s">
        <v>2941</v>
      </c>
      <c r="L2865" s="102">
        <v>23.0</v>
      </c>
      <c r="M2865" s="13"/>
    </row>
    <row r="2866">
      <c r="A2866" s="101" t="s">
        <v>5287</v>
      </c>
      <c r="B2866" s="101">
        <v>981.0</v>
      </c>
      <c r="C2866" s="13"/>
      <c r="D2866" s="13"/>
      <c r="E2866" s="13"/>
      <c r="F2866" s="13"/>
      <c r="G2866" s="102">
        <v>1.0</v>
      </c>
      <c r="H2866" s="101" t="s">
        <v>2940</v>
      </c>
      <c r="I2866" s="102">
        <v>5.37</v>
      </c>
      <c r="J2866" s="102">
        <v>6.61</v>
      </c>
      <c r="K2866" s="101" t="s">
        <v>2941</v>
      </c>
      <c r="L2866" s="102">
        <v>23.0</v>
      </c>
      <c r="M2866" s="13"/>
    </row>
    <row r="2867">
      <c r="A2867" s="101" t="s">
        <v>5287</v>
      </c>
      <c r="B2867" s="101">
        <v>981.0</v>
      </c>
      <c r="C2867" s="13"/>
      <c r="D2867" s="13"/>
      <c r="E2867" s="13"/>
      <c r="F2867" s="13"/>
      <c r="G2867" s="102">
        <v>2.0</v>
      </c>
      <c r="H2867" s="101" t="s">
        <v>2942</v>
      </c>
      <c r="I2867" s="102">
        <v>5.4</v>
      </c>
      <c r="J2867" s="102">
        <v>6.64</v>
      </c>
      <c r="K2867" s="101" t="s">
        <v>2941</v>
      </c>
      <c r="L2867" s="102">
        <v>23.0</v>
      </c>
      <c r="M2867" s="13"/>
    </row>
    <row r="2868">
      <c r="A2868" s="101" t="s">
        <v>5288</v>
      </c>
      <c r="B2868" s="101" t="s">
        <v>5289</v>
      </c>
      <c r="D2868" s="13"/>
      <c r="E2868" s="13"/>
      <c r="F2868" s="13"/>
      <c r="G2868" s="102">
        <v>1.0</v>
      </c>
      <c r="H2868" s="101" t="s">
        <v>2940</v>
      </c>
      <c r="I2868" s="102">
        <v>3.98</v>
      </c>
      <c r="J2868" s="102">
        <v>4.9</v>
      </c>
      <c r="K2868" s="101" t="s">
        <v>2941</v>
      </c>
      <c r="L2868" s="102">
        <v>23.0</v>
      </c>
      <c r="M2868" s="13"/>
    </row>
    <row r="2869">
      <c r="A2869" s="101" t="s">
        <v>5288</v>
      </c>
      <c r="B2869" s="101" t="s">
        <v>5289</v>
      </c>
      <c r="D2869" s="13"/>
      <c r="E2869" s="13"/>
      <c r="F2869" s="13"/>
      <c r="G2869" s="102">
        <v>2.0</v>
      </c>
      <c r="H2869" s="101" t="s">
        <v>2942</v>
      </c>
      <c r="I2869" s="102">
        <v>3.2</v>
      </c>
      <c r="J2869" s="102">
        <v>3.94</v>
      </c>
      <c r="K2869" s="101" t="s">
        <v>2941</v>
      </c>
      <c r="L2869" s="102">
        <v>23.0</v>
      </c>
      <c r="M2869" s="13"/>
    </row>
    <row r="2870">
      <c r="A2870" s="101" t="s">
        <v>5290</v>
      </c>
      <c r="B2870" s="101">
        <v>224.0</v>
      </c>
      <c r="C2870" s="13"/>
      <c r="D2870" s="13"/>
      <c r="E2870" s="13"/>
      <c r="F2870" s="13"/>
      <c r="G2870" s="102">
        <v>1.0</v>
      </c>
      <c r="H2870" s="101" t="s">
        <v>2940</v>
      </c>
      <c r="I2870" s="102">
        <v>3.98</v>
      </c>
      <c r="J2870" s="102">
        <v>4.9</v>
      </c>
      <c r="K2870" s="101" t="s">
        <v>2941</v>
      </c>
      <c r="L2870" s="102">
        <v>23.0</v>
      </c>
      <c r="M2870" s="13"/>
    </row>
    <row r="2871">
      <c r="A2871" s="101" t="s">
        <v>5290</v>
      </c>
      <c r="B2871" s="101">
        <v>224.0</v>
      </c>
      <c r="C2871" s="13"/>
      <c r="D2871" s="13"/>
      <c r="E2871" s="13"/>
      <c r="F2871" s="13"/>
      <c r="G2871" s="102">
        <v>2.0</v>
      </c>
      <c r="H2871" s="101" t="s">
        <v>2942</v>
      </c>
      <c r="I2871" s="102">
        <v>4.0</v>
      </c>
      <c r="J2871" s="102">
        <v>4.92</v>
      </c>
      <c r="K2871" s="101" t="s">
        <v>2941</v>
      </c>
      <c r="L2871" s="102">
        <v>23.0</v>
      </c>
      <c r="M2871" s="13"/>
    </row>
    <row r="2872">
      <c r="A2872" s="101" t="s">
        <v>5291</v>
      </c>
      <c r="B2872" s="101">
        <v>53.0</v>
      </c>
      <c r="C2872" s="13"/>
      <c r="D2872" s="13"/>
      <c r="E2872" s="13"/>
      <c r="F2872" s="13"/>
      <c r="G2872" s="102">
        <v>1.0</v>
      </c>
      <c r="H2872" s="101" t="s">
        <v>2940</v>
      </c>
      <c r="I2872" s="102">
        <v>3.25</v>
      </c>
      <c r="J2872" s="102">
        <v>4.0</v>
      </c>
      <c r="K2872" s="101" t="s">
        <v>2941</v>
      </c>
      <c r="L2872" s="102">
        <v>23.0</v>
      </c>
      <c r="M2872" s="13"/>
    </row>
    <row r="2873">
      <c r="A2873" s="101" t="s">
        <v>5291</v>
      </c>
      <c r="B2873" s="101">
        <v>53.0</v>
      </c>
      <c r="C2873" s="13"/>
      <c r="D2873" s="13"/>
      <c r="E2873" s="13"/>
      <c r="F2873" s="13"/>
      <c r="G2873" s="102">
        <v>2.0</v>
      </c>
      <c r="H2873" s="101" t="s">
        <v>2942</v>
      </c>
      <c r="I2873" s="102">
        <v>2.6</v>
      </c>
      <c r="J2873" s="102">
        <v>3.2</v>
      </c>
      <c r="K2873" s="101" t="s">
        <v>2941</v>
      </c>
      <c r="L2873" s="102">
        <v>23.0</v>
      </c>
      <c r="M2873" s="13"/>
    </row>
    <row r="2874">
      <c r="A2874" s="101" t="s">
        <v>5292</v>
      </c>
      <c r="B2874" s="101">
        <v>24066.0</v>
      </c>
      <c r="C2874" s="13"/>
      <c r="D2874" s="13"/>
      <c r="E2874" s="13"/>
      <c r="F2874" s="13"/>
      <c r="G2874" s="102">
        <v>1.0</v>
      </c>
      <c r="H2874" s="101" t="s">
        <v>2940</v>
      </c>
      <c r="I2874" s="102">
        <v>2.68</v>
      </c>
      <c r="J2874" s="102">
        <v>3.3</v>
      </c>
      <c r="K2874" s="101" t="s">
        <v>2941</v>
      </c>
      <c r="L2874" s="102">
        <v>23.0</v>
      </c>
      <c r="M2874" s="13"/>
    </row>
    <row r="2875">
      <c r="A2875" s="101" t="s">
        <v>5292</v>
      </c>
      <c r="B2875" s="101">
        <v>24066.0</v>
      </c>
      <c r="C2875" s="13"/>
      <c r="D2875" s="13"/>
      <c r="E2875" s="13"/>
      <c r="F2875" s="13"/>
      <c r="G2875" s="102">
        <v>2.0</v>
      </c>
      <c r="H2875" s="101" t="s">
        <v>2942</v>
      </c>
      <c r="I2875" s="102">
        <v>2.7</v>
      </c>
      <c r="J2875" s="102">
        <v>3.32</v>
      </c>
      <c r="K2875" s="101" t="s">
        <v>2941</v>
      </c>
      <c r="L2875" s="102">
        <v>23.0</v>
      </c>
      <c r="M2875" s="13"/>
    </row>
    <row r="2876">
      <c r="A2876" s="101" t="s">
        <v>5293</v>
      </c>
      <c r="B2876" s="101">
        <v>27.0</v>
      </c>
      <c r="C2876" s="13"/>
      <c r="D2876" s="13"/>
      <c r="E2876" s="13"/>
      <c r="F2876" s="13"/>
      <c r="G2876" s="102">
        <v>1.0</v>
      </c>
      <c r="H2876" s="101" t="s">
        <v>2940</v>
      </c>
      <c r="I2876" s="102">
        <v>2.7</v>
      </c>
      <c r="J2876" s="102">
        <v>3.32</v>
      </c>
      <c r="K2876" s="101" t="s">
        <v>2941</v>
      </c>
      <c r="L2876" s="102">
        <v>23.0</v>
      </c>
      <c r="M2876" s="13"/>
    </row>
    <row r="2877">
      <c r="A2877" s="101" t="s">
        <v>5293</v>
      </c>
      <c r="B2877" s="101">
        <v>27.0</v>
      </c>
      <c r="C2877" s="13"/>
      <c r="D2877" s="13"/>
      <c r="E2877" s="13"/>
      <c r="F2877" s="13"/>
      <c r="G2877" s="102">
        <v>2.0</v>
      </c>
      <c r="H2877" s="101" t="s">
        <v>2942</v>
      </c>
      <c r="I2877" s="102">
        <v>2.7</v>
      </c>
      <c r="J2877" s="102">
        <v>3.32</v>
      </c>
      <c r="K2877" s="101" t="s">
        <v>2941</v>
      </c>
      <c r="L2877" s="102">
        <v>23.0</v>
      </c>
      <c r="M2877" s="13"/>
    </row>
    <row r="2878">
      <c r="A2878" s="101" t="s">
        <v>5294</v>
      </c>
      <c r="B2878" s="101">
        <v>1057.0</v>
      </c>
      <c r="C2878" s="13"/>
      <c r="D2878" s="13"/>
      <c r="E2878" s="13"/>
      <c r="F2878" s="13"/>
      <c r="G2878" s="102">
        <v>1.0</v>
      </c>
      <c r="H2878" s="101" t="s">
        <v>2940</v>
      </c>
      <c r="I2878" s="102">
        <v>2.7</v>
      </c>
      <c r="J2878" s="102">
        <v>3.32</v>
      </c>
      <c r="K2878" s="101" t="s">
        <v>2941</v>
      </c>
      <c r="L2878" s="102">
        <v>23.0</v>
      </c>
      <c r="M2878" s="13"/>
    </row>
    <row r="2879">
      <c r="A2879" s="101" t="s">
        <v>5294</v>
      </c>
      <c r="B2879" s="101">
        <v>1057.0</v>
      </c>
      <c r="C2879" s="13"/>
      <c r="D2879" s="13"/>
      <c r="E2879" s="13"/>
      <c r="F2879" s="13"/>
      <c r="G2879" s="102">
        <v>2.0</v>
      </c>
      <c r="H2879" s="101" t="s">
        <v>2942</v>
      </c>
      <c r="I2879" s="102">
        <v>2.7</v>
      </c>
      <c r="J2879" s="102">
        <v>3.32</v>
      </c>
      <c r="K2879" s="101" t="s">
        <v>2941</v>
      </c>
      <c r="L2879" s="102">
        <v>23.0</v>
      </c>
      <c r="M2879" s="13"/>
    </row>
    <row r="2880">
      <c r="A2880" s="101" t="s">
        <v>5295</v>
      </c>
      <c r="B2880" s="101">
        <v>24081.0</v>
      </c>
      <c r="C2880" s="13"/>
      <c r="D2880" s="13"/>
      <c r="E2880" s="13"/>
      <c r="F2880" s="13"/>
      <c r="G2880" s="102">
        <v>1.0</v>
      </c>
      <c r="H2880" s="101" t="s">
        <v>2940</v>
      </c>
      <c r="I2880" s="102">
        <v>2.68</v>
      </c>
      <c r="J2880" s="102">
        <v>3.3</v>
      </c>
      <c r="K2880" s="101" t="s">
        <v>2941</v>
      </c>
      <c r="L2880" s="102">
        <v>23.0</v>
      </c>
      <c r="M2880" s="13"/>
    </row>
    <row r="2881">
      <c r="A2881" s="101" t="s">
        <v>5295</v>
      </c>
      <c r="B2881" s="101">
        <v>24081.0</v>
      </c>
      <c r="C2881" s="13"/>
      <c r="D2881" s="13"/>
      <c r="E2881" s="13"/>
      <c r="F2881" s="13"/>
      <c r="G2881" s="102">
        <v>2.0</v>
      </c>
      <c r="H2881" s="101" t="s">
        <v>2942</v>
      </c>
      <c r="I2881" s="102">
        <v>2.7</v>
      </c>
      <c r="J2881" s="102">
        <v>3.32</v>
      </c>
      <c r="K2881" s="101" t="s">
        <v>2941</v>
      </c>
      <c r="L2881" s="102">
        <v>23.0</v>
      </c>
      <c r="M2881" s="13"/>
    </row>
    <row r="2882">
      <c r="A2882" s="101" t="s">
        <v>5296</v>
      </c>
      <c r="B2882" s="101">
        <v>20005.0</v>
      </c>
      <c r="C2882" s="13"/>
      <c r="D2882" s="13"/>
      <c r="E2882" s="13"/>
      <c r="F2882" s="13"/>
      <c r="G2882" s="102">
        <v>1.0</v>
      </c>
      <c r="H2882" s="101" t="s">
        <v>2940</v>
      </c>
      <c r="I2882" s="102">
        <v>1.63</v>
      </c>
      <c r="J2882" s="102">
        <v>2.0</v>
      </c>
      <c r="K2882" s="101" t="s">
        <v>2941</v>
      </c>
      <c r="L2882" s="102">
        <v>23.0</v>
      </c>
      <c r="M2882" s="13"/>
    </row>
    <row r="2883">
      <c r="A2883" s="101" t="s">
        <v>5296</v>
      </c>
      <c r="B2883" s="101">
        <v>20005.0</v>
      </c>
      <c r="C2883" s="13"/>
      <c r="D2883" s="13"/>
      <c r="E2883" s="13"/>
      <c r="F2883" s="13"/>
      <c r="G2883" s="102">
        <v>2.0</v>
      </c>
      <c r="H2883" s="101" t="s">
        <v>2942</v>
      </c>
      <c r="I2883" s="102">
        <v>1.0</v>
      </c>
      <c r="J2883" s="102">
        <v>1.23</v>
      </c>
      <c r="K2883" s="101" t="s">
        <v>2941</v>
      </c>
      <c r="L2883" s="102">
        <v>23.0</v>
      </c>
      <c r="M2883" s="13"/>
    </row>
    <row r="2884">
      <c r="A2884" s="101" t="s">
        <v>5297</v>
      </c>
      <c r="B2884" s="101">
        <v>21005.0</v>
      </c>
      <c r="C2884" s="13"/>
      <c r="D2884" s="13"/>
      <c r="E2884" s="13"/>
      <c r="F2884" s="13"/>
      <c r="G2884" s="102">
        <v>1.0</v>
      </c>
      <c r="H2884" s="101" t="s">
        <v>2940</v>
      </c>
      <c r="I2884" s="102">
        <v>1.63</v>
      </c>
      <c r="J2884" s="102">
        <v>2.0</v>
      </c>
      <c r="K2884" s="101" t="s">
        <v>2941</v>
      </c>
      <c r="L2884" s="102">
        <v>23.0</v>
      </c>
      <c r="M2884" s="13"/>
    </row>
    <row r="2885">
      <c r="A2885" s="101" t="s">
        <v>5297</v>
      </c>
      <c r="B2885" s="101">
        <v>21005.0</v>
      </c>
      <c r="C2885" s="13"/>
      <c r="D2885" s="13"/>
      <c r="E2885" s="13"/>
      <c r="F2885" s="13"/>
      <c r="G2885" s="102">
        <v>2.0</v>
      </c>
      <c r="H2885" s="101" t="s">
        <v>2942</v>
      </c>
      <c r="I2885" s="102">
        <v>1.0</v>
      </c>
      <c r="J2885" s="102">
        <v>1.23</v>
      </c>
      <c r="K2885" s="101" t="s">
        <v>2941</v>
      </c>
      <c r="L2885" s="102">
        <v>23.0</v>
      </c>
      <c r="M2885" s="13"/>
    </row>
    <row r="2886">
      <c r="A2886" s="101" t="s">
        <v>5298</v>
      </c>
      <c r="B2886" s="101">
        <v>23005.0</v>
      </c>
      <c r="C2886" s="13"/>
      <c r="D2886" s="13"/>
      <c r="E2886" s="13"/>
      <c r="F2886" s="13"/>
      <c r="G2886" s="102">
        <v>1.0</v>
      </c>
      <c r="H2886" s="101" t="s">
        <v>2940</v>
      </c>
      <c r="I2886" s="102">
        <v>3.25</v>
      </c>
      <c r="J2886" s="102">
        <v>4.0</v>
      </c>
      <c r="K2886" s="101" t="s">
        <v>2941</v>
      </c>
      <c r="L2886" s="102">
        <v>23.0</v>
      </c>
      <c r="M2886" s="13"/>
    </row>
    <row r="2887">
      <c r="A2887" s="101" t="s">
        <v>5298</v>
      </c>
      <c r="B2887" s="101">
        <v>23005.0</v>
      </c>
      <c r="C2887" s="13"/>
      <c r="D2887" s="13"/>
      <c r="E2887" s="13"/>
      <c r="F2887" s="13"/>
      <c r="G2887" s="102">
        <v>2.0</v>
      </c>
      <c r="H2887" s="101" t="s">
        <v>2942</v>
      </c>
      <c r="I2887" s="102">
        <v>2.0</v>
      </c>
      <c r="J2887" s="102">
        <v>2.46</v>
      </c>
      <c r="K2887" s="101" t="s">
        <v>2941</v>
      </c>
      <c r="L2887" s="102">
        <v>23.0</v>
      </c>
      <c r="M2887" s="13"/>
    </row>
    <row r="2888">
      <c r="A2888" s="101" t="s">
        <v>5299</v>
      </c>
      <c r="B2888" s="101">
        <v>24067.0</v>
      </c>
      <c r="C2888" s="13"/>
      <c r="D2888" s="13"/>
      <c r="E2888" s="13"/>
      <c r="F2888" s="13"/>
      <c r="G2888" s="102">
        <v>1.0</v>
      </c>
      <c r="H2888" s="101" t="s">
        <v>2940</v>
      </c>
      <c r="I2888" s="102">
        <v>2.7</v>
      </c>
      <c r="J2888" s="102">
        <v>3.32</v>
      </c>
      <c r="K2888" s="101" t="s">
        <v>2941</v>
      </c>
      <c r="L2888" s="102">
        <v>23.0</v>
      </c>
      <c r="M2888" s="13"/>
    </row>
    <row r="2889">
      <c r="A2889" s="101" t="s">
        <v>5299</v>
      </c>
      <c r="B2889" s="101">
        <v>24067.0</v>
      </c>
      <c r="C2889" s="13"/>
      <c r="D2889" s="13"/>
      <c r="E2889" s="13"/>
      <c r="F2889" s="13"/>
      <c r="G2889" s="102">
        <v>2.0</v>
      </c>
      <c r="H2889" s="101" t="s">
        <v>2942</v>
      </c>
      <c r="I2889" s="102">
        <v>2.7</v>
      </c>
      <c r="J2889" s="102">
        <v>3.32</v>
      </c>
      <c r="K2889" s="101" t="s">
        <v>2941</v>
      </c>
      <c r="L2889" s="102">
        <v>23.0</v>
      </c>
      <c r="M2889" s="13"/>
    </row>
    <row r="2890">
      <c r="A2890" s="101" t="s">
        <v>5300</v>
      </c>
      <c r="B2890" s="101">
        <v>24082.0</v>
      </c>
      <c r="C2890" s="13"/>
      <c r="D2890" s="13"/>
      <c r="E2890" s="13"/>
      <c r="F2890" s="13"/>
      <c r="G2890" s="102">
        <v>1.0</v>
      </c>
      <c r="H2890" s="101" t="s">
        <v>2940</v>
      </c>
      <c r="I2890" s="102">
        <v>2.7</v>
      </c>
      <c r="J2890" s="102">
        <v>3.32</v>
      </c>
      <c r="K2890" s="101" t="s">
        <v>2941</v>
      </c>
      <c r="L2890" s="102">
        <v>23.0</v>
      </c>
      <c r="M2890" s="13"/>
    </row>
    <row r="2891">
      <c r="A2891" s="101" t="s">
        <v>5300</v>
      </c>
      <c r="B2891" s="101">
        <v>24082.0</v>
      </c>
      <c r="C2891" s="13"/>
      <c r="D2891" s="13"/>
      <c r="E2891" s="13"/>
      <c r="F2891" s="13"/>
      <c r="G2891" s="102">
        <v>2.0</v>
      </c>
      <c r="H2891" s="101" t="s">
        <v>2942</v>
      </c>
      <c r="I2891" s="102">
        <v>2.7</v>
      </c>
      <c r="J2891" s="102">
        <v>3.32</v>
      </c>
      <c r="K2891" s="101" t="s">
        <v>2941</v>
      </c>
      <c r="L2891" s="102">
        <v>23.0</v>
      </c>
      <c r="M2891" s="13"/>
    </row>
    <row r="2892">
      <c r="A2892" s="101" t="s">
        <v>5301</v>
      </c>
      <c r="B2892" s="101">
        <v>24063.0</v>
      </c>
      <c r="C2892" s="13"/>
      <c r="D2892" s="13"/>
      <c r="E2892" s="13"/>
      <c r="F2892" s="13"/>
      <c r="G2892" s="102">
        <v>1.0</v>
      </c>
      <c r="H2892" s="101" t="s">
        <v>2940</v>
      </c>
      <c r="I2892" s="102">
        <v>6.34</v>
      </c>
      <c r="J2892" s="102">
        <v>7.8</v>
      </c>
      <c r="K2892" s="101" t="s">
        <v>2941</v>
      </c>
      <c r="L2892" s="102">
        <v>23.0</v>
      </c>
      <c r="M2892" s="13"/>
    </row>
    <row r="2893">
      <c r="A2893" s="101" t="s">
        <v>5301</v>
      </c>
      <c r="B2893" s="101">
        <v>24063.0</v>
      </c>
      <c r="C2893" s="13"/>
      <c r="D2893" s="13"/>
      <c r="E2893" s="13"/>
      <c r="F2893" s="13"/>
      <c r="G2893" s="102">
        <v>2.0</v>
      </c>
      <c r="H2893" s="101" t="s">
        <v>2942</v>
      </c>
      <c r="I2893" s="102">
        <v>6.33</v>
      </c>
      <c r="J2893" s="102">
        <v>7.79</v>
      </c>
      <c r="K2893" s="101" t="s">
        <v>2941</v>
      </c>
      <c r="L2893" s="102">
        <v>23.0</v>
      </c>
      <c r="M2893" s="13"/>
    </row>
    <row r="2894">
      <c r="A2894" s="101" t="s">
        <v>5302</v>
      </c>
      <c r="B2894" s="101">
        <v>1438.0</v>
      </c>
      <c r="C2894" s="13"/>
      <c r="D2894" s="13"/>
      <c r="E2894" s="13"/>
      <c r="F2894" s="13"/>
      <c r="G2894" s="102">
        <v>1.0</v>
      </c>
      <c r="H2894" s="101" t="s">
        <v>2940</v>
      </c>
      <c r="I2894" s="102">
        <v>2.7</v>
      </c>
      <c r="J2894" s="102">
        <v>3.32</v>
      </c>
      <c r="K2894" s="101" t="s">
        <v>2941</v>
      </c>
      <c r="L2894" s="102">
        <v>23.0</v>
      </c>
      <c r="M2894" s="13"/>
    </row>
    <row r="2895">
      <c r="A2895" s="101" t="s">
        <v>5302</v>
      </c>
      <c r="B2895" s="101">
        <v>1438.0</v>
      </c>
      <c r="C2895" s="13"/>
      <c r="D2895" s="13"/>
      <c r="E2895" s="13"/>
      <c r="F2895" s="13"/>
      <c r="G2895" s="102">
        <v>2.0</v>
      </c>
      <c r="H2895" s="101" t="s">
        <v>2942</v>
      </c>
      <c r="I2895" s="102">
        <v>2.7</v>
      </c>
      <c r="J2895" s="102">
        <v>3.32</v>
      </c>
      <c r="K2895" s="101" t="s">
        <v>2941</v>
      </c>
      <c r="L2895" s="102">
        <v>23.0</v>
      </c>
      <c r="M2895" s="13"/>
    </row>
    <row r="2896">
      <c r="A2896" s="101" t="s">
        <v>5303</v>
      </c>
      <c r="B2896" s="101">
        <v>32.0</v>
      </c>
      <c r="C2896" s="13"/>
      <c r="D2896" s="13"/>
      <c r="E2896" s="13"/>
      <c r="F2896" s="13"/>
      <c r="G2896" s="102">
        <v>1.0</v>
      </c>
      <c r="H2896" s="101" t="s">
        <v>2940</v>
      </c>
      <c r="I2896" s="102">
        <v>2.7</v>
      </c>
      <c r="J2896" s="102">
        <v>3.32</v>
      </c>
      <c r="K2896" s="101" t="s">
        <v>2941</v>
      </c>
      <c r="L2896" s="102">
        <v>23.0</v>
      </c>
      <c r="M2896" s="13"/>
    </row>
    <row r="2897">
      <c r="A2897" s="101" t="s">
        <v>5303</v>
      </c>
      <c r="B2897" s="101">
        <v>32.0</v>
      </c>
      <c r="C2897" s="13"/>
      <c r="D2897" s="13"/>
      <c r="E2897" s="13"/>
      <c r="F2897" s="13"/>
      <c r="G2897" s="102">
        <v>2.0</v>
      </c>
      <c r="H2897" s="101" t="s">
        <v>2942</v>
      </c>
      <c r="I2897" s="102">
        <v>2.7</v>
      </c>
      <c r="J2897" s="102">
        <v>3.32</v>
      </c>
      <c r="K2897" s="101" t="s">
        <v>2941</v>
      </c>
      <c r="L2897" s="102">
        <v>23.0</v>
      </c>
      <c r="M2897" s="13"/>
    </row>
    <row r="2898">
      <c r="A2898" s="101" t="s">
        <v>5304</v>
      </c>
      <c r="B2898" s="101">
        <v>1447.0</v>
      </c>
      <c r="C2898" s="13"/>
      <c r="D2898" s="13"/>
      <c r="E2898" s="13"/>
      <c r="F2898" s="13"/>
      <c r="G2898" s="102">
        <v>1.0</v>
      </c>
      <c r="H2898" s="101" t="s">
        <v>2940</v>
      </c>
      <c r="I2898" s="102">
        <v>2.7</v>
      </c>
      <c r="J2898" s="102">
        <v>3.32</v>
      </c>
      <c r="K2898" s="101" t="s">
        <v>2941</v>
      </c>
      <c r="L2898" s="102">
        <v>23.0</v>
      </c>
      <c r="M2898" s="13"/>
    </row>
    <row r="2899">
      <c r="A2899" s="101" t="s">
        <v>5304</v>
      </c>
      <c r="B2899" s="101">
        <v>1447.0</v>
      </c>
      <c r="C2899" s="13"/>
      <c r="D2899" s="13"/>
      <c r="E2899" s="13"/>
      <c r="F2899" s="13"/>
      <c r="G2899" s="102">
        <v>2.0</v>
      </c>
      <c r="H2899" s="101" t="s">
        <v>2942</v>
      </c>
      <c r="I2899" s="102">
        <v>2.7</v>
      </c>
      <c r="J2899" s="102">
        <v>3.32</v>
      </c>
      <c r="K2899" s="101" t="s">
        <v>2941</v>
      </c>
      <c r="L2899" s="102">
        <v>23.0</v>
      </c>
      <c r="M2899" s="13"/>
    </row>
    <row r="2900">
      <c r="A2900" s="101" t="s">
        <v>5305</v>
      </c>
      <c r="B2900" s="101">
        <v>309.0</v>
      </c>
      <c r="C2900" s="13"/>
      <c r="D2900" s="13"/>
      <c r="E2900" s="13"/>
      <c r="F2900" s="13"/>
      <c r="G2900" s="102">
        <v>1.0</v>
      </c>
      <c r="H2900" s="101" t="s">
        <v>2940</v>
      </c>
      <c r="I2900" s="102">
        <v>2.7</v>
      </c>
      <c r="J2900" s="102">
        <v>3.32</v>
      </c>
      <c r="K2900" s="101" t="s">
        <v>2941</v>
      </c>
      <c r="L2900" s="102">
        <v>23.0</v>
      </c>
      <c r="M2900" s="13"/>
    </row>
    <row r="2901">
      <c r="A2901" s="101" t="s">
        <v>5305</v>
      </c>
      <c r="B2901" s="101">
        <v>309.0</v>
      </c>
      <c r="C2901" s="13"/>
      <c r="D2901" s="13"/>
      <c r="E2901" s="13"/>
      <c r="F2901" s="13"/>
      <c r="G2901" s="102">
        <v>2.0</v>
      </c>
      <c r="H2901" s="101" t="s">
        <v>2942</v>
      </c>
      <c r="I2901" s="102">
        <v>2.7</v>
      </c>
      <c r="J2901" s="102">
        <v>3.32</v>
      </c>
      <c r="K2901" s="101" t="s">
        <v>2941</v>
      </c>
      <c r="L2901" s="102">
        <v>23.0</v>
      </c>
      <c r="M2901" s="13"/>
    </row>
    <row r="2902">
      <c r="A2902" s="101" t="s">
        <v>5306</v>
      </c>
      <c r="B2902" s="101" t="s">
        <v>5307</v>
      </c>
      <c r="D2902" s="13"/>
      <c r="E2902" s="13"/>
      <c r="F2902" s="13"/>
      <c r="G2902" s="102">
        <v>1.0</v>
      </c>
      <c r="H2902" s="101" t="s">
        <v>2940</v>
      </c>
      <c r="I2902" s="102">
        <v>4.47</v>
      </c>
      <c r="J2902" s="102">
        <v>5.5</v>
      </c>
      <c r="K2902" s="101" t="s">
        <v>2941</v>
      </c>
      <c r="L2902" s="102">
        <v>23.0</v>
      </c>
      <c r="M2902" s="13"/>
    </row>
    <row r="2903">
      <c r="A2903" s="101" t="s">
        <v>5306</v>
      </c>
      <c r="B2903" s="101" t="s">
        <v>5307</v>
      </c>
      <c r="D2903" s="13"/>
      <c r="E2903" s="13"/>
      <c r="F2903" s="13"/>
      <c r="G2903" s="102">
        <v>2.0</v>
      </c>
      <c r="H2903" s="101" t="s">
        <v>2942</v>
      </c>
      <c r="I2903" s="102">
        <v>4.44</v>
      </c>
      <c r="J2903" s="102">
        <v>5.46</v>
      </c>
      <c r="K2903" s="101" t="s">
        <v>2941</v>
      </c>
      <c r="L2903" s="102">
        <v>23.0</v>
      </c>
      <c r="M2903" s="13"/>
    </row>
    <row r="2904">
      <c r="A2904" s="101" t="s">
        <v>5308</v>
      </c>
      <c r="B2904" s="101">
        <v>24344.0</v>
      </c>
      <c r="C2904" s="13"/>
      <c r="D2904" s="13"/>
      <c r="E2904" s="13"/>
      <c r="F2904" s="13"/>
      <c r="G2904" s="102">
        <v>1.0</v>
      </c>
      <c r="H2904" s="101" t="s">
        <v>2940</v>
      </c>
      <c r="I2904" s="102">
        <v>3.98</v>
      </c>
      <c r="J2904" s="102">
        <v>4.9</v>
      </c>
      <c r="K2904" s="101" t="s">
        <v>2941</v>
      </c>
      <c r="L2904" s="102">
        <v>23.0</v>
      </c>
      <c r="M2904" s="13"/>
    </row>
    <row r="2905">
      <c r="A2905" s="101" t="s">
        <v>5308</v>
      </c>
      <c r="B2905" s="101">
        <v>24344.0</v>
      </c>
      <c r="C2905" s="13"/>
      <c r="D2905" s="13"/>
      <c r="E2905" s="13"/>
      <c r="F2905" s="13"/>
      <c r="G2905" s="102">
        <v>2.0</v>
      </c>
      <c r="H2905" s="101" t="s">
        <v>2942</v>
      </c>
      <c r="I2905" s="102">
        <v>3.2</v>
      </c>
      <c r="J2905" s="102">
        <v>3.94</v>
      </c>
      <c r="K2905" s="101" t="s">
        <v>2941</v>
      </c>
      <c r="L2905" s="102">
        <v>23.0</v>
      </c>
      <c r="M2905" s="13"/>
    </row>
    <row r="2906">
      <c r="A2906" s="101" t="s">
        <v>5309</v>
      </c>
      <c r="B2906" s="101">
        <v>511.0</v>
      </c>
      <c r="C2906" s="13"/>
      <c r="D2906" s="13"/>
      <c r="E2906" s="13"/>
      <c r="F2906" s="13"/>
      <c r="G2906" s="102">
        <v>1.0</v>
      </c>
      <c r="H2906" s="101" t="s">
        <v>2940</v>
      </c>
      <c r="I2906" s="102">
        <v>3.9</v>
      </c>
      <c r="J2906" s="102">
        <v>4.8</v>
      </c>
      <c r="K2906" s="101" t="s">
        <v>2941</v>
      </c>
      <c r="L2906" s="102">
        <v>23.0</v>
      </c>
      <c r="M2906" s="13"/>
    </row>
    <row r="2907">
      <c r="A2907" s="101" t="s">
        <v>5309</v>
      </c>
      <c r="B2907" s="101">
        <v>511.0</v>
      </c>
      <c r="C2907" s="13"/>
      <c r="D2907" s="13"/>
      <c r="E2907" s="13"/>
      <c r="F2907" s="13"/>
      <c r="G2907" s="102">
        <v>2.0</v>
      </c>
      <c r="H2907" s="101" t="s">
        <v>2942</v>
      </c>
      <c r="I2907" s="102">
        <v>3.9</v>
      </c>
      <c r="J2907" s="102">
        <v>4.8</v>
      </c>
      <c r="K2907" s="101" t="s">
        <v>2941</v>
      </c>
      <c r="L2907" s="102">
        <v>23.0</v>
      </c>
      <c r="M2907" s="13"/>
    </row>
    <row r="2908">
      <c r="A2908" s="101" t="s">
        <v>5310</v>
      </c>
      <c r="B2908" s="101">
        <v>24202.0</v>
      </c>
      <c r="C2908" s="13"/>
      <c r="D2908" s="13"/>
      <c r="E2908" s="13"/>
      <c r="F2908" s="13"/>
      <c r="G2908" s="102">
        <v>1.0</v>
      </c>
      <c r="H2908" s="101" t="s">
        <v>2940</v>
      </c>
      <c r="I2908" s="102">
        <v>1.95</v>
      </c>
      <c r="J2908" s="102">
        <v>2.4</v>
      </c>
      <c r="K2908" s="101" t="s">
        <v>2941</v>
      </c>
      <c r="L2908" s="102">
        <v>23.0</v>
      </c>
      <c r="M2908" s="13"/>
    </row>
    <row r="2909">
      <c r="A2909" s="101" t="s">
        <v>5310</v>
      </c>
      <c r="B2909" s="101">
        <v>24202.0</v>
      </c>
      <c r="C2909" s="13"/>
      <c r="D2909" s="13"/>
      <c r="E2909" s="13"/>
      <c r="F2909" s="13"/>
      <c r="G2909" s="102">
        <v>2.0</v>
      </c>
      <c r="H2909" s="101" t="s">
        <v>2942</v>
      </c>
      <c r="I2909" s="102">
        <v>1.6</v>
      </c>
      <c r="J2909" s="102">
        <v>1.97</v>
      </c>
      <c r="K2909" s="101" t="s">
        <v>2941</v>
      </c>
      <c r="L2909" s="102">
        <v>23.0</v>
      </c>
      <c r="M2909" s="13"/>
    </row>
    <row r="2910">
      <c r="A2910" s="101" t="s">
        <v>5311</v>
      </c>
      <c r="B2910" s="101">
        <v>24327.0</v>
      </c>
      <c r="C2910" s="13"/>
      <c r="D2910" s="13"/>
      <c r="E2910" s="13"/>
      <c r="F2910" s="13"/>
      <c r="G2910" s="102">
        <v>1.0</v>
      </c>
      <c r="H2910" s="101" t="s">
        <v>2940</v>
      </c>
      <c r="I2910" s="102">
        <v>2.36</v>
      </c>
      <c r="J2910" s="102">
        <v>2.9</v>
      </c>
      <c r="K2910" s="101" t="s">
        <v>2941</v>
      </c>
      <c r="L2910" s="102">
        <v>23.0</v>
      </c>
      <c r="M2910" s="13"/>
    </row>
    <row r="2911">
      <c r="A2911" s="101" t="s">
        <v>5311</v>
      </c>
      <c r="B2911" s="101">
        <v>24327.0</v>
      </c>
      <c r="C2911" s="13"/>
      <c r="D2911" s="13"/>
      <c r="E2911" s="13"/>
      <c r="F2911" s="13"/>
      <c r="G2911" s="102">
        <v>2.0</v>
      </c>
      <c r="H2911" s="101" t="s">
        <v>2942</v>
      </c>
      <c r="I2911" s="102">
        <v>1.9</v>
      </c>
      <c r="J2911" s="102">
        <v>2.34</v>
      </c>
      <c r="K2911" s="101" t="s">
        <v>2941</v>
      </c>
      <c r="L2911" s="102">
        <v>23.0</v>
      </c>
      <c r="M2911" s="13"/>
    </row>
    <row r="2912">
      <c r="A2912" s="101" t="s">
        <v>5312</v>
      </c>
      <c r="B2912" s="101">
        <v>24321.0</v>
      </c>
      <c r="C2912" s="13"/>
      <c r="D2912" s="13"/>
      <c r="E2912" s="13"/>
      <c r="F2912" s="13"/>
      <c r="G2912" s="102">
        <v>1.0</v>
      </c>
      <c r="H2912" s="101" t="s">
        <v>2940</v>
      </c>
      <c r="I2912" s="102">
        <v>2.36</v>
      </c>
      <c r="J2912" s="102">
        <v>2.9</v>
      </c>
      <c r="K2912" s="101" t="s">
        <v>2941</v>
      </c>
      <c r="L2912" s="102">
        <v>23.0</v>
      </c>
      <c r="M2912" s="13"/>
    </row>
    <row r="2913">
      <c r="A2913" s="101" t="s">
        <v>5312</v>
      </c>
      <c r="B2913" s="101">
        <v>24321.0</v>
      </c>
      <c r="C2913" s="13"/>
      <c r="D2913" s="13"/>
      <c r="E2913" s="13"/>
      <c r="F2913" s="13"/>
      <c r="G2913" s="102">
        <v>2.0</v>
      </c>
      <c r="H2913" s="101" t="s">
        <v>2942</v>
      </c>
      <c r="I2913" s="102">
        <v>1.9</v>
      </c>
      <c r="J2913" s="102">
        <v>2.34</v>
      </c>
      <c r="K2913" s="101" t="s">
        <v>2941</v>
      </c>
      <c r="L2913" s="102">
        <v>23.0</v>
      </c>
      <c r="M2913" s="13"/>
    </row>
    <row r="2914">
      <c r="A2914" s="101" t="s">
        <v>5313</v>
      </c>
      <c r="B2914" s="101">
        <v>24307.0</v>
      </c>
      <c r="C2914" s="13"/>
      <c r="D2914" s="13"/>
      <c r="E2914" s="13"/>
      <c r="F2914" s="13"/>
      <c r="G2914" s="102">
        <v>1.0</v>
      </c>
      <c r="H2914" s="101" t="s">
        <v>2940</v>
      </c>
      <c r="I2914" s="102">
        <v>2.6</v>
      </c>
      <c r="J2914" s="102">
        <v>3.2</v>
      </c>
      <c r="K2914" s="101" t="s">
        <v>2941</v>
      </c>
      <c r="L2914" s="102">
        <v>23.0</v>
      </c>
      <c r="M2914" s="13"/>
    </row>
    <row r="2915">
      <c r="A2915" s="101" t="s">
        <v>5313</v>
      </c>
      <c r="B2915" s="101">
        <v>24307.0</v>
      </c>
      <c r="C2915" s="13"/>
      <c r="D2915" s="13"/>
      <c r="E2915" s="13"/>
      <c r="F2915" s="13"/>
      <c r="G2915" s="102">
        <v>2.0</v>
      </c>
      <c r="H2915" s="101" t="s">
        <v>2942</v>
      </c>
      <c r="I2915" s="102">
        <v>2.1</v>
      </c>
      <c r="J2915" s="102">
        <v>2.58</v>
      </c>
      <c r="K2915" s="101" t="s">
        <v>2941</v>
      </c>
      <c r="L2915" s="102">
        <v>23.0</v>
      </c>
      <c r="M2915" s="13"/>
    </row>
    <row r="2916">
      <c r="A2916" s="101" t="s">
        <v>5314</v>
      </c>
      <c r="B2916" s="101">
        <v>1592.0</v>
      </c>
      <c r="C2916" s="13"/>
      <c r="D2916" s="13"/>
      <c r="E2916" s="13"/>
      <c r="F2916" s="13"/>
      <c r="G2916" s="102">
        <v>1.0</v>
      </c>
      <c r="H2916" s="101" t="s">
        <v>2940</v>
      </c>
      <c r="I2916" s="102">
        <v>3.33</v>
      </c>
      <c r="J2916" s="102">
        <v>4.1</v>
      </c>
      <c r="K2916" s="101" t="s">
        <v>2941</v>
      </c>
      <c r="L2916" s="102">
        <v>23.0</v>
      </c>
      <c r="M2916" s="13"/>
    </row>
    <row r="2917">
      <c r="A2917" s="101" t="s">
        <v>5314</v>
      </c>
      <c r="B2917" s="101">
        <v>1592.0</v>
      </c>
      <c r="C2917" s="13"/>
      <c r="D2917" s="13"/>
      <c r="E2917" s="13"/>
      <c r="F2917" s="13"/>
      <c r="G2917" s="102">
        <v>2.0</v>
      </c>
      <c r="H2917" s="101" t="s">
        <v>2942</v>
      </c>
      <c r="I2917" s="102">
        <v>3.3</v>
      </c>
      <c r="J2917" s="102">
        <v>4.06</v>
      </c>
      <c r="K2917" s="101" t="s">
        <v>2941</v>
      </c>
      <c r="L2917" s="102">
        <v>23.0</v>
      </c>
      <c r="M2917" s="13"/>
    </row>
    <row r="2918">
      <c r="A2918" s="101" t="s">
        <v>5315</v>
      </c>
      <c r="B2918" s="101">
        <v>24128.0</v>
      </c>
      <c r="C2918" s="13"/>
      <c r="D2918" s="13"/>
      <c r="E2918" s="13"/>
      <c r="F2918" s="13"/>
      <c r="G2918" s="102">
        <v>1.0</v>
      </c>
      <c r="H2918" s="101" t="s">
        <v>2940</v>
      </c>
      <c r="I2918" s="102">
        <v>3.33</v>
      </c>
      <c r="J2918" s="102">
        <v>4.1</v>
      </c>
      <c r="K2918" s="101" t="s">
        <v>2941</v>
      </c>
      <c r="L2918" s="102">
        <v>23.0</v>
      </c>
      <c r="M2918" s="13"/>
    </row>
    <row r="2919">
      <c r="A2919" s="101" t="s">
        <v>5315</v>
      </c>
      <c r="B2919" s="101">
        <v>24128.0</v>
      </c>
      <c r="C2919" s="13"/>
      <c r="D2919" s="13"/>
      <c r="E2919" s="13"/>
      <c r="F2919" s="13"/>
      <c r="G2919" s="102">
        <v>2.0</v>
      </c>
      <c r="H2919" s="101" t="s">
        <v>2942</v>
      </c>
      <c r="I2919" s="102">
        <v>2.7</v>
      </c>
      <c r="J2919" s="102">
        <v>3.32</v>
      </c>
      <c r="K2919" s="101" t="s">
        <v>2941</v>
      </c>
      <c r="L2919" s="102">
        <v>23.0</v>
      </c>
      <c r="M2919" s="13"/>
    </row>
    <row r="2920">
      <c r="A2920" s="101" t="s">
        <v>5316</v>
      </c>
      <c r="B2920" s="101">
        <v>24021.0</v>
      </c>
      <c r="C2920" s="13"/>
      <c r="D2920" s="13"/>
      <c r="E2920" s="13"/>
      <c r="F2920" s="13"/>
      <c r="G2920" s="102">
        <v>1.0</v>
      </c>
      <c r="H2920" s="101" t="s">
        <v>2940</v>
      </c>
      <c r="I2920" s="102">
        <v>3.41</v>
      </c>
      <c r="J2920" s="102">
        <v>4.19</v>
      </c>
      <c r="K2920" s="101" t="s">
        <v>2941</v>
      </c>
      <c r="L2920" s="102">
        <v>23.0</v>
      </c>
      <c r="M2920" s="13"/>
    </row>
    <row r="2921">
      <c r="A2921" s="101" t="s">
        <v>5316</v>
      </c>
      <c r="B2921" s="101">
        <v>24021.0</v>
      </c>
      <c r="C2921" s="13"/>
      <c r="D2921" s="13"/>
      <c r="E2921" s="13"/>
      <c r="F2921" s="13"/>
      <c r="G2921" s="102">
        <v>2.0</v>
      </c>
      <c r="H2921" s="101" t="s">
        <v>2942</v>
      </c>
      <c r="I2921" s="102">
        <v>2.7</v>
      </c>
      <c r="J2921" s="102">
        <v>3.32</v>
      </c>
      <c r="K2921" s="101" t="s">
        <v>2941</v>
      </c>
      <c r="L2921" s="102">
        <v>23.0</v>
      </c>
      <c r="M2921" s="13"/>
    </row>
    <row r="2922">
      <c r="A2922" s="101" t="s">
        <v>5317</v>
      </c>
      <c r="B2922" s="101">
        <v>24137.0</v>
      </c>
      <c r="C2922" s="13"/>
      <c r="D2922" s="13"/>
      <c r="E2922" s="13"/>
      <c r="F2922" s="13"/>
      <c r="G2922" s="102">
        <v>1.0</v>
      </c>
      <c r="H2922" s="101" t="s">
        <v>2940</v>
      </c>
      <c r="I2922" s="102">
        <v>4.07</v>
      </c>
      <c r="J2922" s="102">
        <v>5.01</v>
      </c>
      <c r="K2922" s="101" t="s">
        <v>2941</v>
      </c>
      <c r="L2922" s="102">
        <v>23.0</v>
      </c>
      <c r="M2922" s="13"/>
    </row>
    <row r="2923">
      <c r="A2923" s="101" t="s">
        <v>5317</v>
      </c>
      <c r="B2923" s="101">
        <v>24137.0</v>
      </c>
      <c r="C2923" s="13"/>
      <c r="D2923" s="13"/>
      <c r="E2923" s="13"/>
      <c r="F2923" s="13"/>
      <c r="G2923" s="102">
        <v>2.0</v>
      </c>
      <c r="H2923" s="101" t="s">
        <v>2942</v>
      </c>
      <c r="I2923" s="102">
        <v>3.3</v>
      </c>
      <c r="J2923" s="102">
        <v>4.06</v>
      </c>
      <c r="K2923" s="101" t="s">
        <v>2941</v>
      </c>
      <c r="L2923" s="102">
        <v>23.0</v>
      </c>
      <c r="M2923" s="13"/>
    </row>
    <row r="2924">
      <c r="A2924" s="101" t="s">
        <v>5318</v>
      </c>
      <c r="B2924" s="101">
        <v>24193.0</v>
      </c>
      <c r="C2924" s="13"/>
      <c r="D2924" s="13"/>
      <c r="E2924" s="13"/>
      <c r="F2924" s="13"/>
      <c r="G2924" s="102">
        <v>1.0</v>
      </c>
      <c r="H2924" s="101" t="s">
        <v>2940</v>
      </c>
      <c r="I2924" s="102">
        <v>12.28</v>
      </c>
      <c r="J2924" s="102">
        <v>15.1</v>
      </c>
      <c r="K2924" s="101" t="s">
        <v>2941</v>
      </c>
      <c r="L2924" s="102">
        <v>23.0</v>
      </c>
      <c r="M2924" s="13"/>
    </row>
    <row r="2925">
      <c r="A2925" s="101" t="s">
        <v>5318</v>
      </c>
      <c r="B2925" s="101">
        <v>24193.0</v>
      </c>
      <c r="C2925" s="13"/>
      <c r="D2925" s="13"/>
      <c r="E2925" s="13"/>
      <c r="F2925" s="13"/>
      <c r="G2925" s="102">
        <v>2.0</v>
      </c>
      <c r="H2925" s="101" t="s">
        <v>2942</v>
      </c>
      <c r="I2925" s="102">
        <v>9.8</v>
      </c>
      <c r="J2925" s="102">
        <v>12.05</v>
      </c>
      <c r="K2925" s="101" t="s">
        <v>2941</v>
      </c>
      <c r="L2925" s="102">
        <v>23.0</v>
      </c>
      <c r="M2925" s="13"/>
    </row>
    <row r="2926">
      <c r="A2926" s="101" t="s">
        <v>5319</v>
      </c>
      <c r="B2926" s="101">
        <v>24196.0</v>
      </c>
      <c r="C2926" s="13"/>
      <c r="D2926" s="13"/>
      <c r="E2926" s="13"/>
      <c r="F2926" s="13"/>
      <c r="G2926" s="102">
        <v>1.0</v>
      </c>
      <c r="H2926" s="101" t="s">
        <v>2940</v>
      </c>
      <c r="I2926" s="102">
        <v>12.28</v>
      </c>
      <c r="J2926" s="102">
        <v>15.1</v>
      </c>
      <c r="K2926" s="101" t="s">
        <v>2941</v>
      </c>
      <c r="L2926" s="102">
        <v>23.0</v>
      </c>
      <c r="M2926" s="13"/>
    </row>
    <row r="2927">
      <c r="A2927" s="101" t="s">
        <v>5319</v>
      </c>
      <c r="B2927" s="101">
        <v>24196.0</v>
      </c>
      <c r="C2927" s="13"/>
      <c r="D2927" s="13"/>
      <c r="E2927" s="13"/>
      <c r="F2927" s="13"/>
      <c r="G2927" s="102">
        <v>2.0</v>
      </c>
      <c r="H2927" s="101" t="s">
        <v>2942</v>
      </c>
      <c r="I2927" s="102">
        <v>9.8</v>
      </c>
      <c r="J2927" s="102">
        <v>12.05</v>
      </c>
      <c r="K2927" s="101" t="s">
        <v>2941</v>
      </c>
      <c r="L2927" s="102">
        <v>23.0</v>
      </c>
      <c r="M2927" s="13"/>
    </row>
    <row r="2928">
      <c r="A2928" s="101" t="s">
        <v>5320</v>
      </c>
      <c r="B2928" s="101">
        <v>340.0</v>
      </c>
      <c r="C2928" s="13"/>
      <c r="D2928" s="13"/>
      <c r="E2928" s="13"/>
      <c r="F2928" s="13"/>
      <c r="G2928" s="102">
        <v>1.0</v>
      </c>
      <c r="H2928" s="101" t="s">
        <v>2940</v>
      </c>
      <c r="I2928" s="102">
        <v>5.12</v>
      </c>
      <c r="J2928" s="102">
        <v>6.3</v>
      </c>
      <c r="K2928" s="101" t="s">
        <v>2941</v>
      </c>
      <c r="L2928" s="102">
        <v>23.0</v>
      </c>
      <c r="M2928" s="13"/>
    </row>
    <row r="2929">
      <c r="A2929" s="101" t="s">
        <v>5320</v>
      </c>
      <c r="B2929" s="101">
        <v>340.0</v>
      </c>
      <c r="C2929" s="13"/>
      <c r="D2929" s="13"/>
      <c r="E2929" s="13"/>
      <c r="F2929" s="13"/>
      <c r="G2929" s="102">
        <v>2.0</v>
      </c>
      <c r="H2929" s="101" t="s">
        <v>2942</v>
      </c>
      <c r="I2929" s="102">
        <v>5.1</v>
      </c>
      <c r="J2929" s="102">
        <v>6.27</v>
      </c>
      <c r="K2929" s="101" t="s">
        <v>2941</v>
      </c>
      <c r="L2929" s="102">
        <v>23.0</v>
      </c>
      <c r="M2929" s="13"/>
    </row>
    <row r="2930">
      <c r="A2930" s="101" t="s">
        <v>5321</v>
      </c>
      <c r="B2930" s="101" t="s">
        <v>5322</v>
      </c>
      <c r="D2930" s="13"/>
      <c r="E2930" s="13"/>
      <c r="F2930" s="13"/>
      <c r="G2930" s="102">
        <v>1.0</v>
      </c>
      <c r="H2930" s="101" t="s">
        <v>2940</v>
      </c>
      <c r="I2930" s="102">
        <v>6.99</v>
      </c>
      <c r="J2930" s="102">
        <v>8.6</v>
      </c>
      <c r="K2930" s="101" t="s">
        <v>2941</v>
      </c>
      <c r="L2930" s="102">
        <v>23.0</v>
      </c>
      <c r="M2930" s="13"/>
    </row>
    <row r="2931">
      <c r="A2931" s="101" t="s">
        <v>5321</v>
      </c>
      <c r="B2931" s="101" t="s">
        <v>5322</v>
      </c>
      <c r="D2931" s="13"/>
      <c r="E2931" s="13"/>
      <c r="F2931" s="13"/>
      <c r="G2931" s="102">
        <v>2.0</v>
      </c>
      <c r="H2931" s="101" t="s">
        <v>2942</v>
      </c>
      <c r="I2931" s="102">
        <v>5.6</v>
      </c>
      <c r="J2931" s="102">
        <v>6.89</v>
      </c>
      <c r="K2931" s="101" t="s">
        <v>2941</v>
      </c>
      <c r="L2931" s="102">
        <v>23.0</v>
      </c>
      <c r="M2931" s="13"/>
    </row>
    <row r="2932">
      <c r="A2932" s="101" t="s">
        <v>5323</v>
      </c>
      <c r="B2932" s="101">
        <v>1425.0</v>
      </c>
      <c r="C2932" s="13"/>
      <c r="D2932" s="13"/>
      <c r="E2932" s="13"/>
      <c r="F2932" s="13"/>
      <c r="G2932" s="102">
        <v>1.0</v>
      </c>
      <c r="H2932" s="101" t="s">
        <v>2940</v>
      </c>
      <c r="I2932" s="102">
        <v>5.28</v>
      </c>
      <c r="J2932" s="102">
        <v>6.49</v>
      </c>
      <c r="K2932" s="101" t="s">
        <v>2941</v>
      </c>
      <c r="L2932" s="102">
        <v>23.0</v>
      </c>
      <c r="M2932" s="13"/>
    </row>
    <row r="2933">
      <c r="A2933" s="101" t="s">
        <v>5323</v>
      </c>
      <c r="B2933" s="101">
        <v>1425.0</v>
      </c>
      <c r="C2933" s="13"/>
      <c r="D2933" s="13"/>
      <c r="E2933" s="13"/>
      <c r="F2933" s="13"/>
      <c r="G2933" s="102">
        <v>2.0</v>
      </c>
      <c r="H2933" s="101" t="s">
        <v>2942</v>
      </c>
      <c r="I2933" s="102">
        <v>5.3</v>
      </c>
      <c r="J2933" s="102">
        <v>6.52</v>
      </c>
      <c r="K2933" s="101" t="s">
        <v>2941</v>
      </c>
      <c r="L2933" s="102">
        <v>23.0</v>
      </c>
      <c r="M2933" s="13"/>
    </row>
    <row r="2934">
      <c r="A2934" s="101" t="s">
        <v>5324</v>
      </c>
      <c r="B2934" s="101">
        <v>310.0</v>
      </c>
      <c r="C2934" s="13"/>
      <c r="D2934" s="13"/>
      <c r="E2934" s="13"/>
      <c r="F2934" s="13"/>
      <c r="G2934" s="102">
        <v>1.0</v>
      </c>
      <c r="H2934" s="101" t="s">
        <v>2940</v>
      </c>
      <c r="I2934" s="102">
        <v>2.44</v>
      </c>
      <c r="J2934" s="102">
        <v>3.0</v>
      </c>
      <c r="K2934" s="101" t="s">
        <v>2941</v>
      </c>
      <c r="L2934" s="102">
        <v>23.0</v>
      </c>
      <c r="M2934" s="13"/>
    </row>
    <row r="2935">
      <c r="A2935" s="101" t="s">
        <v>5324</v>
      </c>
      <c r="B2935" s="101">
        <v>310.0</v>
      </c>
      <c r="C2935" s="13"/>
      <c r="D2935" s="13"/>
      <c r="E2935" s="13"/>
      <c r="F2935" s="13"/>
      <c r="G2935" s="102">
        <v>2.0</v>
      </c>
      <c r="H2935" s="101" t="s">
        <v>2942</v>
      </c>
      <c r="I2935" s="102">
        <v>2.0</v>
      </c>
      <c r="J2935" s="102">
        <v>2.46</v>
      </c>
      <c r="K2935" s="101" t="s">
        <v>2941</v>
      </c>
      <c r="L2935" s="102">
        <v>23.0</v>
      </c>
      <c r="M2935" s="13"/>
    </row>
    <row r="2936">
      <c r="A2936" s="101" t="s">
        <v>5325</v>
      </c>
      <c r="B2936" s="101">
        <v>313.0</v>
      </c>
      <c r="C2936" s="13"/>
      <c r="D2936" s="13"/>
      <c r="E2936" s="13"/>
      <c r="F2936" s="13"/>
      <c r="G2936" s="102">
        <v>1.0</v>
      </c>
      <c r="H2936" s="101" t="s">
        <v>2940</v>
      </c>
      <c r="I2936" s="102">
        <v>2.44</v>
      </c>
      <c r="J2936" s="102">
        <v>3.0</v>
      </c>
      <c r="K2936" s="101" t="s">
        <v>2941</v>
      </c>
      <c r="L2936" s="102">
        <v>23.0</v>
      </c>
      <c r="M2936" s="13"/>
    </row>
    <row r="2937">
      <c r="A2937" s="101" t="s">
        <v>5325</v>
      </c>
      <c r="B2937" s="101">
        <v>313.0</v>
      </c>
      <c r="C2937" s="13"/>
      <c r="D2937" s="13"/>
      <c r="E2937" s="13"/>
      <c r="F2937" s="13"/>
      <c r="G2937" s="102">
        <v>2.0</v>
      </c>
      <c r="H2937" s="101" t="s">
        <v>2942</v>
      </c>
      <c r="I2937" s="102">
        <v>2.0</v>
      </c>
      <c r="J2937" s="102">
        <v>2.46</v>
      </c>
      <c r="K2937" s="101" t="s">
        <v>2941</v>
      </c>
      <c r="L2937" s="102">
        <v>23.0</v>
      </c>
      <c r="M2937" s="13"/>
    </row>
    <row r="2938">
      <c r="A2938" s="101" t="s">
        <v>5326</v>
      </c>
      <c r="B2938" s="101">
        <v>24107.0</v>
      </c>
      <c r="C2938" s="13"/>
      <c r="D2938" s="13"/>
      <c r="E2938" s="13"/>
      <c r="F2938" s="13"/>
      <c r="G2938" s="102">
        <v>1.0</v>
      </c>
      <c r="H2938" s="101" t="s">
        <v>2940</v>
      </c>
      <c r="I2938" s="102">
        <v>11.3</v>
      </c>
      <c r="J2938" s="102">
        <v>13.9</v>
      </c>
      <c r="K2938" s="101" t="s">
        <v>2941</v>
      </c>
      <c r="L2938" s="102">
        <v>23.0</v>
      </c>
      <c r="M2938" s="13"/>
    </row>
    <row r="2939">
      <c r="A2939" s="101" t="s">
        <v>5326</v>
      </c>
      <c r="B2939" s="101">
        <v>24107.0</v>
      </c>
      <c r="C2939" s="13"/>
      <c r="D2939" s="13"/>
      <c r="E2939" s="13"/>
      <c r="F2939" s="13"/>
      <c r="G2939" s="102">
        <v>2.0</v>
      </c>
      <c r="H2939" s="101" t="s">
        <v>2942</v>
      </c>
      <c r="I2939" s="102">
        <v>9.0</v>
      </c>
      <c r="J2939" s="102">
        <v>11.07</v>
      </c>
      <c r="K2939" s="101" t="s">
        <v>2941</v>
      </c>
      <c r="L2939" s="102">
        <v>23.0</v>
      </c>
      <c r="M2939" s="13"/>
    </row>
    <row r="2940">
      <c r="A2940" s="101" t="s">
        <v>5327</v>
      </c>
      <c r="B2940" s="101">
        <v>24108.0</v>
      </c>
      <c r="C2940" s="13"/>
      <c r="D2940" s="13"/>
      <c r="E2940" s="13"/>
      <c r="F2940" s="13"/>
      <c r="G2940" s="102">
        <v>1.0</v>
      </c>
      <c r="H2940" s="101" t="s">
        <v>2940</v>
      </c>
      <c r="I2940" s="102">
        <v>14.07</v>
      </c>
      <c r="J2940" s="102">
        <v>17.31</v>
      </c>
      <c r="K2940" s="101" t="s">
        <v>2941</v>
      </c>
      <c r="L2940" s="102">
        <v>23.0</v>
      </c>
      <c r="M2940" s="13"/>
    </row>
    <row r="2941">
      <c r="A2941" s="101" t="s">
        <v>5327</v>
      </c>
      <c r="B2941" s="101">
        <v>24108.0</v>
      </c>
      <c r="C2941" s="13"/>
      <c r="D2941" s="13"/>
      <c r="E2941" s="13"/>
      <c r="F2941" s="13"/>
      <c r="G2941" s="102">
        <v>2.0</v>
      </c>
      <c r="H2941" s="101" t="s">
        <v>2942</v>
      </c>
      <c r="I2941" s="102">
        <v>11.3</v>
      </c>
      <c r="J2941" s="102">
        <v>13.9</v>
      </c>
      <c r="K2941" s="101" t="s">
        <v>2941</v>
      </c>
      <c r="L2941" s="102">
        <v>23.0</v>
      </c>
      <c r="M2941" s="13"/>
    </row>
    <row r="2942">
      <c r="A2942" s="101" t="s">
        <v>5328</v>
      </c>
      <c r="B2942" s="101">
        <v>24109.0</v>
      </c>
      <c r="C2942" s="13"/>
      <c r="D2942" s="13"/>
      <c r="E2942" s="13"/>
      <c r="F2942" s="13"/>
      <c r="G2942" s="102">
        <v>1.0</v>
      </c>
      <c r="H2942" s="101" t="s">
        <v>2940</v>
      </c>
      <c r="I2942" s="102">
        <v>11.14</v>
      </c>
      <c r="J2942" s="102">
        <v>13.7</v>
      </c>
      <c r="K2942" s="101" t="s">
        <v>2941</v>
      </c>
      <c r="L2942" s="102">
        <v>23.0</v>
      </c>
      <c r="M2942" s="13"/>
    </row>
    <row r="2943">
      <c r="A2943" s="101" t="s">
        <v>5328</v>
      </c>
      <c r="B2943" s="101">
        <v>24109.0</v>
      </c>
      <c r="C2943" s="13"/>
      <c r="D2943" s="13"/>
      <c r="E2943" s="13"/>
      <c r="F2943" s="13"/>
      <c r="G2943" s="102">
        <v>2.0</v>
      </c>
      <c r="H2943" s="101" t="s">
        <v>2942</v>
      </c>
      <c r="I2943" s="102">
        <v>8.9</v>
      </c>
      <c r="J2943" s="102">
        <v>10.95</v>
      </c>
      <c r="K2943" s="101" t="s">
        <v>2941</v>
      </c>
      <c r="L2943" s="102">
        <v>23.0</v>
      </c>
      <c r="M2943" s="13"/>
    </row>
    <row r="2944">
      <c r="A2944" s="101" t="s">
        <v>5329</v>
      </c>
      <c r="B2944" s="101">
        <v>24110.0</v>
      </c>
      <c r="C2944" s="13"/>
      <c r="D2944" s="13"/>
      <c r="E2944" s="13"/>
      <c r="F2944" s="13"/>
      <c r="G2944" s="102">
        <v>1.0</v>
      </c>
      <c r="H2944" s="101" t="s">
        <v>2940</v>
      </c>
      <c r="I2944" s="102">
        <v>14.23</v>
      </c>
      <c r="J2944" s="102">
        <v>17.5</v>
      </c>
      <c r="K2944" s="101" t="s">
        <v>2941</v>
      </c>
      <c r="L2944" s="102">
        <v>23.0</v>
      </c>
      <c r="M2944" s="13"/>
    </row>
    <row r="2945">
      <c r="A2945" s="101" t="s">
        <v>5329</v>
      </c>
      <c r="B2945" s="101">
        <v>24110.0</v>
      </c>
      <c r="C2945" s="13"/>
      <c r="D2945" s="13"/>
      <c r="E2945" s="13"/>
      <c r="F2945" s="13"/>
      <c r="G2945" s="102">
        <v>2.0</v>
      </c>
      <c r="H2945" s="101" t="s">
        <v>2942</v>
      </c>
      <c r="I2945" s="102">
        <v>11.4</v>
      </c>
      <c r="J2945" s="102">
        <v>14.02</v>
      </c>
      <c r="K2945" s="101" t="s">
        <v>2941</v>
      </c>
      <c r="L2945" s="102">
        <v>23.0</v>
      </c>
      <c r="M2945" s="13"/>
    </row>
    <row r="2946">
      <c r="A2946" s="101" t="s">
        <v>5330</v>
      </c>
      <c r="B2946" s="101">
        <v>24106.0</v>
      </c>
      <c r="C2946" s="13"/>
      <c r="D2946" s="13"/>
      <c r="E2946" s="13"/>
      <c r="F2946" s="13"/>
      <c r="G2946" s="102">
        <v>1.0</v>
      </c>
      <c r="H2946" s="101" t="s">
        <v>2940</v>
      </c>
      <c r="I2946" s="102">
        <v>15.69</v>
      </c>
      <c r="J2946" s="102">
        <v>19.3</v>
      </c>
      <c r="K2946" s="101" t="s">
        <v>2941</v>
      </c>
      <c r="L2946" s="102">
        <v>23.0</v>
      </c>
      <c r="M2946" s="13"/>
    </row>
    <row r="2947">
      <c r="A2947" s="101" t="s">
        <v>5330</v>
      </c>
      <c r="B2947" s="101">
        <v>24106.0</v>
      </c>
      <c r="C2947" s="13"/>
      <c r="D2947" s="13"/>
      <c r="E2947" s="13"/>
      <c r="F2947" s="13"/>
      <c r="G2947" s="102">
        <v>2.0</v>
      </c>
      <c r="H2947" s="101" t="s">
        <v>2942</v>
      </c>
      <c r="I2947" s="102">
        <v>12.6</v>
      </c>
      <c r="J2947" s="102">
        <v>15.5</v>
      </c>
      <c r="K2947" s="101" t="s">
        <v>2941</v>
      </c>
      <c r="L2947" s="102">
        <v>23.0</v>
      </c>
      <c r="M2947" s="13"/>
    </row>
    <row r="2948">
      <c r="A2948" s="101" t="s">
        <v>5331</v>
      </c>
      <c r="B2948" s="101">
        <v>24236.0</v>
      </c>
      <c r="C2948" s="13"/>
      <c r="D2948" s="13"/>
      <c r="E2948" s="13"/>
      <c r="F2948" s="13"/>
      <c r="G2948" s="102">
        <v>1.0</v>
      </c>
      <c r="H2948" s="101" t="s">
        <v>2940</v>
      </c>
      <c r="I2948" s="102">
        <v>2.44</v>
      </c>
      <c r="J2948" s="102">
        <v>3.0</v>
      </c>
      <c r="K2948" s="101" t="s">
        <v>2941</v>
      </c>
      <c r="L2948" s="102">
        <v>23.0</v>
      </c>
      <c r="M2948" s="13"/>
    </row>
    <row r="2949">
      <c r="A2949" s="101" t="s">
        <v>5331</v>
      </c>
      <c r="B2949" s="101">
        <v>24236.0</v>
      </c>
      <c r="C2949" s="13"/>
      <c r="D2949" s="13"/>
      <c r="E2949" s="13"/>
      <c r="F2949" s="13"/>
      <c r="G2949" s="102">
        <v>2.0</v>
      </c>
      <c r="H2949" s="101" t="s">
        <v>2942</v>
      </c>
      <c r="I2949" s="102">
        <v>2.0</v>
      </c>
      <c r="J2949" s="102">
        <v>2.46</v>
      </c>
      <c r="K2949" s="101" t="s">
        <v>2941</v>
      </c>
      <c r="L2949" s="102">
        <v>23.0</v>
      </c>
      <c r="M2949" s="13"/>
    </row>
    <row r="2950">
      <c r="A2950" s="101" t="s">
        <v>5332</v>
      </c>
      <c r="B2950" s="101" t="s">
        <v>5333</v>
      </c>
      <c r="D2950" s="13"/>
      <c r="E2950" s="13"/>
      <c r="F2950" s="13"/>
      <c r="G2950" s="102">
        <v>1.0</v>
      </c>
      <c r="H2950" s="101" t="s">
        <v>2940</v>
      </c>
      <c r="I2950" s="102">
        <v>2.68</v>
      </c>
      <c r="J2950" s="102">
        <v>3.3</v>
      </c>
      <c r="K2950" s="101" t="s">
        <v>2941</v>
      </c>
      <c r="L2950" s="102">
        <v>23.0</v>
      </c>
      <c r="M2950" s="13"/>
    </row>
    <row r="2951">
      <c r="A2951" s="101" t="s">
        <v>5332</v>
      </c>
      <c r="B2951" s="101" t="s">
        <v>5333</v>
      </c>
      <c r="D2951" s="13"/>
      <c r="E2951" s="13"/>
      <c r="F2951" s="13"/>
      <c r="G2951" s="102">
        <v>2.0</v>
      </c>
      <c r="H2951" s="101" t="s">
        <v>2942</v>
      </c>
      <c r="I2951" s="102">
        <v>2.1</v>
      </c>
      <c r="J2951" s="102">
        <v>2.58</v>
      </c>
      <c r="K2951" s="101" t="s">
        <v>2941</v>
      </c>
      <c r="L2951" s="102">
        <v>23.0</v>
      </c>
      <c r="M2951" s="13"/>
    </row>
    <row r="2952">
      <c r="A2952" s="101" t="s">
        <v>5334</v>
      </c>
      <c r="B2952" s="101">
        <v>1995.0</v>
      </c>
      <c r="C2952" s="13"/>
      <c r="D2952" s="13"/>
      <c r="E2952" s="13"/>
      <c r="F2952" s="13"/>
      <c r="G2952" s="102">
        <v>1.0</v>
      </c>
      <c r="H2952" s="101" t="s">
        <v>2940</v>
      </c>
      <c r="I2952" s="102">
        <v>2.68</v>
      </c>
      <c r="J2952" s="102">
        <v>3.3</v>
      </c>
      <c r="K2952" s="101" t="s">
        <v>2941</v>
      </c>
      <c r="L2952" s="102">
        <v>23.0</v>
      </c>
      <c r="M2952" s="13"/>
    </row>
    <row r="2953">
      <c r="A2953" s="101" t="s">
        <v>5334</v>
      </c>
      <c r="B2953" s="101">
        <v>1995.0</v>
      </c>
      <c r="C2953" s="13"/>
      <c r="D2953" s="13"/>
      <c r="E2953" s="13"/>
      <c r="F2953" s="13"/>
      <c r="G2953" s="102">
        <v>2.0</v>
      </c>
      <c r="H2953" s="101" t="s">
        <v>2942</v>
      </c>
      <c r="I2953" s="102">
        <v>2.2</v>
      </c>
      <c r="J2953" s="102">
        <v>2.71</v>
      </c>
      <c r="K2953" s="101" t="s">
        <v>2941</v>
      </c>
      <c r="L2953" s="102">
        <v>23.0</v>
      </c>
      <c r="M2953" s="13"/>
    </row>
    <row r="2954">
      <c r="A2954" s="101" t="s">
        <v>5335</v>
      </c>
      <c r="B2954" s="101">
        <v>24038.0</v>
      </c>
      <c r="C2954" s="13"/>
      <c r="D2954" s="13"/>
      <c r="E2954" s="13"/>
      <c r="F2954" s="13"/>
      <c r="G2954" s="102">
        <v>1.0</v>
      </c>
      <c r="H2954" s="101" t="s">
        <v>2940</v>
      </c>
      <c r="I2954" s="102">
        <v>3.58</v>
      </c>
      <c r="J2954" s="102">
        <v>4.4</v>
      </c>
      <c r="K2954" s="101" t="s">
        <v>2941</v>
      </c>
      <c r="L2954" s="102">
        <v>23.0</v>
      </c>
      <c r="M2954" s="13"/>
    </row>
    <row r="2955">
      <c r="A2955" s="101" t="s">
        <v>5335</v>
      </c>
      <c r="B2955" s="101">
        <v>24038.0</v>
      </c>
      <c r="C2955" s="13"/>
      <c r="D2955" s="13"/>
      <c r="E2955" s="13"/>
      <c r="F2955" s="13"/>
      <c r="G2955" s="102">
        <v>2.0</v>
      </c>
      <c r="H2955" s="101" t="s">
        <v>2942</v>
      </c>
      <c r="I2955" s="102">
        <v>2.9</v>
      </c>
      <c r="J2955" s="102">
        <v>3.57</v>
      </c>
      <c r="K2955" s="101" t="s">
        <v>2941</v>
      </c>
      <c r="L2955" s="102">
        <v>23.0</v>
      </c>
      <c r="M2955" s="13"/>
    </row>
    <row r="2956">
      <c r="A2956" s="101" t="s">
        <v>5336</v>
      </c>
      <c r="B2956" s="101">
        <v>24037.0</v>
      </c>
      <c r="C2956" s="13"/>
      <c r="D2956" s="13"/>
      <c r="E2956" s="13"/>
      <c r="F2956" s="13"/>
      <c r="G2956" s="102">
        <v>1.0</v>
      </c>
      <c r="H2956" s="101" t="s">
        <v>2940</v>
      </c>
      <c r="I2956" s="102">
        <v>3.58</v>
      </c>
      <c r="J2956" s="102">
        <v>4.4</v>
      </c>
      <c r="K2956" s="101" t="s">
        <v>2941</v>
      </c>
      <c r="L2956" s="102">
        <v>23.0</v>
      </c>
      <c r="M2956" s="13"/>
    </row>
    <row r="2957">
      <c r="A2957" s="101" t="s">
        <v>5336</v>
      </c>
      <c r="B2957" s="101">
        <v>24037.0</v>
      </c>
      <c r="C2957" s="13"/>
      <c r="D2957" s="13"/>
      <c r="E2957" s="13"/>
      <c r="F2957" s="13"/>
      <c r="G2957" s="102">
        <v>2.0</v>
      </c>
      <c r="H2957" s="101" t="s">
        <v>2942</v>
      </c>
      <c r="I2957" s="102">
        <v>2.9</v>
      </c>
      <c r="J2957" s="102">
        <v>3.57</v>
      </c>
      <c r="K2957" s="101" t="s">
        <v>2941</v>
      </c>
      <c r="L2957" s="102">
        <v>23.0</v>
      </c>
      <c r="M2957" s="13"/>
    </row>
    <row r="2958">
      <c r="A2958" s="101" t="s">
        <v>5337</v>
      </c>
      <c r="B2958" s="101">
        <v>850.0</v>
      </c>
      <c r="C2958" s="13"/>
      <c r="D2958" s="13"/>
      <c r="E2958" s="13"/>
      <c r="F2958" s="13"/>
      <c r="G2958" s="102">
        <v>1.0</v>
      </c>
      <c r="H2958" s="101" t="s">
        <v>2940</v>
      </c>
      <c r="I2958" s="102">
        <v>58.37</v>
      </c>
      <c r="J2958" s="102">
        <v>71.8</v>
      </c>
      <c r="K2958" s="101" t="s">
        <v>2941</v>
      </c>
      <c r="L2958" s="102">
        <v>23.0</v>
      </c>
      <c r="M2958" s="13"/>
    </row>
    <row r="2959">
      <c r="A2959" s="101" t="s">
        <v>5337</v>
      </c>
      <c r="B2959" s="101">
        <v>850.0</v>
      </c>
      <c r="C2959" s="13"/>
      <c r="D2959" s="13"/>
      <c r="E2959" s="13"/>
      <c r="F2959" s="13"/>
      <c r="G2959" s="102">
        <v>2.0</v>
      </c>
      <c r="H2959" s="101" t="s">
        <v>2942</v>
      </c>
      <c r="I2959" s="102">
        <v>58.4</v>
      </c>
      <c r="J2959" s="102">
        <v>71.83</v>
      </c>
      <c r="K2959" s="101" t="s">
        <v>2941</v>
      </c>
      <c r="L2959" s="102">
        <v>23.0</v>
      </c>
      <c r="M2959" s="13"/>
    </row>
    <row r="2960">
      <c r="A2960" s="101" t="s">
        <v>5338</v>
      </c>
      <c r="B2960" s="101">
        <v>24025.0</v>
      </c>
      <c r="C2960" s="13"/>
      <c r="D2960" s="13"/>
      <c r="E2960" s="13"/>
      <c r="F2960" s="13"/>
      <c r="G2960" s="102">
        <v>1.0</v>
      </c>
      <c r="H2960" s="101" t="s">
        <v>2940</v>
      </c>
      <c r="I2960" s="102">
        <v>15.53</v>
      </c>
      <c r="J2960" s="102">
        <v>19.1</v>
      </c>
      <c r="K2960" s="101" t="s">
        <v>2941</v>
      </c>
      <c r="L2960" s="102">
        <v>23.0</v>
      </c>
      <c r="M2960" s="13"/>
    </row>
    <row r="2961">
      <c r="A2961" s="101" t="s">
        <v>5338</v>
      </c>
      <c r="B2961" s="101">
        <v>24025.0</v>
      </c>
      <c r="C2961" s="13"/>
      <c r="D2961" s="13"/>
      <c r="E2961" s="13"/>
      <c r="F2961" s="13"/>
      <c r="G2961" s="102">
        <v>2.0</v>
      </c>
      <c r="H2961" s="101" t="s">
        <v>2942</v>
      </c>
      <c r="I2961" s="102">
        <v>15.5</v>
      </c>
      <c r="J2961" s="102">
        <v>19.07</v>
      </c>
      <c r="K2961" s="101" t="s">
        <v>2941</v>
      </c>
      <c r="L2961" s="102">
        <v>23.0</v>
      </c>
      <c r="M2961" s="13"/>
    </row>
    <row r="2962">
      <c r="A2962" s="101" t="s">
        <v>5339</v>
      </c>
      <c r="B2962" s="101">
        <v>24114.0</v>
      </c>
      <c r="C2962" s="13"/>
      <c r="D2962" s="13"/>
      <c r="E2962" s="13"/>
      <c r="F2962" s="13"/>
      <c r="G2962" s="102">
        <v>1.0</v>
      </c>
      <c r="H2962" s="101" t="s">
        <v>2940</v>
      </c>
      <c r="I2962" s="102">
        <v>7.07</v>
      </c>
      <c r="J2962" s="102">
        <v>8.7</v>
      </c>
      <c r="K2962" s="101" t="s">
        <v>2941</v>
      </c>
      <c r="L2962" s="102">
        <v>23.0</v>
      </c>
      <c r="M2962" s="13"/>
    </row>
    <row r="2963">
      <c r="A2963" s="101" t="s">
        <v>5339</v>
      </c>
      <c r="B2963" s="101">
        <v>304.0</v>
      </c>
      <c r="C2963" s="13"/>
      <c r="D2963" s="13"/>
      <c r="E2963" s="13"/>
      <c r="F2963" s="13"/>
      <c r="G2963" s="102">
        <v>1.0</v>
      </c>
      <c r="H2963" s="101" t="s">
        <v>2940</v>
      </c>
      <c r="I2963" s="102">
        <v>7.07</v>
      </c>
      <c r="J2963" s="102">
        <v>8.7</v>
      </c>
      <c r="K2963" s="101" t="s">
        <v>2941</v>
      </c>
      <c r="L2963" s="102">
        <v>23.0</v>
      </c>
      <c r="M2963" s="13"/>
    </row>
    <row r="2964">
      <c r="A2964" s="101" t="s">
        <v>5339</v>
      </c>
      <c r="B2964" s="101">
        <v>24114.0</v>
      </c>
      <c r="C2964" s="13"/>
      <c r="D2964" s="13"/>
      <c r="E2964" s="13"/>
      <c r="F2964" s="13"/>
      <c r="G2964" s="102">
        <v>2.0</v>
      </c>
      <c r="H2964" s="101" t="s">
        <v>2942</v>
      </c>
      <c r="I2964" s="102">
        <v>5.7</v>
      </c>
      <c r="J2964" s="102">
        <v>7.01</v>
      </c>
      <c r="K2964" s="101" t="s">
        <v>2941</v>
      </c>
      <c r="L2964" s="102">
        <v>23.0</v>
      </c>
      <c r="M2964" s="13"/>
    </row>
    <row r="2965">
      <c r="A2965" s="101" t="s">
        <v>5339</v>
      </c>
      <c r="B2965" s="101">
        <v>304.0</v>
      </c>
      <c r="C2965" s="13"/>
      <c r="D2965" s="13"/>
      <c r="E2965" s="13"/>
      <c r="F2965" s="13"/>
      <c r="G2965" s="102">
        <v>2.0</v>
      </c>
      <c r="H2965" s="101" t="s">
        <v>2942</v>
      </c>
      <c r="I2965" s="102">
        <v>5.7</v>
      </c>
      <c r="J2965" s="102">
        <v>7.01</v>
      </c>
      <c r="K2965" s="101" t="s">
        <v>2941</v>
      </c>
      <c r="L2965" s="102">
        <v>23.0</v>
      </c>
      <c r="M2965" s="13"/>
    </row>
    <row r="2966">
      <c r="A2966" s="101" t="s">
        <v>5340</v>
      </c>
      <c r="B2966" s="101">
        <v>24125.0</v>
      </c>
      <c r="C2966" s="13"/>
      <c r="D2966" s="13"/>
      <c r="E2966" s="13"/>
      <c r="F2966" s="13"/>
      <c r="G2966" s="102">
        <v>1.0</v>
      </c>
      <c r="H2966" s="101" t="s">
        <v>2940</v>
      </c>
      <c r="I2966" s="102">
        <v>7.07</v>
      </c>
      <c r="J2966" s="102">
        <v>8.7</v>
      </c>
      <c r="K2966" s="101" t="s">
        <v>2941</v>
      </c>
      <c r="L2966" s="102">
        <v>23.0</v>
      </c>
      <c r="M2966" s="13"/>
    </row>
    <row r="2967">
      <c r="A2967" s="101" t="s">
        <v>5340</v>
      </c>
      <c r="B2967" s="101">
        <v>24125.0</v>
      </c>
      <c r="C2967" s="13"/>
      <c r="D2967" s="13"/>
      <c r="E2967" s="13"/>
      <c r="F2967" s="13"/>
      <c r="G2967" s="102">
        <v>2.0</v>
      </c>
      <c r="H2967" s="101" t="s">
        <v>2942</v>
      </c>
      <c r="I2967" s="102">
        <v>5.7</v>
      </c>
      <c r="J2967" s="102">
        <v>7.01</v>
      </c>
      <c r="K2967" s="101" t="s">
        <v>2941</v>
      </c>
      <c r="L2967" s="102">
        <v>23.0</v>
      </c>
      <c r="M2967" s="13"/>
    </row>
    <row r="2968">
      <c r="A2968" s="101" t="s">
        <v>5341</v>
      </c>
      <c r="B2968" s="101">
        <v>24113.0</v>
      </c>
      <c r="C2968" s="13"/>
      <c r="D2968" s="13"/>
      <c r="E2968" s="13"/>
      <c r="F2968" s="13"/>
      <c r="G2968" s="102">
        <v>1.0</v>
      </c>
      <c r="H2968" s="101" t="s">
        <v>2940</v>
      </c>
      <c r="I2968" s="102">
        <v>7.07</v>
      </c>
      <c r="J2968" s="102">
        <v>8.7</v>
      </c>
      <c r="K2968" s="101" t="s">
        <v>2941</v>
      </c>
      <c r="L2968" s="102">
        <v>23.0</v>
      </c>
      <c r="M2968" s="13"/>
    </row>
    <row r="2969">
      <c r="A2969" s="101" t="s">
        <v>5341</v>
      </c>
      <c r="B2969" s="101">
        <v>303.0</v>
      </c>
      <c r="C2969" s="13"/>
      <c r="D2969" s="13"/>
      <c r="E2969" s="13"/>
      <c r="F2969" s="13"/>
      <c r="G2969" s="102">
        <v>1.0</v>
      </c>
      <c r="H2969" s="101" t="s">
        <v>2940</v>
      </c>
      <c r="I2969" s="102">
        <v>7.07</v>
      </c>
      <c r="J2969" s="102">
        <v>8.7</v>
      </c>
      <c r="K2969" s="101" t="s">
        <v>2941</v>
      </c>
      <c r="L2969" s="102">
        <v>23.0</v>
      </c>
      <c r="M2969" s="13"/>
    </row>
    <row r="2970">
      <c r="A2970" s="101" t="s">
        <v>5341</v>
      </c>
      <c r="B2970" s="101">
        <v>24113.0</v>
      </c>
      <c r="C2970" s="13"/>
      <c r="D2970" s="13"/>
      <c r="E2970" s="13"/>
      <c r="F2970" s="13"/>
      <c r="G2970" s="102">
        <v>2.0</v>
      </c>
      <c r="H2970" s="101" t="s">
        <v>2942</v>
      </c>
      <c r="I2970" s="102">
        <v>5.7</v>
      </c>
      <c r="J2970" s="102">
        <v>7.01</v>
      </c>
      <c r="K2970" s="101" t="s">
        <v>2941</v>
      </c>
      <c r="L2970" s="102">
        <v>23.0</v>
      </c>
      <c r="M2970" s="13"/>
    </row>
    <row r="2971">
      <c r="A2971" s="101" t="s">
        <v>5341</v>
      </c>
      <c r="B2971" s="101">
        <v>303.0</v>
      </c>
      <c r="C2971" s="13"/>
      <c r="D2971" s="13"/>
      <c r="E2971" s="13"/>
      <c r="F2971" s="13"/>
      <c r="G2971" s="102">
        <v>2.0</v>
      </c>
      <c r="H2971" s="101" t="s">
        <v>2942</v>
      </c>
      <c r="I2971" s="102">
        <v>5.7</v>
      </c>
      <c r="J2971" s="102">
        <v>7.01</v>
      </c>
      <c r="K2971" s="101" t="s">
        <v>2941</v>
      </c>
      <c r="L2971" s="102">
        <v>23.0</v>
      </c>
      <c r="M2971" s="13"/>
    </row>
    <row r="2972">
      <c r="A2972" s="101" t="s">
        <v>5342</v>
      </c>
      <c r="B2972" s="101">
        <v>24126.0</v>
      </c>
      <c r="C2972" s="13"/>
      <c r="D2972" s="13"/>
      <c r="E2972" s="13"/>
      <c r="F2972" s="13"/>
      <c r="G2972" s="102">
        <v>1.0</v>
      </c>
      <c r="H2972" s="101" t="s">
        <v>2940</v>
      </c>
      <c r="I2972" s="102">
        <v>7.07</v>
      </c>
      <c r="J2972" s="102">
        <v>8.7</v>
      </c>
      <c r="K2972" s="101" t="s">
        <v>2941</v>
      </c>
      <c r="L2972" s="102">
        <v>23.0</v>
      </c>
      <c r="M2972" s="13"/>
    </row>
    <row r="2973">
      <c r="A2973" s="101" t="s">
        <v>5342</v>
      </c>
      <c r="B2973" s="101">
        <v>24126.0</v>
      </c>
      <c r="C2973" s="13"/>
      <c r="D2973" s="13"/>
      <c r="E2973" s="13"/>
      <c r="F2973" s="13"/>
      <c r="G2973" s="102">
        <v>2.0</v>
      </c>
      <c r="H2973" s="101" t="s">
        <v>2942</v>
      </c>
      <c r="I2973" s="102">
        <v>5.7</v>
      </c>
      <c r="J2973" s="102">
        <v>7.01</v>
      </c>
      <c r="K2973" s="101" t="s">
        <v>2941</v>
      </c>
      <c r="L2973" s="102">
        <v>23.0</v>
      </c>
      <c r="M2973" s="13"/>
    </row>
    <row r="2974">
      <c r="A2974" s="101" t="s">
        <v>5343</v>
      </c>
      <c r="B2974" s="101">
        <v>24229.0</v>
      </c>
      <c r="C2974" s="13"/>
      <c r="D2974" s="13"/>
      <c r="E2974" s="13"/>
      <c r="F2974" s="13"/>
      <c r="G2974" s="102">
        <v>1.0</v>
      </c>
      <c r="H2974" s="101" t="s">
        <v>2940</v>
      </c>
      <c r="I2974" s="102">
        <v>7.07</v>
      </c>
      <c r="J2974" s="102">
        <v>8.7</v>
      </c>
      <c r="K2974" s="101" t="s">
        <v>2941</v>
      </c>
      <c r="L2974" s="102">
        <v>23.0</v>
      </c>
      <c r="M2974" s="13"/>
    </row>
    <row r="2975">
      <c r="A2975" s="101" t="s">
        <v>5343</v>
      </c>
      <c r="B2975" s="101">
        <v>24229.0</v>
      </c>
      <c r="C2975" s="13"/>
      <c r="D2975" s="13"/>
      <c r="E2975" s="13"/>
      <c r="F2975" s="13"/>
      <c r="G2975" s="102">
        <v>2.0</v>
      </c>
      <c r="H2975" s="101" t="s">
        <v>2942</v>
      </c>
      <c r="I2975" s="102">
        <v>5.7</v>
      </c>
      <c r="J2975" s="102">
        <v>7.01</v>
      </c>
      <c r="K2975" s="101" t="s">
        <v>2941</v>
      </c>
      <c r="L2975" s="102">
        <v>23.0</v>
      </c>
      <c r="M2975" s="13"/>
    </row>
    <row r="2976">
      <c r="A2976" s="101" t="s">
        <v>5344</v>
      </c>
      <c r="B2976" s="101">
        <v>24230.0</v>
      </c>
      <c r="C2976" s="13"/>
      <c r="D2976" s="13"/>
      <c r="E2976" s="13"/>
      <c r="F2976" s="13"/>
      <c r="G2976" s="102">
        <v>1.0</v>
      </c>
      <c r="H2976" s="101" t="s">
        <v>2940</v>
      </c>
      <c r="I2976" s="102">
        <v>7.07</v>
      </c>
      <c r="J2976" s="102">
        <v>8.7</v>
      </c>
      <c r="K2976" s="101" t="s">
        <v>2941</v>
      </c>
      <c r="L2976" s="102">
        <v>23.0</v>
      </c>
      <c r="M2976" s="13"/>
    </row>
    <row r="2977">
      <c r="A2977" s="101" t="s">
        <v>5344</v>
      </c>
      <c r="B2977" s="101">
        <v>24230.0</v>
      </c>
      <c r="C2977" s="13"/>
      <c r="D2977" s="13"/>
      <c r="E2977" s="13"/>
      <c r="F2977" s="13"/>
      <c r="G2977" s="102">
        <v>2.0</v>
      </c>
      <c r="H2977" s="101" t="s">
        <v>2942</v>
      </c>
      <c r="I2977" s="102">
        <v>5.7</v>
      </c>
      <c r="J2977" s="102">
        <v>7.01</v>
      </c>
      <c r="K2977" s="101" t="s">
        <v>2941</v>
      </c>
      <c r="L2977" s="102">
        <v>23.0</v>
      </c>
      <c r="M2977" s="13"/>
    </row>
    <row r="2978">
      <c r="A2978" s="101" t="s">
        <v>5345</v>
      </c>
      <c r="B2978" s="101">
        <v>24065.0</v>
      </c>
      <c r="C2978" s="13"/>
      <c r="D2978" s="13"/>
      <c r="E2978" s="13"/>
      <c r="F2978" s="13"/>
      <c r="G2978" s="102">
        <v>1.0</v>
      </c>
      <c r="H2978" s="101" t="s">
        <v>2940</v>
      </c>
      <c r="I2978" s="102">
        <v>4.47</v>
      </c>
      <c r="J2978" s="102">
        <v>5.5</v>
      </c>
      <c r="K2978" s="101" t="s">
        <v>2941</v>
      </c>
      <c r="L2978" s="102">
        <v>23.0</v>
      </c>
      <c r="M2978" s="13"/>
    </row>
    <row r="2979">
      <c r="A2979" s="101" t="s">
        <v>5345</v>
      </c>
      <c r="B2979" s="101">
        <v>24065.0</v>
      </c>
      <c r="C2979" s="13"/>
      <c r="D2979" s="13"/>
      <c r="E2979" s="13"/>
      <c r="F2979" s="13"/>
      <c r="G2979" s="102">
        <v>2.0</v>
      </c>
      <c r="H2979" s="101" t="s">
        <v>2942</v>
      </c>
      <c r="I2979" s="102">
        <v>3.6</v>
      </c>
      <c r="J2979" s="102">
        <v>4.43</v>
      </c>
      <c r="K2979" s="101" t="s">
        <v>2941</v>
      </c>
      <c r="L2979" s="102">
        <v>23.0</v>
      </c>
      <c r="M2979" s="13"/>
    </row>
    <row r="2980">
      <c r="A2980" s="101" t="s">
        <v>5346</v>
      </c>
      <c r="B2980" s="101">
        <v>85.0</v>
      </c>
      <c r="C2980" s="13"/>
      <c r="D2980" s="13"/>
      <c r="E2980" s="13"/>
      <c r="F2980" s="13"/>
      <c r="G2980" s="102">
        <v>1.0</v>
      </c>
      <c r="H2980" s="101" t="s">
        <v>2940</v>
      </c>
      <c r="I2980" s="102">
        <v>2.44</v>
      </c>
      <c r="J2980" s="102">
        <v>3.0</v>
      </c>
      <c r="K2980" s="101" t="s">
        <v>2941</v>
      </c>
      <c r="L2980" s="102">
        <v>23.0</v>
      </c>
      <c r="M2980" s="13"/>
    </row>
    <row r="2981">
      <c r="A2981" s="101" t="s">
        <v>5346</v>
      </c>
      <c r="B2981" s="101">
        <v>85.0</v>
      </c>
      <c r="C2981" s="13"/>
      <c r="D2981" s="13"/>
      <c r="E2981" s="13"/>
      <c r="F2981" s="13"/>
      <c r="G2981" s="102">
        <v>2.0</v>
      </c>
      <c r="H2981" s="101" t="s">
        <v>2942</v>
      </c>
      <c r="I2981" s="102">
        <v>2.0</v>
      </c>
      <c r="J2981" s="102">
        <v>2.46</v>
      </c>
      <c r="K2981" s="101" t="s">
        <v>2941</v>
      </c>
      <c r="L2981" s="102">
        <v>23.0</v>
      </c>
      <c r="M2981" s="13"/>
    </row>
    <row r="2982">
      <c r="A2982" s="101" t="s">
        <v>5347</v>
      </c>
      <c r="B2982" s="101">
        <v>24101.0</v>
      </c>
      <c r="C2982" s="13"/>
      <c r="D2982" s="13"/>
      <c r="E2982" s="13"/>
      <c r="F2982" s="13"/>
      <c r="G2982" s="102">
        <v>1.0</v>
      </c>
      <c r="H2982" s="101" t="s">
        <v>2940</v>
      </c>
      <c r="I2982" s="102">
        <v>7.32</v>
      </c>
      <c r="J2982" s="102">
        <v>9.0</v>
      </c>
      <c r="K2982" s="101" t="s">
        <v>2941</v>
      </c>
      <c r="L2982" s="102">
        <v>23.0</v>
      </c>
      <c r="M2982" s="13"/>
    </row>
    <row r="2983">
      <c r="A2983" s="101" t="s">
        <v>5347</v>
      </c>
      <c r="B2983" s="101">
        <v>24101.0</v>
      </c>
      <c r="C2983" s="13"/>
      <c r="D2983" s="13"/>
      <c r="E2983" s="13"/>
      <c r="F2983" s="13"/>
      <c r="G2983" s="102">
        <v>2.0</v>
      </c>
      <c r="H2983" s="101" t="s">
        <v>2942</v>
      </c>
      <c r="I2983" s="102">
        <v>6.99</v>
      </c>
      <c r="J2983" s="102">
        <v>8.6</v>
      </c>
      <c r="K2983" s="101" t="s">
        <v>2941</v>
      </c>
      <c r="L2983" s="102">
        <v>23.0</v>
      </c>
      <c r="M2983" s="13"/>
    </row>
    <row r="2984">
      <c r="A2984" s="101" t="s">
        <v>5348</v>
      </c>
      <c r="B2984" s="101">
        <v>24002.0</v>
      </c>
      <c r="C2984" s="13"/>
      <c r="D2984" s="13"/>
      <c r="E2984" s="13"/>
      <c r="F2984" s="13"/>
      <c r="G2984" s="102">
        <v>1.0</v>
      </c>
      <c r="H2984" s="101" t="s">
        <v>2940</v>
      </c>
      <c r="I2984" s="102">
        <v>4.07</v>
      </c>
      <c r="J2984" s="102">
        <v>5.01</v>
      </c>
      <c r="K2984" s="101" t="s">
        <v>2941</v>
      </c>
      <c r="L2984" s="102">
        <v>23.0</v>
      </c>
      <c r="M2984" s="13"/>
    </row>
    <row r="2985">
      <c r="A2985" s="101" t="s">
        <v>5348</v>
      </c>
      <c r="B2985" s="101">
        <v>24002.0</v>
      </c>
      <c r="C2985" s="13"/>
      <c r="D2985" s="13"/>
      <c r="E2985" s="13"/>
      <c r="F2985" s="13"/>
      <c r="G2985" s="102">
        <v>2.0</v>
      </c>
      <c r="H2985" s="101" t="s">
        <v>2942</v>
      </c>
      <c r="I2985" s="102">
        <v>3.91</v>
      </c>
      <c r="J2985" s="102">
        <v>4.81</v>
      </c>
      <c r="K2985" s="101" t="s">
        <v>2941</v>
      </c>
      <c r="L2985" s="102">
        <v>23.0</v>
      </c>
      <c r="M2985" s="13"/>
    </row>
    <row r="2986">
      <c r="A2986" s="101" t="s">
        <v>5349</v>
      </c>
      <c r="B2986" s="101">
        <v>24264.0</v>
      </c>
      <c r="C2986" s="13"/>
      <c r="D2986" s="13"/>
      <c r="E2986" s="13"/>
      <c r="F2986" s="13"/>
      <c r="G2986" s="102">
        <v>1.0</v>
      </c>
      <c r="H2986" s="101" t="s">
        <v>2940</v>
      </c>
      <c r="I2986" s="102">
        <v>3.17</v>
      </c>
      <c r="J2986" s="102">
        <v>3.9</v>
      </c>
      <c r="K2986" s="101" t="s">
        <v>2941</v>
      </c>
      <c r="L2986" s="102">
        <v>23.0</v>
      </c>
      <c r="M2986" s="13"/>
    </row>
    <row r="2987">
      <c r="A2987" s="101" t="s">
        <v>5349</v>
      </c>
      <c r="B2987" s="101">
        <v>24264.0</v>
      </c>
      <c r="C2987" s="13"/>
      <c r="D2987" s="13"/>
      <c r="E2987" s="13"/>
      <c r="F2987" s="13"/>
      <c r="G2987" s="102">
        <v>2.0</v>
      </c>
      <c r="H2987" s="101" t="s">
        <v>2942</v>
      </c>
      <c r="I2987" s="102">
        <v>2.5</v>
      </c>
      <c r="J2987" s="102">
        <v>3.08</v>
      </c>
      <c r="K2987" s="101" t="s">
        <v>2941</v>
      </c>
      <c r="L2987" s="102">
        <v>23.0</v>
      </c>
      <c r="M2987" s="13"/>
    </row>
    <row r="2988">
      <c r="A2988" s="101" t="s">
        <v>5350</v>
      </c>
      <c r="B2988" s="101">
        <v>46.0</v>
      </c>
      <c r="C2988" s="13"/>
      <c r="D2988" s="13"/>
      <c r="E2988" s="13"/>
      <c r="F2988" s="13"/>
      <c r="G2988" s="102">
        <v>1.0</v>
      </c>
      <c r="H2988" s="101" t="s">
        <v>2940</v>
      </c>
      <c r="I2988" s="102">
        <v>3.5</v>
      </c>
      <c r="J2988" s="102">
        <v>4.31</v>
      </c>
      <c r="K2988" s="101" t="s">
        <v>2941</v>
      </c>
      <c r="L2988" s="102">
        <v>23.0</v>
      </c>
      <c r="M2988" s="13"/>
    </row>
    <row r="2989">
      <c r="A2989" s="101" t="s">
        <v>5350</v>
      </c>
      <c r="B2989" s="101">
        <v>46.0</v>
      </c>
      <c r="C2989" s="13"/>
      <c r="D2989" s="13"/>
      <c r="E2989" s="13"/>
      <c r="F2989" s="13"/>
      <c r="G2989" s="102">
        <v>2.0</v>
      </c>
      <c r="H2989" s="101" t="s">
        <v>2942</v>
      </c>
      <c r="I2989" s="102">
        <v>3.5</v>
      </c>
      <c r="J2989" s="102">
        <v>4.31</v>
      </c>
      <c r="K2989" s="101" t="s">
        <v>2941</v>
      </c>
      <c r="L2989" s="102">
        <v>23.0</v>
      </c>
      <c r="M2989" s="13"/>
    </row>
    <row r="2990">
      <c r="A2990" s="101" t="s">
        <v>5351</v>
      </c>
      <c r="B2990" s="101">
        <v>24303.0</v>
      </c>
      <c r="C2990" s="13"/>
      <c r="D2990" s="13"/>
      <c r="E2990" s="13"/>
      <c r="F2990" s="13"/>
      <c r="G2990" s="102">
        <v>1.0</v>
      </c>
      <c r="H2990" s="101" t="s">
        <v>2940</v>
      </c>
      <c r="I2990" s="102">
        <v>3.01</v>
      </c>
      <c r="J2990" s="102">
        <v>3.7</v>
      </c>
      <c r="K2990" s="101" t="s">
        <v>2941</v>
      </c>
      <c r="L2990" s="102">
        <v>23.0</v>
      </c>
      <c r="M2990" s="13"/>
    </row>
    <row r="2991">
      <c r="A2991" s="101" t="s">
        <v>5351</v>
      </c>
      <c r="B2991" s="101">
        <v>24303.0</v>
      </c>
      <c r="C2991" s="13"/>
      <c r="D2991" s="13"/>
      <c r="E2991" s="13"/>
      <c r="F2991" s="13"/>
      <c r="G2991" s="102">
        <v>2.0</v>
      </c>
      <c r="H2991" s="101" t="s">
        <v>2942</v>
      </c>
      <c r="I2991" s="102">
        <v>2.4</v>
      </c>
      <c r="J2991" s="102">
        <v>2.95</v>
      </c>
      <c r="K2991" s="101" t="s">
        <v>2941</v>
      </c>
      <c r="L2991" s="102">
        <v>23.0</v>
      </c>
      <c r="M2991" s="13"/>
    </row>
    <row r="2992">
      <c r="A2992" s="101" t="s">
        <v>5352</v>
      </c>
      <c r="B2992" s="101">
        <v>24047.0</v>
      </c>
      <c r="C2992" s="13"/>
      <c r="D2992" s="13"/>
      <c r="E2992" s="13"/>
      <c r="F2992" s="13"/>
      <c r="G2992" s="102">
        <v>1.0</v>
      </c>
      <c r="H2992" s="101" t="s">
        <v>2940</v>
      </c>
      <c r="I2992" s="102">
        <v>6.8</v>
      </c>
      <c r="J2992" s="102">
        <v>8.36</v>
      </c>
      <c r="K2992" s="101" t="s">
        <v>2941</v>
      </c>
      <c r="L2992" s="102">
        <v>23.0</v>
      </c>
      <c r="M2992" s="13"/>
    </row>
    <row r="2993">
      <c r="A2993" s="101" t="s">
        <v>5352</v>
      </c>
      <c r="B2993" s="101">
        <v>24047.0</v>
      </c>
      <c r="C2993" s="13"/>
      <c r="D2993" s="13"/>
      <c r="E2993" s="13"/>
      <c r="F2993" s="13"/>
      <c r="G2993" s="102">
        <v>2.0</v>
      </c>
      <c r="H2993" s="101" t="s">
        <v>2942</v>
      </c>
      <c r="I2993" s="102">
        <v>6.8</v>
      </c>
      <c r="J2993" s="102">
        <v>8.36</v>
      </c>
      <c r="K2993" s="101" t="s">
        <v>2941</v>
      </c>
      <c r="L2993" s="102">
        <v>23.0</v>
      </c>
      <c r="M2993" s="13"/>
    </row>
    <row r="2994">
      <c r="A2994" s="101" t="s">
        <v>5353</v>
      </c>
      <c r="B2994" s="101">
        <v>24096.0</v>
      </c>
      <c r="C2994" s="13"/>
      <c r="D2994" s="13"/>
      <c r="E2994" s="13"/>
      <c r="F2994" s="13"/>
      <c r="G2994" s="102">
        <v>1.0</v>
      </c>
      <c r="H2994" s="101" t="s">
        <v>2940</v>
      </c>
      <c r="I2994" s="102">
        <v>10.65</v>
      </c>
      <c r="J2994" s="102">
        <v>13.1</v>
      </c>
      <c r="K2994" s="101" t="s">
        <v>2941</v>
      </c>
      <c r="L2994" s="102">
        <v>23.0</v>
      </c>
      <c r="M2994" s="13"/>
    </row>
    <row r="2995">
      <c r="A2995" s="101" t="s">
        <v>5353</v>
      </c>
      <c r="B2995" s="101">
        <v>24096.0</v>
      </c>
      <c r="C2995" s="13"/>
      <c r="D2995" s="13"/>
      <c r="E2995" s="13"/>
      <c r="F2995" s="13"/>
      <c r="G2995" s="102">
        <v>2.0</v>
      </c>
      <c r="H2995" s="101" t="s">
        <v>2942</v>
      </c>
      <c r="I2995" s="102">
        <v>8.5</v>
      </c>
      <c r="J2995" s="102">
        <v>10.46</v>
      </c>
      <c r="K2995" s="101" t="s">
        <v>2941</v>
      </c>
      <c r="L2995" s="102">
        <v>23.0</v>
      </c>
      <c r="M2995" s="13"/>
    </row>
    <row r="2996">
      <c r="A2996" s="101" t="s">
        <v>5354</v>
      </c>
      <c r="B2996" s="101">
        <v>24040.0</v>
      </c>
      <c r="C2996" s="13"/>
      <c r="D2996" s="13"/>
      <c r="E2996" s="13"/>
      <c r="F2996" s="13"/>
      <c r="G2996" s="102">
        <v>1.0</v>
      </c>
      <c r="H2996" s="101" t="s">
        <v>2940</v>
      </c>
      <c r="I2996" s="102">
        <v>3.41</v>
      </c>
      <c r="J2996" s="102">
        <v>4.19</v>
      </c>
      <c r="K2996" s="101" t="s">
        <v>2941</v>
      </c>
      <c r="L2996" s="102">
        <v>23.0</v>
      </c>
      <c r="M2996" s="13"/>
    </row>
    <row r="2997">
      <c r="A2997" s="101" t="s">
        <v>5354</v>
      </c>
      <c r="B2997" s="101">
        <v>24040.0</v>
      </c>
      <c r="C2997" s="13"/>
      <c r="D2997" s="13"/>
      <c r="E2997" s="13"/>
      <c r="F2997" s="13"/>
      <c r="G2997" s="102">
        <v>2.0</v>
      </c>
      <c r="H2997" s="101" t="s">
        <v>2942</v>
      </c>
      <c r="I2997" s="102">
        <v>2.7</v>
      </c>
      <c r="J2997" s="102">
        <v>3.32</v>
      </c>
      <c r="K2997" s="101" t="s">
        <v>2941</v>
      </c>
      <c r="L2997" s="102">
        <v>23.0</v>
      </c>
      <c r="M2997" s="13"/>
    </row>
    <row r="2998">
      <c r="A2998" s="101" t="s">
        <v>5355</v>
      </c>
      <c r="B2998" s="101">
        <v>24055.0</v>
      </c>
      <c r="C2998" s="13"/>
      <c r="D2998" s="13"/>
      <c r="E2998" s="13"/>
      <c r="F2998" s="13"/>
      <c r="G2998" s="102">
        <v>1.0</v>
      </c>
      <c r="H2998" s="101" t="s">
        <v>2940</v>
      </c>
      <c r="I2998" s="102">
        <v>4.55</v>
      </c>
      <c r="J2998" s="102">
        <v>5.6</v>
      </c>
      <c r="K2998" s="101" t="s">
        <v>2941</v>
      </c>
      <c r="L2998" s="102">
        <v>23.0</v>
      </c>
      <c r="M2998" s="13"/>
    </row>
    <row r="2999">
      <c r="A2999" s="101" t="s">
        <v>5355</v>
      </c>
      <c r="B2999" s="101">
        <v>24055.0</v>
      </c>
      <c r="C2999" s="13"/>
      <c r="D2999" s="13"/>
      <c r="E2999" s="13"/>
      <c r="F2999" s="13"/>
      <c r="G2999" s="102">
        <v>2.0</v>
      </c>
      <c r="H2999" s="101" t="s">
        <v>2942</v>
      </c>
      <c r="I2999" s="102">
        <v>3.6</v>
      </c>
      <c r="J2999" s="102">
        <v>4.43</v>
      </c>
      <c r="K2999" s="101" t="s">
        <v>2941</v>
      </c>
      <c r="L2999" s="102">
        <v>23.0</v>
      </c>
      <c r="M2999" s="13"/>
    </row>
    <row r="3000">
      <c r="A3000" s="101" t="s">
        <v>5356</v>
      </c>
      <c r="B3000" s="101">
        <v>24039.0</v>
      </c>
      <c r="C3000" s="13"/>
      <c r="D3000" s="13"/>
      <c r="E3000" s="13"/>
      <c r="F3000" s="13"/>
      <c r="G3000" s="102">
        <v>1.0</v>
      </c>
      <c r="H3000" s="101" t="s">
        <v>2940</v>
      </c>
      <c r="I3000" s="102">
        <v>3.66</v>
      </c>
      <c r="J3000" s="102">
        <v>4.5</v>
      </c>
      <c r="K3000" s="101" t="s">
        <v>2941</v>
      </c>
      <c r="L3000" s="102">
        <v>23.0</v>
      </c>
      <c r="M3000" s="13"/>
    </row>
    <row r="3001">
      <c r="A3001" s="101" t="s">
        <v>5356</v>
      </c>
      <c r="B3001" s="101">
        <v>24039.0</v>
      </c>
      <c r="C3001" s="13"/>
      <c r="D3001" s="13"/>
      <c r="E3001" s="13"/>
      <c r="F3001" s="13"/>
      <c r="G3001" s="102">
        <v>2.0</v>
      </c>
      <c r="H3001" s="101" t="s">
        <v>2942</v>
      </c>
      <c r="I3001" s="102">
        <v>2.9</v>
      </c>
      <c r="J3001" s="102">
        <v>3.57</v>
      </c>
      <c r="K3001" s="101" t="s">
        <v>2941</v>
      </c>
      <c r="L3001" s="102">
        <v>23.0</v>
      </c>
      <c r="M3001" s="13"/>
    </row>
    <row r="3002">
      <c r="A3002" s="101" t="s">
        <v>5357</v>
      </c>
      <c r="B3002" s="101">
        <v>24054.0</v>
      </c>
      <c r="C3002" s="13"/>
      <c r="D3002" s="13"/>
      <c r="E3002" s="13"/>
      <c r="F3002" s="13"/>
      <c r="G3002" s="102">
        <v>1.0</v>
      </c>
      <c r="H3002" s="101" t="s">
        <v>2940</v>
      </c>
      <c r="I3002" s="102">
        <v>4.96</v>
      </c>
      <c r="J3002" s="102">
        <v>6.1</v>
      </c>
      <c r="K3002" s="101" t="s">
        <v>2941</v>
      </c>
      <c r="L3002" s="102">
        <v>23.0</v>
      </c>
      <c r="M3002" s="13"/>
    </row>
    <row r="3003">
      <c r="A3003" s="101" t="s">
        <v>5357</v>
      </c>
      <c r="B3003" s="101">
        <v>24054.0</v>
      </c>
      <c r="C3003" s="13"/>
      <c r="D3003" s="13"/>
      <c r="E3003" s="13"/>
      <c r="F3003" s="13"/>
      <c r="G3003" s="102">
        <v>2.0</v>
      </c>
      <c r="H3003" s="101" t="s">
        <v>2942</v>
      </c>
      <c r="I3003" s="102">
        <v>4.0</v>
      </c>
      <c r="J3003" s="102">
        <v>4.92</v>
      </c>
      <c r="K3003" s="101" t="s">
        <v>2941</v>
      </c>
      <c r="L3003" s="102">
        <v>23.0</v>
      </c>
      <c r="M3003" s="13"/>
    </row>
    <row r="3004">
      <c r="A3004" s="101" t="s">
        <v>5358</v>
      </c>
      <c r="B3004" s="101">
        <v>24044.0</v>
      </c>
      <c r="C3004" s="13"/>
      <c r="D3004" s="13"/>
      <c r="E3004" s="13"/>
      <c r="F3004" s="13"/>
      <c r="G3004" s="102">
        <v>1.0</v>
      </c>
      <c r="H3004" s="101" t="s">
        <v>2940</v>
      </c>
      <c r="I3004" s="102">
        <v>4.47</v>
      </c>
      <c r="J3004" s="102">
        <v>5.5</v>
      </c>
      <c r="K3004" s="101" t="s">
        <v>2941</v>
      </c>
      <c r="L3004" s="102">
        <v>23.0</v>
      </c>
      <c r="M3004" s="13"/>
    </row>
    <row r="3005">
      <c r="A3005" s="101" t="s">
        <v>5358</v>
      </c>
      <c r="B3005" s="101">
        <v>24044.0</v>
      </c>
      <c r="C3005" s="13"/>
      <c r="D3005" s="13"/>
      <c r="E3005" s="13"/>
      <c r="F3005" s="13"/>
      <c r="G3005" s="102">
        <v>2.0</v>
      </c>
      <c r="H3005" s="101" t="s">
        <v>2942</v>
      </c>
      <c r="I3005" s="102">
        <v>3.6</v>
      </c>
      <c r="J3005" s="102">
        <v>4.43</v>
      </c>
      <c r="K3005" s="101" t="s">
        <v>2941</v>
      </c>
      <c r="L3005" s="102">
        <v>23.0</v>
      </c>
      <c r="M3005" s="13"/>
    </row>
    <row r="3006">
      <c r="A3006" s="101" t="s">
        <v>5359</v>
      </c>
      <c r="B3006" s="101">
        <v>24058.0</v>
      </c>
      <c r="C3006" s="13"/>
      <c r="D3006" s="13"/>
      <c r="E3006" s="13"/>
      <c r="F3006" s="13"/>
      <c r="G3006" s="102">
        <v>1.0</v>
      </c>
      <c r="H3006" s="101" t="s">
        <v>2940</v>
      </c>
      <c r="I3006" s="102">
        <v>5.77</v>
      </c>
      <c r="J3006" s="102">
        <v>7.1</v>
      </c>
      <c r="K3006" s="101" t="s">
        <v>2941</v>
      </c>
      <c r="L3006" s="102">
        <v>23.0</v>
      </c>
      <c r="M3006" s="13"/>
    </row>
    <row r="3007">
      <c r="A3007" s="101" t="s">
        <v>5359</v>
      </c>
      <c r="B3007" s="101">
        <v>24058.0</v>
      </c>
      <c r="C3007" s="13"/>
      <c r="D3007" s="13"/>
      <c r="E3007" s="13"/>
      <c r="F3007" s="13"/>
      <c r="G3007" s="102">
        <v>2.0</v>
      </c>
      <c r="H3007" s="101" t="s">
        <v>2942</v>
      </c>
      <c r="I3007" s="102">
        <v>4.6</v>
      </c>
      <c r="J3007" s="102">
        <v>5.66</v>
      </c>
      <c r="K3007" s="101" t="s">
        <v>2941</v>
      </c>
      <c r="L3007" s="102">
        <v>23.0</v>
      </c>
      <c r="M3007" s="13"/>
    </row>
    <row r="3008">
      <c r="A3008" s="101" t="s">
        <v>5360</v>
      </c>
      <c r="B3008" s="101">
        <v>24043.0</v>
      </c>
      <c r="C3008" s="13"/>
      <c r="D3008" s="13"/>
      <c r="E3008" s="13"/>
      <c r="F3008" s="13"/>
      <c r="G3008" s="102">
        <v>1.0</v>
      </c>
      <c r="H3008" s="101" t="s">
        <v>2940</v>
      </c>
      <c r="I3008" s="102">
        <v>4.72</v>
      </c>
      <c r="J3008" s="102">
        <v>5.81</v>
      </c>
      <c r="K3008" s="101" t="s">
        <v>2941</v>
      </c>
      <c r="L3008" s="102">
        <v>23.0</v>
      </c>
      <c r="M3008" s="13"/>
    </row>
    <row r="3009">
      <c r="A3009" s="101" t="s">
        <v>5360</v>
      </c>
      <c r="B3009" s="101">
        <v>24043.0</v>
      </c>
      <c r="C3009" s="13"/>
      <c r="D3009" s="13"/>
      <c r="E3009" s="13"/>
      <c r="F3009" s="13"/>
      <c r="G3009" s="102">
        <v>2.0</v>
      </c>
      <c r="H3009" s="101" t="s">
        <v>2942</v>
      </c>
      <c r="I3009" s="102">
        <v>3.8</v>
      </c>
      <c r="J3009" s="102">
        <v>4.67</v>
      </c>
      <c r="K3009" s="101" t="s">
        <v>2941</v>
      </c>
      <c r="L3009" s="102">
        <v>23.0</v>
      </c>
      <c r="M3009" s="13"/>
    </row>
    <row r="3010">
      <c r="A3010" s="101" t="s">
        <v>5361</v>
      </c>
      <c r="B3010" s="101">
        <v>24057.0</v>
      </c>
      <c r="C3010" s="13"/>
      <c r="D3010" s="13"/>
      <c r="E3010" s="13"/>
      <c r="F3010" s="13"/>
      <c r="G3010" s="102">
        <v>1.0</v>
      </c>
      <c r="H3010" s="101" t="s">
        <v>2940</v>
      </c>
      <c r="I3010" s="102">
        <v>6.02</v>
      </c>
      <c r="J3010" s="102">
        <v>7.4</v>
      </c>
      <c r="K3010" s="101" t="s">
        <v>2941</v>
      </c>
      <c r="L3010" s="102">
        <v>23.0</v>
      </c>
      <c r="M3010" s="13"/>
    </row>
    <row r="3011">
      <c r="A3011" s="101" t="s">
        <v>5361</v>
      </c>
      <c r="B3011" s="101">
        <v>24057.0</v>
      </c>
      <c r="C3011" s="13"/>
      <c r="D3011" s="13"/>
      <c r="E3011" s="13"/>
      <c r="F3011" s="13"/>
      <c r="G3011" s="102">
        <v>2.0</v>
      </c>
      <c r="H3011" s="101" t="s">
        <v>2942</v>
      </c>
      <c r="I3011" s="102">
        <v>4.8</v>
      </c>
      <c r="J3011" s="102">
        <v>5.9</v>
      </c>
      <c r="K3011" s="101" t="s">
        <v>2941</v>
      </c>
      <c r="L3011" s="102">
        <v>23.0</v>
      </c>
      <c r="M3011" s="13"/>
    </row>
    <row r="3012">
      <c r="A3012" s="101" t="s">
        <v>5362</v>
      </c>
      <c r="B3012" s="101">
        <v>24239.0</v>
      </c>
      <c r="C3012" s="13"/>
      <c r="D3012" s="13"/>
      <c r="E3012" s="13"/>
      <c r="F3012" s="13"/>
      <c r="G3012" s="102">
        <v>1.0</v>
      </c>
      <c r="H3012" s="101" t="s">
        <v>2940</v>
      </c>
      <c r="I3012" s="102">
        <v>4.72</v>
      </c>
      <c r="J3012" s="102">
        <v>5.81</v>
      </c>
      <c r="K3012" s="101" t="s">
        <v>2941</v>
      </c>
      <c r="L3012" s="102">
        <v>23.0</v>
      </c>
      <c r="M3012" s="13"/>
    </row>
    <row r="3013">
      <c r="A3013" s="101" t="s">
        <v>5362</v>
      </c>
      <c r="B3013" s="101">
        <v>24239.0</v>
      </c>
      <c r="C3013" s="13"/>
      <c r="D3013" s="13"/>
      <c r="E3013" s="13"/>
      <c r="F3013" s="13"/>
      <c r="G3013" s="102">
        <v>2.0</v>
      </c>
      <c r="H3013" s="101" t="s">
        <v>2942</v>
      </c>
      <c r="I3013" s="102">
        <v>4.7</v>
      </c>
      <c r="J3013" s="102">
        <v>5.78</v>
      </c>
      <c r="K3013" s="101" t="s">
        <v>2941</v>
      </c>
      <c r="L3013" s="102">
        <v>23.0</v>
      </c>
      <c r="M3013" s="13"/>
    </row>
    <row r="3014">
      <c r="A3014" s="101" t="s">
        <v>5363</v>
      </c>
      <c r="B3014" s="101">
        <v>90.0</v>
      </c>
      <c r="C3014" s="13"/>
      <c r="D3014" s="13"/>
      <c r="E3014" s="13"/>
      <c r="F3014" s="13"/>
      <c r="G3014" s="102">
        <v>1.0</v>
      </c>
      <c r="H3014" s="101" t="s">
        <v>2940</v>
      </c>
      <c r="I3014" s="102">
        <v>5.61</v>
      </c>
      <c r="J3014" s="102">
        <v>6.9</v>
      </c>
      <c r="K3014" s="101" t="s">
        <v>2941</v>
      </c>
      <c r="L3014" s="102">
        <v>23.0</v>
      </c>
      <c r="M3014" s="13"/>
    </row>
    <row r="3015">
      <c r="A3015" s="101" t="s">
        <v>5363</v>
      </c>
      <c r="B3015" s="101">
        <v>90.0</v>
      </c>
      <c r="C3015" s="13"/>
      <c r="D3015" s="13"/>
      <c r="E3015" s="13"/>
      <c r="F3015" s="13"/>
      <c r="G3015" s="102">
        <v>2.0</v>
      </c>
      <c r="H3015" s="101" t="s">
        <v>2942</v>
      </c>
      <c r="I3015" s="102">
        <v>4.5</v>
      </c>
      <c r="J3015" s="102">
        <v>5.54</v>
      </c>
      <c r="K3015" s="101" t="s">
        <v>2941</v>
      </c>
      <c r="L3015" s="102">
        <v>23.0</v>
      </c>
      <c r="M3015" s="13"/>
    </row>
    <row r="3016">
      <c r="A3016" s="101" t="s">
        <v>5364</v>
      </c>
      <c r="B3016" s="101">
        <v>24056.0</v>
      </c>
      <c r="C3016" s="13"/>
      <c r="D3016" s="13"/>
      <c r="E3016" s="13"/>
      <c r="F3016" s="13"/>
      <c r="G3016" s="102">
        <v>1.0</v>
      </c>
      <c r="H3016" s="101" t="s">
        <v>2940</v>
      </c>
      <c r="I3016" s="102">
        <v>7.24</v>
      </c>
      <c r="J3016" s="102">
        <v>8.91</v>
      </c>
      <c r="K3016" s="101" t="s">
        <v>2941</v>
      </c>
      <c r="L3016" s="102">
        <v>23.0</v>
      </c>
      <c r="M3016" s="13"/>
    </row>
    <row r="3017">
      <c r="A3017" s="101" t="s">
        <v>5364</v>
      </c>
      <c r="B3017" s="101">
        <v>24056.0</v>
      </c>
      <c r="C3017" s="13"/>
      <c r="D3017" s="13"/>
      <c r="E3017" s="13"/>
      <c r="F3017" s="13"/>
      <c r="G3017" s="102">
        <v>2.0</v>
      </c>
      <c r="H3017" s="101" t="s">
        <v>2942</v>
      </c>
      <c r="I3017" s="102">
        <v>5.8</v>
      </c>
      <c r="J3017" s="102">
        <v>7.13</v>
      </c>
      <c r="K3017" s="101" t="s">
        <v>2941</v>
      </c>
      <c r="L3017" s="102">
        <v>23.0</v>
      </c>
      <c r="M3017" s="13"/>
    </row>
    <row r="3018">
      <c r="A3018" s="101" t="s">
        <v>5365</v>
      </c>
      <c r="B3018" s="101">
        <v>100.0</v>
      </c>
      <c r="C3018" s="13"/>
      <c r="D3018" s="13"/>
      <c r="E3018" s="13"/>
      <c r="F3018" s="13"/>
      <c r="G3018" s="102">
        <v>1.0</v>
      </c>
      <c r="H3018" s="101" t="s">
        <v>2940</v>
      </c>
      <c r="I3018" s="102">
        <v>5.61</v>
      </c>
      <c r="J3018" s="102">
        <v>6.9</v>
      </c>
      <c r="K3018" s="101" t="s">
        <v>2941</v>
      </c>
      <c r="L3018" s="102">
        <v>23.0</v>
      </c>
      <c r="M3018" s="13"/>
    </row>
    <row r="3019">
      <c r="A3019" s="101" t="s">
        <v>5365</v>
      </c>
      <c r="B3019" s="101">
        <v>100.0</v>
      </c>
      <c r="C3019" s="13"/>
      <c r="D3019" s="13"/>
      <c r="E3019" s="13"/>
      <c r="F3019" s="13"/>
      <c r="G3019" s="102">
        <v>2.0</v>
      </c>
      <c r="H3019" s="101" t="s">
        <v>2942</v>
      </c>
      <c r="I3019" s="102">
        <v>4.5</v>
      </c>
      <c r="J3019" s="102">
        <v>5.54</v>
      </c>
      <c r="K3019" s="101" t="s">
        <v>2941</v>
      </c>
      <c r="L3019" s="102">
        <v>23.0</v>
      </c>
      <c r="M3019" s="13"/>
    </row>
    <row r="3020">
      <c r="A3020" s="101" t="s">
        <v>5366</v>
      </c>
      <c r="B3020" s="101">
        <v>24141.0</v>
      </c>
      <c r="C3020" s="13"/>
      <c r="D3020" s="13"/>
      <c r="E3020" s="13"/>
      <c r="F3020" s="13"/>
      <c r="G3020" s="102">
        <v>1.0</v>
      </c>
      <c r="H3020" s="101" t="s">
        <v>2940</v>
      </c>
      <c r="I3020" s="102">
        <v>2.76</v>
      </c>
      <c r="J3020" s="102">
        <v>3.39</v>
      </c>
      <c r="K3020" s="101" t="s">
        <v>2941</v>
      </c>
      <c r="L3020" s="102">
        <v>23.0</v>
      </c>
      <c r="M3020" s="13"/>
    </row>
    <row r="3021">
      <c r="A3021" s="101" t="s">
        <v>5366</v>
      </c>
      <c r="B3021" s="101">
        <v>24141.0</v>
      </c>
      <c r="C3021" s="13"/>
      <c r="D3021" s="13"/>
      <c r="E3021" s="13"/>
      <c r="F3021" s="13"/>
      <c r="G3021" s="102">
        <v>2.0</v>
      </c>
      <c r="H3021" s="101" t="s">
        <v>2942</v>
      </c>
      <c r="I3021" s="102">
        <v>2.2</v>
      </c>
      <c r="J3021" s="102">
        <v>2.71</v>
      </c>
      <c r="K3021" s="101" t="s">
        <v>2941</v>
      </c>
      <c r="L3021" s="102">
        <v>23.0</v>
      </c>
      <c r="M3021" s="13"/>
    </row>
    <row r="3022">
      <c r="A3022" s="101" t="s">
        <v>5367</v>
      </c>
      <c r="B3022" s="101">
        <v>24140.0</v>
      </c>
      <c r="C3022" s="13"/>
      <c r="D3022" s="13"/>
      <c r="E3022" s="13"/>
      <c r="F3022" s="13"/>
      <c r="G3022" s="102">
        <v>1.0</v>
      </c>
      <c r="H3022" s="101" t="s">
        <v>2940</v>
      </c>
      <c r="I3022" s="102">
        <v>2.76</v>
      </c>
      <c r="J3022" s="102">
        <v>3.39</v>
      </c>
      <c r="K3022" s="101" t="s">
        <v>2941</v>
      </c>
      <c r="L3022" s="102">
        <v>23.0</v>
      </c>
      <c r="M3022" s="13"/>
    </row>
    <row r="3023">
      <c r="A3023" s="101" t="s">
        <v>5367</v>
      </c>
      <c r="B3023" s="101">
        <v>24140.0</v>
      </c>
      <c r="C3023" s="13"/>
      <c r="D3023" s="13"/>
      <c r="E3023" s="13"/>
      <c r="F3023" s="13"/>
      <c r="G3023" s="102">
        <v>2.0</v>
      </c>
      <c r="H3023" s="101" t="s">
        <v>2942</v>
      </c>
      <c r="I3023" s="102">
        <v>2.2</v>
      </c>
      <c r="J3023" s="102">
        <v>2.71</v>
      </c>
      <c r="K3023" s="101" t="s">
        <v>2941</v>
      </c>
      <c r="L3023" s="102">
        <v>23.0</v>
      </c>
      <c r="M3023" s="13"/>
    </row>
    <row r="3024">
      <c r="A3024" s="101" t="s">
        <v>5368</v>
      </c>
      <c r="B3024" s="101">
        <v>24020.0</v>
      </c>
      <c r="C3024" s="13"/>
      <c r="D3024" s="13"/>
      <c r="E3024" s="13"/>
      <c r="F3024" s="13"/>
      <c r="G3024" s="102">
        <v>1.0</v>
      </c>
      <c r="H3024" s="101" t="s">
        <v>2940</v>
      </c>
      <c r="I3024" s="102">
        <v>3.09</v>
      </c>
      <c r="J3024" s="102">
        <v>3.8</v>
      </c>
      <c r="K3024" s="101" t="s">
        <v>2941</v>
      </c>
      <c r="L3024" s="102">
        <v>23.0</v>
      </c>
      <c r="M3024" s="13"/>
    </row>
    <row r="3025">
      <c r="A3025" s="101" t="s">
        <v>5368</v>
      </c>
      <c r="B3025" s="101">
        <v>24020.0</v>
      </c>
      <c r="C3025" s="13"/>
      <c r="D3025" s="13"/>
      <c r="E3025" s="13"/>
      <c r="F3025" s="13"/>
      <c r="G3025" s="102">
        <v>2.0</v>
      </c>
      <c r="H3025" s="101" t="s">
        <v>2942</v>
      </c>
      <c r="I3025" s="102">
        <v>2.5</v>
      </c>
      <c r="J3025" s="102">
        <v>3.08</v>
      </c>
      <c r="K3025" s="101" t="s">
        <v>2941</v>
      </c>
      <c r="L3025" s="102">
        <v>23.0</v>
      </c>
      <c r="M3025" s="13"/>
    </row>
    <row r="3026">
      <c r="A3026" s="101" t="s">
        <v>5369</v>
      </c>
      <c r="B3026" s="101" t="s">
        <v>5370</v>
      </c>
      <c r="D3026" s="13"/>
      <c r="E3026" s="13"/>
      <c r="F3026" s="13"/>
      <c r="G3026" s="102">
        <v>1.0</v>
      </c>
      <c r="H3026" s="101" t="s">
        <v>2940</v>
      </c>
      <c r="I3026" s="102">
        <v>3.41</v>
      </c>
      <c r="J3026" s="102">
        <v>4.19</v>
      </c>
      <c r="K3026" s="101" t="s">
        <v>2941</v>
      </c>
      <c r="L3026" s="102">
        <v>23.0</v>
      </c>
      <c r="M3026" s="13"/>
    </row>
    <row r="3027">
      <c r="A3027" s="101" t="s">
        <v>5369</v>
      </c>
      <c r="B3027" s="101" t="s">
        <v>5370</v>
      </c>
      <c r="D3027" s="13"/>
      <c r="E3027" s="13"/>
      <c r="F3027" s="13"/>
      <c r="G3027" s="102">
        <v>2.0</v>
      </c>
      <c r="H3027" s="101" t="s">
        <v>2942</v>
      </c>
      <c r="I3027" s="102">
        <v>2.7</v>
      </c>
      <c r="J3027" s="102">
        <v>3.32</v>
      </c>
      <c r="K3027" s="101" t="s">
        <v>2941</v>
      </c>
      <c r="L3027" s="102">
        <v>23.0</v>
      </c>
      <c r="M3027" s="13"/>
    </row>
    <row r="3028">
      <c r="A3028" s="101" t="s">
        <v>5371</v>
      </c>
      <c r="B3028" s="101">
        <v>24015.0</v>
      </c>
      <c r="C3028" s="13"/>
      <c r="D3028" s="13"/>
      <c r="E3028" s="13"/>
      <c r="F3028" s="13"/>
      <c r="G3028" s="102">
        <v>1.0</v>
      </c>
      <c r="H3028" s="101" t="s">
        <v>2940</v>
      </c>
      <c r="I3028" s="102">
        <v>3.09</v>
      </c>
      <c r="J3028" s="102">
        <v>3.8</v>
      </c>
      <c r="K3028" s="101" t="s">
        <v>2941</v>
      </c>
      <c r="L3028" s="102">
        <v>23.0</v>
      </c>
      <c r="M3028" s="13"/>
    </row>
    <row r="3029">
      <c r="A3029" s="101" t="s">
        <v>5371</v>
      </c>
      <c r="B3029" s="101">
        <v>24015.0</v>
      </c>
      <c r="C3029" s="13"/>
      <c r="D3029" s="13"/>
      <c r="E3029" s="13"/>
      <c r="F3029" s="13"/>
      <c r="G3029" s="102">
        <v>2.0</v>
      </c>
      <c r="H3029" s="101" t="s">
        <v>2942</v>
      </c>
      <c r="I3029" s="102">
        <v>2.5</v>
      </c>
      <c r="J3029" s="102">
        <v>3.08</v>
      </c>
      <c r="K3029" s="101" t="s">
        <v>2941</v>
      </c>
      <c r="L3029" s="102">
        <v>23.0</v>
      </c>
      <c r="M3029" s="13"/>
    </row>
    <row r="3030">
      <c r="A3030" s="101" t="s">
        <v>5372</v>
      </c>
      <c r="B3030" s="101">
        <v>1443.0</v>
      </c>
      <c r="C3030" s="13"/>
      <c r="D3030" s="13"/>
      <c r="E3030" s="13"/>
      <c r="F3030" s="13"/>
      <c r="G3030" s="102">
        <v>1.0</v>
      </c>
      <c r="H3030" s="101" t="s">
        <v>2940</v>
      </c>
      <c r="I3030" s="102">
        <v>17.56</v>
      </c>
      <c r="J3030" s="102">
        <v>21.6</v>
      </c>
      <c r="K3030" s="101" t="s">
        <v>2941</v>
      </c>
      <c r="L3030" s="102">
        <v>23.0</v>
      </c>
      <c r="M3030" s="13"/>
    </row>
    <row r="3031">
      <c r="A3031" s="101" t="s">
        <v>5372</v>
      </c>
      <c r="B3031" s="101">
        <v>1443.0</v>
      </c>
      <c r="C3031" s="13"/>
      <c r="D3031" s="13"/>
      <c r="E3031" s="13"/>
      <c r="F3031" s="13"/>
      <c r="G3031" s="102">
        <v>2.0</v>
      </c>
      <c r="H3031" s="101" t="s">
        <v>2942</v>
      </c>
      <c r="I3031" s="102">
        <v>14.0</v>
      </c>
      <c r="J3031" s="102">
        <v>17.22</v>
      </c>
      <c r="K3031" s="101" t="s">
        <v>2941</v>
      </c>
      <c r="L3031" s="102">
        <v>23.0</v>
      </c>
      <c r="M3031" s="13"/>
    </row>
    <row r="3032">
      <c r="A3032" s="101" t="s">
        <v>5373</v>
      </c>
      <c r="B3032" s="101">
        <v>42601.0</v>
      </c>
      <c r="C3032" s="13"/>
      <c r="D3032" s="13"/>
      <c r="E3032" s="13"/>
      <c r="F3032" s="13"/>
      <c r="G3032" s="102">
        <v>1.0</v>
      </c>
      <c r="H3032" s="101" t="s">
        <v>2940</v>
      </c>
      <c r="I3032" s="102">
        <v>17.8</v>
      </c>
      <c r="J3032" s="102">
        <v>21.89</v>
      </c>
      <c r="K3032" s="101" t="s">
        <v>2941</v>
      </c>
      <c r="L3032" s="102">
        <v>23.0</v>
      </c>
      <c r="M3032" s="13"/>
    </row>
    <row r="3033">
      <c r="A3033" s="101" t="s">
        <v>5373</v>
      </c>
      <c r="B3033" s="101">
        <v>42601.0</v>
      </c>
      <c r="C3033" s="13"/>
      <c r="D3033" s="13"/>
      <c r="E3033" s="13"/>
      <c r="F3033" s="13"/>
      <c r="G3033" s="102">
        <v>2.0</v>
      </c>
      <c r="H3033" s="101" t="s">
        <v>2942</v>
      </c>
      <c r="I3033" s="102">
        <v>14.2</v>
      </c>
      <c r="J3033" s="102">
        <v>17.47</v>
      </c>
      <c r="K3033" s="101" t="s">
        <v>2941</v>
      </c>
      <c r="L3033" s="102">
        <v>23.0</v>
      </c>
      <c r="M3033" s="13"/>
    </row>
    <row r="3034">
      <c r="A3034" s="101" t="s">
        <v>5374</v>
      </c>
      <c r="B3034" s="101">
        <v>42619.0</v>
      </c>
      <c r="C3034" s="13"/>
      <c r="D3034" s="13"/>
      <c r="E3034" s="13"/>
      <c r="F3034" s="13"/>
      <c r="G3034" s="102">
        <v>1.0</v>
      </c>
      <c r="H3034" s="101" t="s">
        <v>2940</v>
      </c>
      <c r="I3034" s="102">
        <v>17.8</v>
      </c>
      <c r="J3034" s="102">
        <v>21.89</v>
      </c>
      <c r="K3034" s="101" t="s">
        <v>2941</v>
      </c>
      <c r="L3034" s="102">
        <v>23.0</v>
      </c>
      <c r="M3034" s="13"/>
    </row>
    <row r="3035">
      <c r="A3035" s="101" t="s">
        <v>5374</v>
      </c>
      <c r="B3035" s="101">
        <v>42619.0</v>
      </c>
      <c r="C3035" s="13"/>
      <c r="D3035" s="13"/>
      <c r="E3035" s="13"/>
      <c r="F3035" s="13"/>
      <c r="G3035" s="102">
        <v>2.0</v>
      </c>
      <c r="H3035" s="101" t="s">
        <v>2942</v>
      </c>
      <c r="I3035" s="102">
        <v>14.2</v>
      </c>
      <c r="J3035" s="102">
        <v>17.47</v>
      </c>
      <c r="K3035" s="101" t="s">
        <v>2941</v>
      </c>
      <c r="L3035" s="102">
        <v>23.0</v>
      </c>
      <c r="M3035" s="13"/>
    </row>
    <row r="3036">
      <c r="A3036" s="101" t="s">
        <v>5375</v>
      </c>
      <c r="B3036" s="101">
        <v>42620.0</v>
      </c>
      <c r="C3036" s="13"/>
      <c r="D3036" s="13"/>
      <c r="E3036" s="13"/>
      <c r="F3036" s="13"/>
      <c r="G3036" s="102">
        <v>1.0</v>
      </c>
      <c r="H3036" s="101" t="s">
        <v>2940</v>
      </c>
      <c r="I3036" s="102">
        <v>29.67</v>
      </c>
      <c r="J3036" s="102">
        <v>36.49</v>
      </c>
      <c r="K3036" s="101" t="s">
        <v>2941</v>
      </c>
      <c r="L3036" s="102">
        <v>23.0</v>
      </c>
      <c r="M3036" s="13"/>
    </row>
    <row r="3037">
      <c r="A3037" s="101" t="s">
        <v>5375</v>
      </c>
      <c r="B3037" s="101">
        <v>42620.0</v>
      </c>
      <c r="C3037" s="13"/>
      <c r="D3037" s="13"/>
      <c r="E3037" s="13"/>
      <c r="F3037" s="13"/>
      <c r="G3037" s="102">
        <v>2.0</v>
      </c>
      <c r="H3037" s="101" t="s">
        <v>2942</v>
      </c>
      <c r="I3037" s="102">
        <v>23.7</v>
      </c>
      <c r="J3037" s="102">
        <v>29.15</v>
      </c>
      <c r="K3037" s="101" t="s">
        <v>2941</v>
      </c>
      <c r="L3037" s="102">
        <v>23.0</v>
      </c>
      <c r="M3037" s="13"/>
    </row>
    <row r="3038">
      <c r="A3038" s="101" t="s">
        <v>5376</v>
      </c>
      <c r="B3038" s="101">
        <v>1435.0</v>
      </c>
      <c r="C3038" s="13"/>
      <c r="D3038" s="13"/>
      <c r="E3038" s="13"/>
      <c r="F3038" s="13"/>
      <c r="G3038" s="102">
        <v>1.0</v>
      </c>
      <c r="H3038" s="101" t="s">
        <v>2940</v>
      </c>
      <c r="I3038" s="102">
        <v>17.8</v>
      </c>
      <c r="J3038" s="102">
        <v>21.89</v>
      </c>
      <c r="K3038" s="101" t="s">
        <v>2941</v>
      </c>
      <c r="L3038" s="102">
        <v>23.0</v>
      </c>
      <c r="M3038" s="13"/>
    </row>
    <row r="3039">
      <c r="A3039" s="101" t="s">
        <v>5376</v>
      </c>
      <c r="B3039" s="101">
        <v>1435.0</v>
      </c>
      <c r="C3039" s="13"/>
      <c r="D3039" s="13"/>
      <c r="E3039" s="13"/>
      <c r="F3039" s="13"/>
      <c r="G3039" s="102">
        <v>2.0</v>
      </c>
      <c r="H3039" s="101" t="s">
        <v>2942</v>
      </c>
      <c r="I3039" s="102">
        <v>14.2</v>
      </c>
      <c r="J3039" s="102">
        <v>17.47</v>
      </c>
      <c r="K3039" s="101" t="s">
        <v>2941</v>
      </c>
      <c r="L3039" s="102">
        <v>23.0</v>
      </c>
      <c r="M3039" s="13"/>
    </row>
    <row r="3040">
      <c r="A3040" s="101" t="s">
        <v>5377</v>
      </c>
      <c r="B3040" s="101">
        <v>42621.0</v>
      </c>
      <c r="C3040" s="13"/>
      <c r="D3040" s="13"/>
      <c r="E3040" s="13"/>
      <c r="F3040" s="13"/>
      <c r="G3040" s="102">
        <v>1.0</v>
      </c>
      <c r="H3040" s="101" t="s">
        <v>2940</v>
      </c>
      <c r="I3040" s="102">
        <v>29.6</v>
      </c>
      <c r="J3040" s="102">
        <v>36.41</v>
      </c>
      <c r="K3040" s="101" t="s">
        <v>2941</v>
      </c>
      <c r="L3040" s="102">
        <v>23.0</v>
      </c>
      <c r="M3040" s="13"/>
    </row>
    <row r="3041">
      <c r="A3041" s="101" t="s">
        <v>5377</v>
      </c>
      <c r="B3041" s="101">
        <v>42621.0</v>
      </c>
      <c r="C3041" s="13"/>
      <c r="D3041" s="13"/>
      <c r="E3041" s="13"/>
      <c r="F3041" s="13"/>
      <c r="G3041" s="102">
        <v>2.0</v>
      </c>
      <c r="H3041" s="101" t="s">
        <v>2942</v>
      </c>
      <c r="I3041" s="102">
        <v>29.6</v>
      </c>
      <c r="J3041" s="102">
        <v>36.41</v>
      </c>
      <c r="K3041" s="101" t="s">
        <v>2941</v>
      </c>
      <c r="L3041" s="102">
        <v>23.0</v>
      </c>
      <c r="M3041" s="13"/>
    </row>
    <row r="3042">
      <c r="A3042" s="101" t="s">
        <v>5378</v>
      </c>
      <c r="B3042" s="101">
        <v>1407.0</v>
      </c>
      <c r="C3042" s="13"/>
      <c r="D3042" s="13"/>
      <c r="E3042" s="13"/>
      <c r="F3042" s="13"/>
      <c r="G3042" s="102">
        <v>1.0</v>
      </c>
      <c r="H3042" s="101" t="s">
        <v>2940</v>
      </c>
      <c r="I3042" s="102">
        <v>23.58</v>
      </c>
      <c r="J3042" s="102">
        <v>29.0</v>
      </c>
      <c r="K3042" s="101" t="s">
        <v>2941</v>
      </c>
      <c r="L3042" s="102">
        <v>23.0</v>
      </c>
      <c r="M3042" s="13"/>
    </row>
    <row r="3043">
      <c r="A3043" s="101" t="s">
        <v>5378</v>
      </c>
      <c r="B3043" s="101">
        <v>1407.0</v>
      </c>
      <c r="C3043" s="13"/>
      <c r="D3043" s="13"/>
      <c r="E3043" s="13"/>
      <c r="F3043" s="13"/>
      <c r="G3043" s="102">
        <v>2.0</v>
      </c>
      <c r="H3043" s="101" t="s">
        <v>2942</v>
      </c>
      <c r="I3043" s="102">
        <v>23.6</v>
      </c>
      <c r="J3043" s="102">
        <v>29.03</v>
      </c>
      <c r="K3043" s="101" t="s">
        <v>2941</v>
      </c>
      <c r="L3043" s="102">
        <v>23.0</v>
      </c>
      <c r="M3043" s="13"/>
    </row>
    <row r="3044">
      <c r="A3044" s="101" t="s">
        <v>5379</v>
      </c>
      <c r="B3044" s="101">
        <v>42631.0</v>
      </c>
      <c r="C3044" s="13"/>
      <c r="D3044" s="13"/>
      <c r="E3044" s="13"/>
      <c r="F3044" s="13"/>
      <c r="G3044" s="102">
        <v>1.0</v>
      </c>
      <c r="H3044" s="101" t="s">
        <v>2940</v>
      </c>
      <c r="I3044" s="102">
        <v>21.71</v>
      </c>
      <c r="J3044" s="102">
        <v>26.7</v>
      </c>
      <c r="K3044" s="101" t="s">
        <v>2941</v>
      </c>
      <c r="L3044" s="102">
        <v>23.0</v>
      </c>
      <c r="M3044" s="13"/>
    </row>
    <row r="3045">
      <c r="A3045" s="101" t="s">
        <v>5379</v>
      </c>
      <c r="B3045" s="101">
        <v>42631.0</v>
      </c>
      <c r="C3045" s="13"/>
      <c r="D3045" s="13"/>
      <c r="E3045" s="13"/>
      <c r="F3045" s="13"/>
      <c r="G3045" s="102">
        <v>2.0</v>
      </c>
      <c r="H3045" s="101" t="s">
        <v>2942</v>
      </c>
      <c r="I3045" s="102">
        <v>17.4</v>
      </c>
      <c r="J3045" s="102">
        <v>21.4</v>
      </c>
      <c r="K3045" s="101" t="s">
        <v>2941</v>
      </c>
      <c r="L3045" s="102">
        <v>23.0</v>
      </c>
      <c r="M3045" s="13"/>
    </row>
    <row r="3046">
      <c r="A3046" s="101" t="s">
        <v>5380</v>
      </c>
      <c r="B3046" s="101" t="s">
        <v>5381</v>
      </c>
      <c r="D3046" s="13"/>
      <c r="E3046" s="13"/>
      <c r="F3046" s="13"/>
      <c r="G3046" s="102">
        <v>1.0</v>
      </c>
      <c r="H3046" s="101" t="s">
        <v>2940</v>
      </c>
      <c r="I3046" s="102">
        <v>22.76</v>
      </c>
      <c r="J3046" s="102">
        <v>28.0</v>
      </c>
      <c r="K3046" s="101" t="s">
        <v>2941</v>
      </c>
      <c r="L3046" s="102">
        <v>23.0</v>
      </c>
      <c r="M3046" s="13"/>
    </row>
    <row r="3047">
      <c r="A3047" s="101" t="s">
        <v>5380</v>
      </c>
      <c r="B3047" s="101" t="s">
        <v>5381</v>
      </c>
      <c r="D3047" s="13"/>
      <c r="E3047" s="13"/>
      <c r="F3047" s="13"/>
      <c r="G3047" s="102">
        <v>2.0</v>
      </c>
      <c r="H3047" s="101" t="s">
        <v>2942</v>
      </c>
      <c r="I3047" s="102">
        <v>22.4</v>
      </c>
      <c r="J3047" s="102">
        <v>27.55</v>
      </c>
      <c r="K3047" s="101" t="s">
        <v>2941</v>
      </c>
      <c r="L3047" s="102">
        <v>23.0</v>
      </c>
      <c r="M3047" s="13"/>
    </row>
    <row r="3048">
      <c r="A3048" s="101" t="s">
        <v>5382</v>
      </c>
      <c r="B3048" s="101" t="s">
        <v>5383</v>
      </c>
      <c r="D3048" s="13"/>
      <c r="E3048" s="13"/>
      <c r="F3048" s="13"/>
      <c r="G3048" s="102">
        <v>1.0</v>
      </c>
      <c r="H3048" s="101" t="s">
        <v>2940</v>
      </c>
      <c r="I3048" s="102">
        <v>26.99</v>
      </c>
      <c r="J3048" s="102">
        <v>33.2</v>
      </c>
      <c r="K3048" s="101" t="s">
        <v>2941</v>
      </c>
      <c r="L3048" s="102">
        <v>23.0</v>
      </c>
      <c r="M3048" s="13"/>
    </row>
    <row r="3049">
      <c r="A3049" s="101" t="s">
        <v>5382</v>
      </c>
      <c r="B3049" s="101" t="s">
        <v>5383</v>
      </c>
      <c r="D3049" s="13"/>
      <c r="E3049" s="13"/>
      <c r="F3049" s="13"/>
      <c r="G3049" s="102">
        <v>2.0</v>
      </c>
      <c r="H3049" s="101" t="s">
        <v>2942</v>
      </c>
      <c r="I3049" s="102">
        <v>21.6</v>
      </c>
      <c r="J3049" s="102">
        <v>26.57</v>
      </c>
      <c r="K3049" s="101" t="s">
        <v>2941</v>
      </c>
      <c r="L3049" s="102">
        <v>23.0</v>
      </c>
      <c r="M3049" s="13"/>
    </row>
    <row r="3050">
      <c r="A3050" s="101" t="s">
        <v>5384</v>
      </c>
      <c r="B3050" s="101">
        <v>1974.0</v>
      </c>
      <c r="C3050" s="13"/>
      <c r="D3050" s="13"/>
      <c r="E3050" s="13"/>
      <c r="F3050" s="13"/>
      <c r="G3050" s="102">
        <v>1.0</v>
      </c>
      <c r="H3050" s="101" t="s">
        <v>2940</v>
      </c>
      <c r="I3050" s="102">
        <v>60.49</v>
      </c>
      <c r="J3050" s="102">
        <v>74.4</v>
      </c>
      <c r="K3050" s="101" t="s">
        <v>2941</v>
      </c>
      <c r="L3050" s="102">
        <v>23.0</v>
      </c>
      <c r="M3050" s="13"/>
    </row>
    <row r="3051">
      <c r="A3051" s="101" t="s">
        <v>5384</v>
      </c>
      <c r="B3051" s="101">
        <v>1974.0</v>
      </c>
      <c r="C3051" s="13"/>
      <c r="D3051" s="13"/>
      <c r="E3051" s="13"/>
      <c r="F3051" s="13"/>
      <c r="G3051" s="102">
        <v>2.0</v>
      </c>
      <c r="H3051" s="101" t="s">
        <v>2942</v>
      </c>
      <c r="I3051" s="102">
        <v>60.5</v>
      </c>
      <c r="J3051" s="102">
        <v>74.42</v>
      </c>
      <c r="K3051" s="101" t="s">
        <v>2941</v>
      </c>
      <c r="L3051" s="102">
        <v>23.0</v>
      </c>
      <c r="M3051" s="13"/>
    </row>
    <row r="3052">
      <c r="A3052" s="101" t="s">
        <v>5385</v>
      </c>
      <c r="B3052" s="101" t="s">
        <v>5386</v>
      </c>
      <c r="D3052" s="13"/>
      <c r="E3052" s="13"/>
      <c r="F3052" s="13"/>
      <c r="G3052" s="102">
        <v>1.0</v>
      </c>
      <c r="H3052" s="101" t="s">
        <v>2940</v>
      </c>
      <c r="I3052" s="102">
        <v>4.07</v>
      </c>
      <c r="J3052" s="102">
        <v>5.01</v>
      </c>
      <c r="K3052" s="101" t="s">
        <v>2941</v>
      </c>
      <c r="L3052" s="102">
        <v>23.0</v>
      </c>
      <c r="M3052" s="13"/>
    </row>
    <row r="3053">
      <c r="A3053" s="101" t="s">
        <v>5385</v>
      </c>
      <c r="B3053" s="101" t="s">
        <v>5386</v>
      </c>
      <c r="D3053" s="13"/>
      <c r="E3053" s="13"/>
      <c r="F3053" s="13"/>
      <c r="G3053" s="102">
        <v>2.0</v>
      </c>
      <c r="H3053" s="101" t="s">
        <v>2942</v>
      </c>
      <c r="I3053" s="102">
        <v>3.99</v>
      </c>
      <c r="J3053" s="102">
        <v>4.91</v>
      </c>
      <c r="K3053" s="101" t="s">
        <v>2941</v>
      </c>
      <c r="L3053" s="102">
        <v>23.0</v>
      </c>
      <c r="M3053" s="13"/>
    </row>
    <row r="3054">
      <c r="A3054" s="101" t="s">
        <v>5387</v>
      </c>
      <c r="B3054" s="101" t="s">
        <v>5388</v>
      </c>
      <c r="D3054" s="13"/>
      <c r="E3054" s="13"/>
      <c r="F3054" s="13"/>
      <c r="G3054" s="102">
        <v>1.0</v>
      </c>
      <c r="H3054" s="101" t="s">
        <v>2940</v>
      </c>
      <c r="I3054" s="102">
        <v>12.2</v>
      </c>
      <c r="J3054" s="102">
        <v>15.01</v>
      </c>
      <c r="K3054" s="101" t="s">
        <v>2941</v>
      </c>
      <c r="L3054" s="102">
        <v>23.0</v>
      </c>
      <c r="M3054" s="13"/>
    </row>
    <row r="3055">
      <c r="A3055" s="101" t="s">
        <v>5387</v>
      </c>
      <c r="B3055" s="101" t="s">
        <v>5388</v>
      </c>
      <c r="D3055" s="13"/>
      <c r="E3055" s="13"/>
      <c r="F3055" s="13"/>
      <c r="G3055" s="102">
        <v>2.0</v>
      </c>
      <c r="H3055" s="101" t="s">
        <v>2942</v>
      </c>
      <c r="I3055" s="102">
        <v>10.6</v>
      </c>
      <c r="J3055" s="102">
        <v>13.04</v>
      </c>
      <c r="K3055" s="101" t="s">
        <v>2941</v>
      </c>
      <c r="L3055" s="102">
        <v>23.0</v>
      </c>
      <c r="M3055" s="13"/>
    </row>
    <row r="3056">
      <c r="A3056" s="101" t="s">
        <v>5389</v>
      </c>
      <c r="B3056" s="101">
        <v>24014.0</v>
      </c>
      <c r="C3056" s="13"/>
      <c r="D3056" s="13"/>
      <c r="E3056" s="13"/>
      <c r="F3056" s="13"/>
      <c r="G3056" s="102">
        <v>1.0</v>
      </c>
      <c r="H3056" s="101" t="s">
        <v>2940</v>
      </c>
      <c r="I3056" s="102">
        <v>5.37</v>
      </c>
      <c r="J3056" s="102">
        <v>6.61</v>
      </c>
      <c r="K3056" s="101" t="s">
        <v>2941</v>
      </c>
      <c r="L3056" s="102">
        <v>23.0</v>
      </c>
      <c r="M3056" s="13"/>
    </row>
    <row r="3057">
      <c r="A3057" s="101" t="s">
        <v>5389</v>
      </c>
      <c r="B3057" s="101">
        <v>24014.0</v>
      </c>
      <c r="C3057" s="13"/>
      <c r="D3057" s="13"/>
      <c r="E3057" s="13"/>
      <c r="F3057" s="13"/>
      <c r="G3057" s="102">
        <v>2.0</v>
      </c>
      <c r="H3057" s="101" t="s">
        <v>2942</v>
      </c>
      <c r="I3057" s="102">
        <v>4.3</v>
      </c>
      <c r="J3057" s="102">
        <v>5.29</v>
      </c>
      <c r="K3057" s="101" t="s">
        <v>2941</v>
      </c>
      <c r="L3057" s="102">
        <v>23.0</v>
      </c>
      <c r="M3057" s="13"/>
    </row>
    <row r="3058">
      <c r="A3058" s="101" t="s">
        <v>5390</v>
      </c>
      <c r="B3058" s="101">
        <v>24111.0</v>
      </c>
      <c r="C3058" s="13"/>
      <c r="D3058" s="13"/>
      <c r="E3058" s="13"/>
      <c r="F3058" s="13"/>
      <c r="G3058" s="102">
        <v>1.0</v>
      </c>
      <c r="H3058" s="101" t="s">
        <v>2940</v>
      </c>
      <c r="I3058" s="102">
        <v>5.37</v>
      </c>
      <c r="J3058" s="102">
        <v>6.61</v>
      </c>
      <c r="K3058" s="101" t="s">
        <v>2941</v>
      </c>
      <c r="L3058" s="102">
        <v>23.0</v>
      </c>
      <c r="M3058" s="13"/>
    </row>
    <row r="3059">
      <c r="A3059" s="101" t="s">
        <v>5390</v>
      </c>
      <c r="B3059" s="101">
        <v>24111.0</v>
      </c>
      <c r="C3059" s="13"/>
      <c r="D3059" s="13"/>
      <c r="E3059" s="13"/>
      <c r="F3059" s="13"/>
      <c r="G3059" s="102">
        <v>2.0</v>
      </c>
      <c r="H3059" s="101" t="s">
        <v>2942</v>
      </c>
      <c r="I3059" s="102">
        <v>4.3</v>
      </c>
      <c r="J3059" s="102">
        <v>5.29</v>
      </c>
      <c r="K3059" s="101" t="s">
        <v>2941</v>
      </c>
      <c r="L3059" s="102">
        <v>23.0</v>
      </c>
      <c r="M3059" s="13"/>
    </row>
    <row r="3060">
      <c r="A3060" s="101" t="s">
        <v>5391</v>
      </c>
      <c r="B3060" s="101">
        <v>24003.0</v>
      </c>
      <c r="C3060" s="13"/>
      <c r="D3060" s="13"/>
      <c r="E3060" s="13"/>
      <c r="F3060" s="13"/>
      <c r="G3060" s="102">
        <v>1.0</v>
      </c>
      <c r="H3060" s="101" t="s">
        <v>2940</v>
      </c>
      <c r="I3060" s="102">
        <v>1.38</v>
      </c>
      <c r="J3060" s="102">
        <v>1.7</v>
      </c>
      <c r="K3060" s="101" t="s">
        <v>2941</v>
      </c>
      <c r="L3060" s="102">
        <v>23.0</v>
      </c>
      <c r="M3060" s="13"/>
    </row>
    <row r="3061">
      <c r="A3061" s="101" t="s">
        <v>5391</v>
      </c>
      <c r="B3061" s="101">
        <v>24003.0</v>
      </c>
      <c r="C3061" s="13"/>
      <c r="D3061" s="13"/>
      <c r="E3061" s="13"/>
      <c r="F3061" s="13"/>
      <c r="G3061" s="102">
        <v>2.0</v>
      </c>
      <c r="H3061" s="101" t="s">
        <v>2942</v>
      </c>
      <c r="I3061" s="102">
        <v>1.1</v>
      </c>
      <c r="J3061" s="102">
        <v>1.35</v>
      </c>
      <c r="K3061" s="101" t="s">
        <v>2941</v>
      </c>
      <c r="L3061" s="102">
        <v>23.0</v>
      </c>
      <c r="M3061" s="13"/>
    </row>
    <row r="3062">
      <c r="A3062" s="101" t="s">
        <v>5392</v>
      </c>
      <c r="B3062" s="101">
        <v>42263.0</v>
      </c>
      <c r="C3062" s="13"/>
      <c r="D3062" s="13"/>
      <c r="E3062" s="13"/>
      <c r="F3062" s="13"/>
      <c r="G3062" s="102">
        <v>1.0</v>
      </c>
      <c r="H3062" s="101" t="s">
        <v>2940</v>
      </c>
      <c r="I3062" s="102">
        <v>43.9</v>
      </c>
      <c r="J3062" s="102">
        <v>54.0</v>
      </c>
      <c r="K3062" s="101" t="s">
        <v>2941</v>
      </c>
      <c r="L3062" s="102">
        <v>23.0</v>
      </c>
      <c r="M3062" s="13"/>
    </row>
    <row r="3063">
      <c r="A3063" s="101" t="s">
        <v>5392</v>
      </c>
      <c r="B3063" s="101">
        <v>42263.0</v>
      </c>
      <c r="C3063" s="13"/>
      <c r="D3063" s="13"/>
      <c r="E3063" s="13"/>
      <c r="F3063" s="13"/>
      <c r="G3063" s="102">
        <v>2.0</v>
      </c>
      <c r="H3063" s="101" t="s">
        <v>2942</v>
      </c>
      <c r="I3063" s="102">
        <v>43.9</v>
      </c>
      <c r="J3063" s="102">
        <v>54.0</v>
      </c>
      <c r="K3063" s="101" t="s">
        <v>2941</v>
      </c>
      <c r="L3063" s="102">
        <v>23.0</v>
      </c>
      <c r="M3063" s="13"/>
    </row>
    <row r="3064">
      <c r="A3064" s="101" t="s">
        <v>5393</v>
      </c>
      <c r="B3064" s="101">
        <v>459.0</v>
      </c>
      <c r="C3064" s="13"/>
      <c r="D3064" s="13"/>
      <c r="E3064" s="13"/>
      <c r="F3064" s="13"/>
      <c r="G3064" s="102">
        <v>1.0</v>
      </c>
      <c r="H3064" s="101" t="s">
        <v>2940</v>
      </c>
      <c r="I3064" s="102">
        <v>28.46</v>
      </c>
      <c r="J3064" s="102">
        <v>35.01</v>
      </c>
      <c r="K3064" s="101" t="s">
        <v>2941</v>
      </c>
      <c r="L3064" s="102">
        <v>23.0</v>
      </c>
      <c r="M3064" s="13"/>
    </row>
    <row r="3065">
      <c r="A3065" s="101" t="s">
        <v>5393</v>
      </c>
      <c r="B3065" s="101">
        <v>459.0</v>
      </c>
      <c r="C3065" s="13"/>
      <c r="D3065" s="13"/>
      <c r="E3065" s="13"/>
      <c r="F3065" s="13"/>
      <c r="G3065" s="102">
        <v>2.0</v>
      </c>
      <c r="H3065" s="101" t="s">
        <v>2942</v>
      </c>
      <c r="I3065" s="102">
        <v>27.24</v>
      </c>
      <c r="J3065" s="102">
        <v>33.51</v>
      </c>
      <c r="K3065" s="101" t="s">
        <v>2941</v>
      </c>
      <c r="L3065" s="102">
        <v>23.0</v>
      </c>
      <c r="M3065" s="13"/>
    </row>
    <row r="3066">
      <c r="A3066" s="101" t="s">
        <v>5394</v>
      </c>
      <c r="B3066" s="101">
        <v>458.0</v>
      </c>
      <c r="C3066" s="13"/>
      <c r="D3066" s="13"/>
      <c r="E3066" s="13"/>
      <c r="F3066" s="13"/>
      <c r="G3066" s="102">
        <v>1.0</v>
      </c>
      <c r="H3066" s="101" t="s">
        <v>2940</v>
      </c>
      <c r="I3066" s="102">
        <v>23.9</v>
      </c>
      <c r="J3066" s="102">
        <v>29.4</v>
      </c>
      <c r="K3066" s="101" t="s">
        <v>2941</v>
      </c>
      <c r="L3066" s="102">
        <v>23.0</v>
      </c>
      <c r="M3066" s="13"/>
    </row>
    <row r="3067">
      <c r="A3067" s="101" t="s">
        <v>5394</v>
      </c>
      <c r="B3067" s="101">
        <v>458.0</v>
      </c>
      <c r="C3067" s="13"/>
      <c r="D3067" s="13"/>
      <c r="E3067" s="13"/>
      <c r="F3067" s="13"/>
      <c r="G3067" s="102">
        <v>2.0</v>
      </c>
      <c r="H3067" s="101" t="s">
        <v>2942</v>
      </c>
      <c r="I3067" s="102">
        <v>23.9</v>
      </c>
      <c r="J3067" s="102">
        <v>29.4</v>
      </c>
      <c r="K3067" s="101" t="s">
        <v>2941</v>
      </c>
      <c r="L3067" s="102">
        <v>23.0</v>
      </c>
      <c r="M3067" s="13"/>
    </row>
    <row r="3068">
      <c r="A3068" s="101" t="s">
        <v>5395</v>
      </c>
      <c r="B3068" s="101">
        <v>42213.0</v>
      </c>
      <c r="C3068" s="13"/>
      <c r="D3068" s="13"/>
      <c r="E3068" s="13"/>
      <c r="F3068" s="13"/>
      <c r="G3068" s="102">
        <v>1.0</v>
      </c>
      <c r="H3068" s="101" t="s">
        <v>2940</v>
      </c>
      <c r="I3068" s="102">
        <v>11.54</v>
      </c>
      <c r="J3068" s="102">
        <v>14.19</v>
      </c>
      <c r="K3068" s="101" t="s">
        <v>2941</v>
      </c>
      <c r="L3068" s="102">
        <v>23.0</v>
      </c>
      <c r="M3068" s="13"/>
    </row>
    <row r="3069">
      <c r="A3069" s="101" t="s">
        <v>5395</v>
      </c>
      <c r="B3069" s="101">
        <v>42213.0</v>
      </c>
      <c r="C3069" s="13"/>
      <c r="D3069" s="13"/>
      <c r="E3069" s="13"/>
      <c r="F3069" s="13"/>
      <c r="G3069" s="102">
        <v>2.0</v>
      </c>
      <c r="H3069" s="101" t="s">
        <v>2942</v>
      </c>
      <c r="I3069" s="102">
        <v>9.2</v>
      </c>
      <c r="J3069" s="102">
        <v>11.32</v>
      </c>
      <c r="K3069" s="101" t="s">
        <v>2941</v>
      </c>
      <c r="L3069" s="102">
        <v>23.0</v>
      </c>
      <c r="M3069" s="13"/>
    </row>
    <row r="3070">
      <c r="A3070" s="101" t="s">
        <v>5396</v>
      </c>
      <c r="B3070" s="101">
        <v>42214.0</v>
      </c>
      <c r="C3070" s="13"/>
      <c r="D3070" s="13"/>
      <c r="E3070" s="13"/>
      <c r="F3070" s="13"/>
      <c r="G3070" s="102">
        <v>1.0</v>
      </c>
      <c r="H3070" s="101" t="s">
        <v>2940</v>
      </c>
      <c r="I3070" s="102">
        <v>16.8</v>
      </c>
      <c r="J3070" s="102">
        <v>20.66</v>
      </c>
      <c r="K3070" s="101" t="s">
        <v>2941</v>
      </c>
      <c r="L3070" s="102">
        <v>23.0</v>
      </c>
      <c r="M3070" s="13"/>
    </row>
    <row r="3071">
      <c r="A3071" s="101" t="s">
        <v>5396</v>
      </c>
      <c r="B3071" s="101">
        <v>42214.0</v>
      </c>
      <c r="C3071" s="13"/>
      <c r="D3071" s="13"/>
      <c r="E3071" s="13"/>
      <c r="F3071" s="13"/>
      <c r="G3071" s="102">
        <v>2.0</v>
      </c>
      <c r="H3071" s="101" t="s">
        <v>2942</v>
      </c>
      <c r="I3071" s="102">
        <v>16.8</v>
      </c>
      <c r="J3071" s="102">
        <v>20.66</v>
      </c>
      <c r="K3071" s="101" t="s">
        <v>2941</v>
      </c>
      <c r="L3071" s="102">
        <v>23.0</v>
      </c>
      <c r="M3071" s="13"/>
    </row>
    <row r="3072">
      <c r="A3072" s="101" t="s">
        <v>5397</v>
      </c>
      <c r="B3072" s="101">
        <v>1009.0</v>
      </c>
      <c r="C3072" s="13"/>
      <c r="D3072" s="13"/>
      <c r="E3072" s="13"/>
      <c r="F3072" s="13"/>
      <c r="G3072" s="102">
        <v>1.0</v>
      </c>
      <c r="H3072" s="101" t="s">
        <v>2940</v>
      </c>
      <c r="I3072" s="102">
        <v>22.93</v>
      </c>
      <c r="J3072" s="102">
        <v>28.2</v>
      </c>
      <c r="K3072" s="101" t="s">
        <v>2941</v>
      </c>
      <c r="L3072" s="102">
        <v>23.0</v>
      </c>
      <c r="M3072" s="13"/>
    </row>
    <row r="3073">
      <c r="A3073" s="101" t="s">
        <v>5397</v>
      </c>
      <c r="B3073" s="101">
        <v>1009.0</v>
      </c>
      <c r="C3073" s="13"/>
      <c r="D3073" s="13"/>
      <c r="E3073" s="13"/>
      <c r="F3073" s="13"/>
      <c r="G3073" s="102">
        <v>2.0</v>
      </c>
      <c r="H3073" s="101" t="s">
        <v>2942</v>
      </c>
      <c r="I3073" s="102">
        <v>22.9</v>
      </c>
      <c r="J3073" s="102">
        <v>28.17</v>
      </c>
      <c r="K3073" s="101" t="s">
        <v>2941</v>
      </c>
      <c r="L3073" s="102">
        <v>23.0</v>
      </c>
      <c r="M3073" s="13"/>
    </row>
    <row r="3074">
      <c r="A3074" s="101" t="s">
        <v>5398</v>
      </c>
      <c r="B3074" s="101">
        <v>1087.0</v>
      </c>
      <c r="C3074" s="13"/>
      <c r="D3074" s="13"/>
      <c r="E3074" s="13"/>
      <c r="F3074" s="13"/>
      <c r="G3074" s="102">
        <v>1.0</v>
      </c>
      <c r="H3074" s="101" t="s">
        <v>2940</v>
      </c>
      <c r="I3074" s="102">
        <v>29.27</v>
      </c>
      <c r="J3074" s="102">
        <v>36.0</v>
      </c>
      <c r="K3074" s="101" t="s">
        <v>2941</v>
      </c>
      <c r="L3074" s="102">
        <v>23.0</v>
      </c>
      <c r="M3074" s="13"/>
    </row>
    <row r="3075">
      <c r="A3075" s="101" t="s">
        <v>5398</v>
      </c>
      <c r="B3075" s="101">
        <v>1087.0</v>
      </c>
      <c r="C3075" s="13"/>
      <c r="D3075" s="13"/>
      <c r="E3075" s="13"/>
      <c r="F3075" s="13"/>
      <c r="G3075" s="102">
        <v>2.0</v>
      </c>
      <c r="H3075" s="101" t="s">
        <v>2942</v>
      </c>
      <c r="I3075" s="102">
        <v>28.8</v>
      </c>
      <c r="J3075" s="102">
        <v>35.42</v>
      </c>
      <c r="K3075" s="101" t="s">
        <v>2941</v>
      </c>
      <c r="L3075" s="102">
        <v>23.0</v>
      </c>
      <c r="M3075" s="13"/>
    </row>
    <row r="3076">
      <c r="A3076" s="101" t="s">
        <v>5399</v>
      </c>
      <c r="B3076" s="101">
        <v>1008.0</v>
      </c>
      <c r="C3076" s="13"/>
      <c r="D3076" s="13"/>
      <c r="E3076" s="13"/>
      <c r="F3076" s="13"/>
      <c r="G3076" s="102">
        <v>1.0</v>
      </c>
      <c r="H3076" s="101" t="s">
        <v>2940</v>
      </c>
      <c r="I3076" s="102">
        <v>38.8</v>
      </c>
      <c r="J3076" s="102">
        <v>47.72</v>
      </c>
      <c r="K3076" s="101" t="s">
        <v>2941</v>
      </c>
      <c r="L3076" s="102">
        <v>23.0</v>
      </c>
      <c r="M3076" s="13"/>
    </row>
    <row r="3077">
      <c r="A3077" s="101" t="s">
        <v>5399</v>
      </c>
      <c r="B3077" s="101">
        <v>1008.0</v>
      </c>
      <c r="C3077" s="13"/>
      <c r="D3077" s="13"/>
      <c r="E3077" s="13"/>
      <c r="F3077" s="13"/>
      <c r="G3077" s="102">
        <v>2.0</v>
      </c>
      <c r="H3077" s="101" t="s">
        <v>2942</v>
      </c>
      <c r="I3077" s="102">
        <v>38.8</v>
      </c>
      <c r="J3077" s="102">
        <v>47.72</v>
      </c>
      <c r="K3077" s="101" t="s">
        <v>2941</v>
      </c>
      <c r="L3077" s="102">
        <v>23.0</v>
      </c>
      <c r="M3077" s="13"/>
    </row>
    <row r="3078">
      <c r="A3078" s="101" t="s">
        <v>5400</v>
      </c>
      <c r="B3078" s="101">
        <v>644.0</v>
      </c>
      <c r="C3078" s="13"/>
      <c r="D3078" s="13"/>
      <c r="E3078" s="13"/>
      <c r="F3078" s="13"/>
      <c r="G3078" s="102">
        <v>1.0</v>
      </c>
      <c r="H3078" s="101" t="s">
        <v>2940</v>
      </c>
      <c r="I3078" s="102">
        <v>17.89</v>
      </c>
      <c r="J3078" s="102">
        <v>22.0</v>
      </c>
      <c r="K3078" s="101" t="s">
        <v>2941</v>
      </c>
      <c r="L3078" s="102">
        <v>23.0</v>
      </c>
      <c r="M3078" s="13"/>
    </row>
    <row r="3079">
      <c r="A3079" s="101" t="s">
        <v>5400</v>
      </c>
      <c r="B3079" s="101">
        <v>644.0</v>
      </c>
      <c r="C3079" s="13"/>
      <c r="D3079" s="13"/>
      <c r="E3079" s="13"/>
      <c r="F3079" s="13"/>
      <c r="G3079" s="102">
        <v>2.0</v>
      </c>
      <c r="H3079" s="101" t="s">
        <v>2942</v>
      </c>
      <c r="I3079" s="102">
        <v>17.71</v>
      </c>
      <c r="J3079" s="102">
        <v>21.78</v>
      </c>
      <c r="K3079" s="101" t="s">
        <v>2941</v>
      </c>
      <c r="L3079" s="102">
        <v>23.0</v>
      </c>
      <c r="M3079" s="13"/>
    </row>
    <row r="3080">
      <c r="A3080" s="101" t="s">
        <v>5401</v>
      </c>
      <c r="B3080" s="101">
        <v>42242.0</v>
      </c>
      <c r="C3080" s="13"/>
      <c r="D3080" s="13"/>
      <c r="E3080" s="13"/>
      <c r="F3080" s="13"/>
      <c r="G3080" s="102">
        <v>1.0</v>
      </c>
      <c r="H3080" s="101" t="s">
        <v>2940</v>
      </c>
      <c r="I3080" s="102">
        <v>17.48</v>
      </c>
      <c r="J3080" s="102">
        <v>21.5</v>
      </c>
      <c r="K3080" s="101" t="s">
        <v>2941</v>
      </c>
      <c r="L3080" s="102">
        <v>23.0</v>
      </c>
      <c r="M3080" s="13"/>
    </row>
    <row r="3081">
      <c r="A3081" s="101" t="s">
        <v>5401</v>
      </c>
      <c r="B3081" s="101">
        <v>42242.0</v>
      </c>
      <c r="C3081" s="13"/>
      <c r="D3081" s="13"/>
      <c r="E3081" s="13"/>
      <c r="F3081" s="13"/>
      <c r="G3081" s="102">
        <v>2.0</v>
      </c>
      <c r="H3081" s="101" t="s">
        <v>2942</v>
      </c>
      <c r="I3081" s="102">
        <v>14.0</v>
      </c>
      <c r="J3081" s="102">
        <v>17.22</v>
      </c>
      <c r="K3081" s="101" t="s">
        <v>2941</v>
      </c>
      <c r="L3081" s="102">
        <v>23.0</v>
      </c>
      <c r="M3081" s="13"/>
    </row>
    <row r="3082">
      <c r="A3082" s="101" t="s">
        <v>5402</v>
      </c>
      <c r="B3082" s="101">
        <v>42259.0</v>
      </c>
      <c r="C3082" s="13"/>
      <c r="D3082" s="13"/>
      <c r="E3082" s="13"/>
      <c r="F3082" s="13"/>
      <c r="G3082" s="102">
        <v>1.0</v>
      </c>
      <c r="H3082" s="101" t="s">
        <v>2940</v>
      </c>
      <c r="I3082" s="102">
        <v>40.6</v>
      </c>
      <c r="J3082" s="102">
        <v>49.94</v>
      </c>
      <c r="K3082" s="101" t="s">
        <v>2941</v>
      </c>
      <c r="L3082" s="102">
        <v>23.0</v>
      </c>
      <c r="M3082" s="13"/>
    </row>
    <row r="3083">
      <c r="A3083" s="101" t="s">
        <v>5402</v>
      </c>
      <c r="B3083" s="101">
        <v>42259.0</v>
      </c>
      <c r="C3083" s="13"/>
      <c r="D3083" s="13"/>
      <c r="E3083" s="13"/>
      <c r="F3083" s="13"/>
      <c r="G3083" s="102">
        <v>2.0</v>
      </c>
      <c r="H3083" s="101" t="s">
        <v>2942</v>
      </c>
      <c r="I3083" s="102">
        <v>40.6</v>
      </c>
      <c r="J3083" s="102">
        <v>49.94</v>
      </c>
      <c r="K3083" s="101" t="s">
        <v>2941</v>
      </c>
      <c r="L3083" s="102">
        <v>23.0</v>
      </c>
      <c r="M3083" s="13"/>
    </row>
    <row r="3084">
      <c r="A3084" s="101" t="s">
        <v>5403</v>
      </c>
      <c r="B3084" s="101">
        <v>42258.0</v>
      </c>
      <c r="C3084" s="13"/>
      <c r="D3084" s="13"/>
      <c r="E3084" s="13"/>
      <c r="F3084" s="13"/>
      <c r="G3084" s="102">
        <v>1.0</v>
      </c>
      <c r="H3084" s="101" t="s">
        <v>2940</v>
      </c>
      <c r="I3084" s="102">
        <v>40.5</v>
      </c>
      <c r="J3084" s="102">
        <v>49.82</v>
      </c>
      <c r="K3084" s="101" t="s">
        <v>2941</v>
      </c>
      <c r="L3084" s="102">
        <v>23.0</v>
      </c>
      <c r="M3084" s="13"/>
    </row>
    <row r="3085">
      <c r="A3085" s="101" t="s">
        <v>5403</v>
      </c>
      <c r="B3085" s="101">
        <v>42258.0</v>
      </c>
      <c r="C3085" s="13"/>
      <c r="D3085" s="13"/>
      <c r="E3085" s="13"/>
      <c r="F3085" s="13"/>
      <c r="G3085" s="102">
        <v>2.0</v>
      </c>
      <c r="H3085" s="101" t="s">
        <v>2942</v>
      </c>
      <c r="I3085" s="102">
        <v>40.5</v>
      </c>
      <c r="J3085" s="102">
        <v>49.82</v>
      </c>
      <c r="K3085" s="101" t="s">
        <v>2941</v>
      </c>
      <c r="L3085" s="102">
        <v>23.0</v>
      </c>
      <c r="M3085" s="13"/>
    </row>
    <row r="3086">
      <c r="A3086" s="101" t="s">
        <v>5404</v>
      </c>
      <c r="B3086" s="101">
        <v>42257.0</v>
      </c>
      <c r="C3086" s="13"/>
      <c r="D3086" s="13"/>
      <c r="E3086" s="13"/>
      <c r="F3086" s="13"/>
      <c r="G3086" s="102">
        <v>1.0</v>
      </c>
      <c r="H3086" s="101" t="s">
        <v>2940</v>
      </c>
      <c r="I3086" s="102">
        <v>35.5</v>
      </c>
      <c r="J3086" s="102">
        <v>43.67</v>
      </c>
      <c r="K3086" s="101" t="s">
        <v>2941</v>
      </c>
      <c r="L3086" s="102">
        <v>23.0</v>
      </c>
      <c r="M3086" s="13"/>
    </row>
    <row r="3087">
      <c r="A3087" s="101" t="s">
        <v>5404</v>
      </c>
      <c r="B3087" s="101">
        <v>42257.0</v>
      </c>
      <c r="C3087" s="13"/>
      <c r="D3087" s="13"/>
      <c r="E3087" s="13"/>
      <c r="F3087" s="13"/>
      <c r="G3087" s="102">
        <v>2.0</v>
      </c>
      <c r="H3087" s="101" t="s">
        <v>2942</v>
      </c>
      <c r="I3087" s="102">
        <v>35.5</v>
      </c>
      <c r="J3087" s="102">
        <v>43.67</v>
      </c>
      <c r="K3087" s="101" t="s">
        <v>2941</v>
      </c>
      <c r="L3087" s="102">
        <v>23.0</v>
      </c>
      <c r="M3087" s="13"/>
    </row>
    <row r="3088">
      <c r="A3088" s="101" t="s">
        <v>5405</v>
      </c>
      <c r="B3088" s="101">
        <v>42256.0</v>
      </c>
      <c r="C3088" s="13"/>
      <c r="D3088" s="13"/>
      <c r="E3088" s="13"/>
      <c r="F3088" s="13"/>
      <c r="G3088" s="102">
        <v>1.0</v>
      </c>
      <c r="H3088" s="101" t="s">
        <v>2940</v>
      </c>
      <c r="I3088" s="102">
        <v>33.98</v>
      </c>
      <c r="J3088" s="102">
        <v>41.8</v>
      </c>
      <c r="K3088" s="101" t="s">
        <v>2941</v>
      </c>
      <c r="L3088" s="102">
        <v>23.0</v>
      </c>
      <c r="M3088" s="13"/>
    </row>
    <row r="3089">
      <c r="A3089" s="101" t="s">
        <v>5405</v>
      </c>
      <c r="B3089" s="101">
        <v>1660.0</v>
      </c>
      <c r="C3089" s="13"/>
      <c r="D3089" s="13"/>
      <c r="E3089" s="13"/>
      <c r="F3089" s="13"/>
      <c r="G3089" s="102">
        <v>1.0</v>
      </c>
      <c r="H3089" s="101" t="s">
        <v>2940</v>
      </c>
      <c r="I3089" s="102">
        <v>37.8</v>
      </c>
      <c r="J3089" s="102">
        <v>46.49</v>
      </c>
      <c r="K3089" s="101" t="s">
        <v>2941</v>
      </c>
      <c r="L3089" s="102">
        <v>23.0</v>
      </c>
      <c r="M3089" s="13"/>
    </row>
    <row r="3090">
      <c r="A3090" s="101" t="s">
        <v>5405</v>
      </c>
      <c r="B3090" s="101">
        <v>1660.0</v>
      </c>
      <c r="C3090" s="13"/>
      <c r="D3090" s="13"/>
      <c r="E3090" s="13"/>
      <c r="F3090" s="13"/>
      <c r="G3090" s="102">
        <v>2.0</v>
      </c>
      <c r="H3090" s="101" t="s">
        <v>2942</v>
      </c>
      <c r="I3090" s="102">
        <v>37.8</v>
      </c>
      <c r="J3090" s="102">
        <v>46.49</v>
      </c>
      <c r="K3090" s="101" t="s">
        <v>2941</v>
      </c>
      <c r="L3090" s="102">
        <v>23.0</v>
      </c>
      <c r="M3090" s="13"/>
    </row>
    <row r="3091">
      <c r="A3091" s="101" t="s">
        <v>5405</v>
      </c>
      <c r="B3091" s="101">
        <v>42256.0</v>
      </c>
      <c r="C3091" s="13"/>
      <c r="D3091" s="13"/>
      <c r="E3091" s="13"/>
      <c r="F3091" s="13"/>
      <c r="G3091" s="102">
        <v>2.0</v>
      </c>
      <c r="H3091" s="101" t="s">
        <v>2942</v>
      </c>
      <c r="I3091" s="102">
        <v>27.2</v>
      </c>
      <c r="J3091" s="102">
        <v>33.46</v>
      </c>
      <c r="K3091" s="101" t="s">
        <v>2941</v>
      </c>
      <c r="L3091" s="102">
        <v>23.0</v>
      </c>
      <c r="M3091" s="13"/>
    </row>
    <row r="3092">
      <c r="A3092" s="101" t="s">
        <v>5406</v>
      </c>
      <c r="B3092" s="101">
        <v>42253.0</v>
      </c>
      <c r="C3092" s="13"/>
      <c r="D3092" s="13"/>
      <c r="E3092" s="13"/>
      <c r="F3092" s="13"/>
      <c r="G3092" s="102">
        <v>1.0</v>
      </c>
      <c r="H3092" s="101" t="s">
        <v>2940</v>
      </c>
      <c r="I3092" s="102">
        <v>36.9</v>
      </c>
      <c r="J3092" s="102">
        <v>45.39</v>
      </c>
      <c r="K3092" s="101" t="s">
        <v>2941</v>
      </c>
      <c r="L3092" s="102">
        <v>23.0</v>
      </c>
      <c r="M3092" s="13"/>
    </row>
    <row r="3093">
      <c r="A3093" s="101" t="s">
        <v>5406</v>
      </c>
      <c r="B3093" s="101">
        <v>42253.0</v>
      </c>
      <c r="C3093" s="13"/>
      <c r="D3093" s="13"/>
      <c r="E3093" s="13"/>
      <c r="F3093" s="13"/>
      <c r="G3093" s="102">
        <v>2.0</v>
      </c>
      <c r="H3093" s="101" t="s">
        <v>2942</v>
      </c>
      <c r="I3093" s="102">
        <v>36.9</v>
      </c>
      <c r="J3093" s="102">
        <v>45.39</v>
      </c>
      <c r="K3093" s="101" t="s">
        <v>2941</v>
      </c>
      <c r="L3093" s="102">
        <v>23.0</v>
      </c>
      <c r="M3093" s="13"/>
    </row>
    <row r="3094">
      <c r="A3094" s="101" t="s">
        <v>5407</v>
      </c>
      <c r="B3094" s="101">
        <v>42252.0</v>
      </c>
      <c r="C3094" s="13"/>
      <c r="D3094" s="13"/>
      <c r="E3094" s="13"/>
      <c r="F3094" s="13"/>
      <c r="G3094" s="102">
        <v>1.0</v>
      </c>
      <c r="H3094" s="101" t="s">
        <v>2940</v>
      </c>
      <c r="I3094" s="102">
        <v>36.7</v>
      </c>
      <c r="J3094" s="102">
        <v>45.14</v>
      </c>
      <c r="K3094" s="101" t="s">
        <v>2941</v>
      </c>
      <c r="L3094" s="102">
        <v>23.0</v>
      </c>
      <c r="M3094" s="13"/>
    </row>
    <row r="3095">
      <c r="A3095" s="101" t="s">
        <v>5407</v>
      </c>
      <c r="B3095" s="101">
        <v>42252.0</v>
      </c>
      <c r="C3095" s="13"/>
      <c r="D3095" s="13"/>
      <c r="E3095" s="13"/>
      <c r="F3095" s="13"/>
      <c r="G3095" s="102">
        <v>2.0</v>
      </c>
      <c r="H3095" s="101" t="s">
        <v>2942</v>
      </c>
      <c r="I3095" s="102">
        <v>36.7</v>
      </c>
      <c r="J3095" s="102">
        <v>45.14</v>
      </c>
      <c r="K3095" s="101" t="s">
        <v>2941</v>
      </c>
      <c r="L3095" s="102">
        <v>23.0</v>
      </c>
      <c r="M3095" s="13"/>
    </row>
    <row r="3096">
      <c r="A3096" s="101" t="s">
        <v>5408</v>
      </c>
      <c r="B3096" s="101">
        <v>42250.0</v>
      </c>
      <c r="C3096" s="13"/>
      <c r="D3096" s="13"/>
      <c r="E3096" s="13"/>
      <c r="F3096" s="13"/>
      <c r="G3096" s="102">
        <v>1.0</v>
      </c>
      <c r="H3096" s="101" t="s">
        <v>2940</v>
      </c>
      <c r="I3096" s="102">
        <v>34.2</v>
      </c>
      <c r="J3096" s="102">
        <v>42.07</v>
      </c>
      <c r="K3096" s="101" t="s">
        <v>2941</v>
      </c>
      <c r="L3096" s="102">
        <v>23.0</v>
      </c>
      <c r="M3096" s="13"/>
    </row>
    <row r="3097">
      <c r="A3097" s="101" t="s">
        <v>5408</v>
      </c>
      <c r="B3097" s="101">
        <v>42250.0</v>
      </c>
      <c r="C3097" s="13"/>
      <c r="D3097" s="13"/>
      <c r="E3097" s="13"/>
      <c r="F3097" s="13"/>
      <c r="G3097" s="102">
        <v>2.0</v>
      </c>
      <c r="H3097" s="101" t="s">
        <v>2942</v>
      </c>
      <c r="I3097" s="102">
        <v>34.2</v>
      </c>
      <c r="J3097" s="102">
        <v>42.07</v>
      </c>
      <c r="K3097" s="101" t="s">
        <v>2941</v>
      </c>
      <c r="L3097" s="102">
        <v>23.0</v>
      </c>
      <c r="M3097" s="13"/>
    </row>
    <row r="3098">
      <c r="A3098" s="101" t="s">
        <v>5409</v>
      </c>
      <c r="B3098" s="101">
        <v>648.0</v>
      </c>
      <c r="C3098" s="13"/>
      <c r="D3098" s="13"/>
      <c r="E3098" s="13"/>
      <c r="F3098" s="13"/>
      <c r="G3098" s="102">
        <v>1.0</v>
      </c>
      <c r="H3098" s="101" t="s">
        <v>2940</v>
      </c>
      <c r="I3098" s="102">
        <v>18.7</v>
      </c>
      <c r="J3098" s="102">
        <v>23.0</v>
      </c>
      <c r="K3098" s="101" t="s">
        <v>2941</v>
      </c>
      <c r="L3098" s="102">
        <v>23.0</v>
      </c>
      <c r="M3098" s="13"/>
    </row>
    <row r="3099">
      <c r="A3099" s="101" t="s">
        <v>5409</v>
      </c>
      <c r="B3099" s="101">
        <v>648.0</v>
      </c>
      <c r="C3099" s="13"/>
      <c r="D3099" s="13"/>
      <c r="E3099" s="13"/>
      <c r="F3099" s="13"/>
      <c r="G3099" s="102">
        <v>2.0</v>
      </c>
      <c r="H3099" s="101" t="s">
        <v>2942</v>
      </c>
      <c r="I3099" s="102">
        <v>18.74</v>
      </c>
      <c r="J3099" s="102">
        <v>23.05</v>
      </c>
      <c r="K3099" s="101" t="s">
        <v>2941</v>
      </c>
      <c r="L3099" s="102">
        <v>23.0</v>
      </c>
      <c r="M3099" s="13"/>
    </row>
    <row r="3100">
      <c r="A3100" s="101" t="s">
        <v>5410</v>
      </c>
      <c r="B3100" s="101">
        <v>650.0</v>
      </c>
      <c r="C3100" s="13"/>
      <c r="D3100" s="13"/>
      <c r="E3100" s="13"/>
      <c r="F3100" s="13"/>
      <c r="G3100" s="102">
        <v>1.0</v>
      </c>
      <c r="H3100" s="101" t="s">
        <v>2940</v>
      </c>
      <c r="I3100" s="102">
        <v>24.47</v>
      </c>
      <c r="J3100" s="102">
        <v>30.1</v>
      </c>
      <c r="K3100" s="101" t="s">
        <v>2941</v>
      </c>
      <c r="L3100" s="102">
        <v>23.0</v>
      </c>
      <c r="M3100" s="13"/>
    </row>
    <row r="3101">
      <c r="A3101" s="101" t="s">
        <v>5410</v>
      </c>
      <c r="B3101" s="101">
        <v>650.0</v>
      </c>
      <c r="C3101" s="13"/>
      <c r="D3101" s="13"/>
      <c r="E3101" s="13"/>
      <c r="F3101" s="13"/>
      <c r="G3101" s="102">
        <v>2.0</v>
      </c>
      <c r="H3101" s="101" t="s">
        <v>2942</v>
      </c>
      <c r="I3101" s="102">
        <v>19.6</v>
      </c>
      <c r="J3101" s="102">
        <v>24.11</v>
      </c>
      <c r="K3101" s="101" t="s">
        <v>2941</v>
      </c>
      <c r="L3101" s="102">
        <v>23.0</v>
      </c>
      <c r="M3101" s="13"/>
    </row>
    <row r="3102">
      <c r="A3102" s="101" t="s">
        <v>5411</v>
      </c>
      <c r="B3102" s="101">
        <v>59.0</v>
      </c>
      <c r="C3102" s="13"/>
      <c r="D3102" s="13"/>
      <c r="E3102" s="13"/>
      <c r="F3102" s="13"/>
      <c r="G3102" s="102">
        <v>1.0</v>
      </c>
      <c r="H3102" s="101" t="s">
        <v>2940</v>
      </c>
      <c r="I3102" s="102">
        <v>7.72</v>
      </c>
      <c r="J3102" s="102">
        <v>9.5</v>
      </c>
      <c r="K3102" s="101" t="s">
        <v>2941</v>
      </c>
      <c r="L3102" s="102">
        <v>23.0</v>
      </c>
      <c r="M3102" s="13"/>
    </row>
    <row r="3103">
      <c r="A3103" s="101" t="s">
        <v>5411</v>
      </c>
      <c r="B3103" s="101">
        <v>59.0</v>
      </c>
      <c r="C3103" s="13"/>
      <c r="D3103" s="13"/>
      <c r="E3103" s="13"/>
      <c r="F3103" s="13"/>
      <c r="G3103" s="102">
        <v>2.0</v>
      </c>
      <c r="H3103" s="101" t="s">
        <v>2942</v>
      </c>
      <c r="I3103" s="102">
        <v>7.7</v>
      </c>
      <c r="J3103" s="102">
        <v>9.47</v>
      </c>
      <c r="K3103" s="101" t="s">
        <v>2941</v>
      </c>
      <c r="L3103" s="102">
        <v>23.0</v>
      </c>
      <c r="M3103" s="13"/>
    </row>
    <row r="3104">
      <c r="A3104" s="101" t="s">
        <v>5412</v>
      </c>
      <c r="B3104" s="101">
        <v>42512.0</v>
      </c>
      <c r="C3104" s="13"/>
      <c r="D3104" s="13"/>
      <c r="E3104" s="13"/>
      <c r="F3104" s="13"/>
      <c r="G3104" s="102">
        <v>1.0</v>
      </c>
      <c r="H3104" s="101" t="s">
        <v>2940</v>
      </c>
      <c r="I3104" s="102">
        <v>4.23</v>
      </c>
      <c r="J3104" s="102">
        <v>5.2</v>
      </c>
      <c r="K3104" s="101" t="s">
        <v>2941</v>
      </c>
      <c r="L3104" s="102">
        <v>23.0</v>
      </c>
      <c r="M3104" s="13"/>
    </row>
    <row r="3105">
      <c r="A3105" s="101" t="s">
        <v>5412</v>
      </c>
      <c r="B3105" s="101">
        <v>42512.0</v>
      </c>
      <c r="C3105" s="13"/>
      <c r="D3105" s="13"/>
      <c r="E3105" s="13"/>
      <c r="F3105" s="13"/>
      <c r="G3105" s="102">
        <v>2.0</v>
      </c>
      <c r="H3105" s="101" t="s">
        <v>2942</v>
      </c>
      <c r="I3105" s="102">
        <v>3.4</v>
      </c>
      <c r="J3105" s="102">
        <v>4.18</v>
      </c>
      <c r="K3105" s="101" t="s">
        <v>2941</v>
      </c>
      <c r="L3105" s="102">
        <v>23.0</v>
      </c>
      <c r="M3105" s="13"/>
    </row>
    <row r="3106">
      <c r="A3106" s="101" t="s">
        <v>5413</v>
      </c>
      <c r="B3106" s="101">
        <v>652.0</v>
      </c>
      <c r="C3106" s="13"/>
      <c r="D3106" s="13"/>
      <c r="E3106" s="13"/>
      <c r="F3106" s="13"/>
      <c r="G3106" s="102">
        <v>1.0</v>
      </c>
      <c r="H3106" s="101" t="s">
        <v>2940</v>
      </c>
      <c r="I3106" s="102">
        <v>20.33</v>
      </c>
      <c r="J3106" s="102">
        <v>25.01</v>
      </c>
      <c r="K3106" s="101" t="s">
        <v>2941</v>
      </c>
      <c r="L3106" s="102">
        <v>23.0</v>
      </c>
      <c r="M3106" s="13"/>
    </row>
    <row r="3107">
      <c r="A3107" s="101" t="s">
        <v>5413</v>
      </c>
      <c r="B3107" s="101">
        <v>652.0</v>
      </c>
      <c r="C3107" s="13"/>
      <c r="D3107" s="13"/>
      <c r="E3107" s="13"/>
      <c r="F3107" s="13"/>
      <c r="G3107" s="102">
        <v>2.0</v>
      </c>
      <c r="H3107" s="101" t="s">
        <v>2942</v>
      </c>
      <c r="I3107" s="102">
        <v>19.9</v>
      </c>
      <c r="J3107" s="102">
        <v>24.48</v>
      </c>
      <c r="K3107" s="101" t="s">
        <v>2941</v>
      </c>
      <c r="L3107" s="102">
        <v>23.0</v>
      </c>
      <c r="M3107" s="13"/>
    </row>
    <row r="3108">
      <c r="A3108" s="101" t="s">
        <v>5414</v>
      </c>
      <c r="B3108" s="101">
        <v>653.0</v>
      </c>
      <c r="C3108" s="13"/>
      <c r="D3108" s="13"/>
      <c r="E3108" s="13"/>
      <c r="F3108" s="13"/>
      <c r="G3108" s="102">
        <v>1.0</v>
      </c>
      <c r="H3108" s="101" t="s">
        <v>2940</v>
      </c>
      <c r="I3108" s="102">
        <v>21.95</v>
      </c>
      <c r="J3108" s="102">
        <v>27.0</v>
      </c>
      <c r="K3108" s="101" t="s">
        <v>2941</v>
      </c>
      <c r="L3108" s="102">
        <v>23.0</v>
      </c>
      <c r="M3108" s="13"/>
    </row>
    <row r="3109">
      <c r="A3109" s="101" t="s">
        <v>5414</v>
      </c>
      <c r="B3109" s="101">
        <v>653.0</v>
      </c>
      <c r="C3109" s="13"/>
      <c r="D3109" s="13"/>
      <c r="E3109" s="13"/>
      <c r="F3109" s="13"/>
      <c r="G3109" s="102">
        <v>2.0</v>
      </c>
      <c r="H3109" s="101" t="s">
        <v>2942</v>
      </c>
      <c r="I3109" s="102">
        <v>21.58</v>
      </c>
      <c r="J3109" s="102">
        <v>26.54</v>
      </c>
      <c r="K3109" s="101" t="s">
        <v>2941</v>
      </c>
      <c r="L3109" s="102">
        <v>23.0</v>
      </c>
      <c r="M3109" s="13"/>
    </row>
    <row r="3110">
      <c r="A3110" s="101" t="s">
        <v>5415</v>
      </c>
      <c r="B3110" s="101">
        <v>645.0</v>
      </c>
      <c r="C3110" s="13"/>
      <c r="D3110" s="13"/>
      <c r="E3110" s="13"/>
      <c r="F3110" s="13"/>
      <c r="G3110" s="102">
        <v>1.0</v>
      </c>
      <c r="H3110" s="101" t="s">
        <v>2940</v>
      </c>
      <c r="I3110" s="102">
        <v>20.33</v>
      </c>
      <c r="J3110" s="102">
        <v>25.01</v>
      </c>
      <c r="K3110" s="101" t="s">
        <v>2941</v>
      </c>
      <c r="L3110" s="102">
        <v>23.0</v>
      </c>
      <c r="M3110" s="13"/>
    </row>
    <row r="3111">
      <c r="A3111" s="101" t="s">
        <v>5415</v>
      </c>
      <c r="B3111" s="101">
        <v>645.0</v>
      </c>
      <c r="C3111" s="13"/>
      <c r="D3111" s="13"/>
      <c r="E3111" s="13"/>
      <c r="F3111" s="13"/>
      <c r="G3111" s="102">
        <v>2.0</v>
      </c>
      <c r="H3111" s="101" t="s">
        <v>2942</v>
      </c>
      <c r="I3111" s="102">
        <v>19.9</v>
      </c>
      <c r="J3111" s="102">
        <v>24.48</v>
      </c>
      <c r="K3111" s="101" t="s">
        <v>2941</v>
      </c>
      <c r="L3111" s="102">
        <v>23.0</v>
      </c>
      <c r="M3111" s="13"/>
    </row>
    <row r="3112">
      <c r="A3112" s="101" t="s">
        <v>5416</v>
      </c>
      <c r="B3112" s="101">
        <v>37.0</v>
      </c>
      <c r="C3112" s="13"/>
      <c r="D3112" s="13"/>
      <c r="E3112" s="13"/>
      <c r="F3112" s="13"/>
      <c r="G3112" s="102">
        <v>1.0</v>
      </c>
      <c r="H3112" s="101" t="s">
        <v>2940</v>
      </c>
      <c r="I3112" s="102">
        <v>26.34</v>
      </c>
      <c r="J3112" s="102">
        <v>32.4</v>
      </c>
      <c r="K3112" s="101" t="s">
        <v>2941</v>
      </c>
      <c r="L3112" s="102">
        <v>23.0</v>
      </c>
      <c r="M3112" s="13"/>
    </row>
    <row r="3113">
      <c r="A3113" s="101" t="s">
        <v>5416</v>
      </c>
      <c r="B3113" s="101">
        <v>37.0</v>
      </c>
      <c r="C3113" s="13"/>
      <c r="D3113" s="13"/>
      <c r="E3113" s="13"/>
      <c r="F3113" s="13"/>
      <c r="G3113" s="102">
        <v>2.0</v>
      </c>
      <c r="H3113" s="101" t="s">
        <v>2942</v>
      </c>
      <c r="I3113" s="102">
        <v>21.1</v>
      </c>
      <c r="J3113" s="102">
        <v>25.95</v>
      </c>
      <c r="K3113" s="101" t="s">
        <v>2941</v>
      </c>
      <c r="L3113" s="102">
        <v>23.0</v>
      </c>
      <c r="M3113" s="13"/>
    </row>
    <row r="3114">
      <c r="A3114" s="101" t="s">
        <v>5417</v>
      </c>
      <c r="B3114" s="101">
        <v>1524.0</v>
      </c>
      <c r="C3114" s="13"/>
      <c r="D3114" s="13"/>
      <c r="E3114" s="13"/>
      <c r="F3114" s="13"/>
      <c r="G3114" s="102">
        <v>1.0</v>
      </c>
      <c r="H3114" s="101" t="s">
        <v>2940</v>
      </c>
      <c r="I3114" s="102">
        <v>26.34</v>
      </c>
      <c r="J3114" s="102">
        <v>32.4</v>
      </c>
      <c r="K3114" s="101" t="s">
        <v>2941</v>
      </c>
      <c r="L3114" s="102">
        <v>23.0</v>
      </c>
      <c r="M3114" s="13"/>
    </row>
    <row r="3115">
      <c r="A3115" s="101" t="s">
        <v>5417</v>
      </c>
      <c r="B3115" s="101">
        <v>1524.0</v>
      </c>
      <c r="C3115" s="13"/>
      <c r="D3115" s="13"/>
      <c r="E3115" s="13"/>
      <c r="F3115" s="13"/>
      <c r="G3115" s="102">
        <v>2.0</v>
      </c>
      <c r="H3115" s="101" t="s">
        <v>2942</v>
      </c>
      <c r="I3115" s="102">
        <v>21.1</v>
      </c>
      <c r="J3115" s="102">
        <v>25.95</v>
      </c>
      <c r="K3115" s="101" t="s">
        <v>2941</v>
      </c>
      <c r="L3115" s="102">
        <v>23.0</v>
      </c>
      <c r="M3115" s="13"/>
    </row>
    <row r="3116">
      <c r="A3116" s="101" t="s">
        <v>5418</v>
      </c>
      <c r="B3116" s="101">
        <v>93.0</v>
      </c>
      <c r="C3116" s="13"/>
      <c r="D3116" s="13"/>
      <c r="E3116" s="13"/>
      <c r="F3116" s="13"/>
      <c r="G3116" s="102">
        <v>1.0</v>
      </c>
      <c r="H3116" s="101" t="s">
        <v>2940</v>
      </c>
      <c r="I3116" s="102">
        <v>41.14</v>
      </c>
      <c r="J3116" s="102">
        <v>50.6</v>
      </c>
      <c r="K3116" s="101" t="s">
        <v>2941</v>
      </c>
      <c r="L3116" s="102">
        <v>23.0</v>
      </c>
      <c r="M3116" s="13"/>
    </row>
    <row r="3117">
      <c r="A3117" s="101" t="s">
        <v>5418</v>
      </c>
      <c r="B3117" s="101">
        <v>93.0</v>
      </c>
      <c r="C3117" s="13"/>
      <c r="D3117" s="13"/>
      <c r="E3117" s="13"/>
      <c r="F3117" s="13"/>
      <c r="G3117" s="102">
        <v>2.0</v>
      </c>
      <c r="H3117" s="101" t="s">
        <v>2942</v>
      </c>
      <c r="I3117" s="102">
        <v>41.1</v>
      </c>
      <c r="J3117" s="102">
        <v>50.55</v>
      </c>
      <c r="K3117" s="101" t="s">
        <v>2941</v>
      </c>
      <c r="L3117" s="102">
        <v>23.0</v>
      </c>
      <c r="M3117" s="13"/>
    </row>
    <row r="3118">
      <c r="A3118" s="101" t="s">
        <v>5419</v>
      </c>
      <c r="B3118" s="101" t="s">
        <v>5420</v>
      </c>
      <c r="D3118" s="13"/>
      <c r="E3118" s="13"/>
      <c r="F3118" s="13"/>
      <c r="G3118" s="102">
        <v>1.0</v>
      </c>
      <c r="H3118" s="101" t="s">
        <v>2940</v>
      </c>
      <c r="I3118" s="102">
        <v>38.7</v>
      </c>
      <c r="J3118" s="102">
        <v>47.6</v>
      </c>
      <c r="K3118" s="101" t="s">
        <v>2941</v>
      </c>
      <c r="L3118" s="102">
        <v>23.0</v>
      </c>
      <c r="M3118" s="13"/>
    </row>
    <row r="3119">
      <c r="A3119" s="101" t="s">
        <v>5419</v>
      </c>
      <c r="B3119" s="101" t="s">
        <v>5420</v>
      </c>
      <c r="D3119" s="13"/>
      <c r="E3119" s="13"/>
      <c r="F3119" s="13"/>
      <c r="G3119" s="102">
        <v>2.0</v>
      </c>
      <c r="H3119" s="101" t="s">
        <v>2942</v>
      </c>
      <c r="I3119" s="102">
        <v>38.7</v>
      </c>
      <c r="J3119" s="102">
        <v>47.6</v>
      </c>
      <c r="K3119" s="101" t="s">
        <v>2941</v>
      </c>
      <c r="L3119" s="102">
        <v>23.0</v>
      </c>
      <c r="M3119" s="13"/>
    </row>
    <row r="3120">
      <c r="A3120" s="101" t="s">
        <v>5421</v>
      </c>
      <c r="B3120" s="101">
        <v>42553.0</v>
      </c>
      <c r="C3120" s="13"/>
      <c r="D3120" s="13"/>
      <c r="E3120" s="13"/>
      <c r="F3120" s="13"/>
      <c r="G3120" s="102">
        <v>1.0</v>
      </c>
      <c r="H3120" s="101" t="s">
        <v>2940</v>
      </c>
      <c r="I3120" s="102">
        <v>46.59</v>
      </c>
      <c r="J3120" s="102">
        <v>57.31</v>
      </c>
      <c r="K3120" s="101" t="s">
        <v>2941</v>
      </c>
      <c r="L3120" s="102">
        <v>23.0</v>
      </c>
      <c r="M3120" s="13"/>
    </row>
    <row r="3121">
      <c r="A3121" s="101" t="s">
        <v>5421</v>
      </c>
      <c r="B3121" s="101">
        <v>42553.0</v>
      </c>
      <c r="C3121" s="13"/>
      <c r="D3121" s="13"/>
      <c r="E3121" s="13"/>
      <c r="F3121" s="13"/>
      <c r="G3121" s="102">
        <v>2.0</v>
      </c>
      <c r="H3121" s="101" t="s">
        <v>2942</v>
      </c>
      <c r="I3121" s="102">
        <v>37.3</v>
      </c>
      <c r="J3121" s="102">
        <v>45.88</v>
      </c>
      <c r="K3121" s="101" t="s">
        <v>2941</v>
      </c>
      <c r="L3121" s="102">
        <v>23.0</v>
      </c>
      <c r="M3121" s="13"/>
    </row>
    <row r="3122">
      <c r="A3122" s="101" t="s">
        <v>5422</v>
      </c>
      <c r="B3122" s="101">
        <v>42551.0</v>
      </c>
      <c r="C3122" s="13"/>
      <c r="D3122" s="13"/>
      <c r="E3122" s="13"/>
      <c r="F3122" s="13"/>
      <c r="G3122" s="102">
        <v>1.0</v>
      </c>
      <c r="H3122" s="101" t="s">
        <v>2940</v>
      </c>
      <c r="I3122" s="102">
        <v>41.46</v>
      </c>
      <c r="J3122" s="102">
        <v>51.0</v>
      </c>
      <c r="K3122" s="101" t="s">
        <v>2941</v>
      </c>
      <c r="L3122" s="102">
        <v>23.0</v>
      </c>
      <c r="M3122" s="13"/>
    </row>
    <row r="3123">
      <c r="A3123" s="101" t="s">
        <v>5422</v>
      </c>
      <c r="B3123" s="101">
        <v>42551.0</v>
      </c>
      <c r="C3123" s="13"/>
      <c r="D3123" s="13"/>
      <c r="E3123" s="13"/>
      <c r="F3123" s="13"/>
      <c r="G3123" s="102">
        <v>2.0</v>
      </c>
      <c r="H3123" s="101" t="s">
        <v>2942</v>
      </c>
      <c r="I3123" s="102">
        <v>33.2</v>
      </c>
      <c r="J3123" s="102">
        <v>40.84</v>
      </c>
      <c r="K3123" s="101" t="s">
        <v>2941</v>
      </c>
      <c r="L3123" s="102">
        <v>23.0</v>
      </c>
      <c r="M3123" s="13"/>
    </row>
    <row r="3124">
      <c r="A3124" s="101" t="s">
        <v>5423</v>
      </c>
      <c r="B3124" s="101">
        <v>42552.0</v>
      </c>
      <c r="C3124" s="13"/>
      <c r="D3124" s="13"/>
      <c r="E3124" s="13"/>
      <c r="F3124" s="13"/>
      <c r="G3124" s="102">
        <v>1.0</v>
      </c>
      <c r="H3124" s="101" t="s">
        <v>2940</v>
      </c>
      <c r="I3124" s="102">
        <v>46.75</v>
      </c>
      <c r="J3124" s="102">
        <v>57.5</v>
      </c>
      <c r="K3124" s="101" t="s">
        <v>2941</v>
      </c>
      <c r="L3124" s="102">
        <v>23.0</v>
      </c>
      <c r="M3124" s="13"/>
    </row>
    <row r="3125">
      <c r="A3125" s="101" t="s">
        <v>5423</v>
      </c>
      <c r="B3125" s="101">
        <v>42552.0</v>
      </c>
      <c r="C3125" s="13"/>
      <c r="D3125" s="13"/>
      <c r="E3125" s="13"/>
      <c r="F3125" s="13"/>
      <c r="G3125" s="102">
        <v>2.0</v>
      </c>
      <c r="H3125" s="101" t="s">
        <v>2942</v>
      </c>
      <c r="I3125" s="102">
        <v>37.4</v>
      </c>
      <c r="J3125" s="102">
        <v>46.0</v>
      </c>
      <c r="K3125" s="101" t="s">
        <v>2941</v>
      </c>
      <c r="L3125" s="102">
        <v>23.0</v>
      </c>
      <c r="M3125" s="13"/>
    </row>
    <row r="3126">
      <c r="A3126" s="101" t="s">
        <v>5424</v>
      </c>
      <c r="B3126" s="101">
        <v>1559.0</v>
      </c>
      <c r="C3126" s="13"/>
      <c r="D3126" s="13"/>
      <c r="E3126" s="13"/>
      <c r="F3126" s="13"/>
      <c r="G3126" s="102">
        <v>1.0</v>
      </c>
      <c r="H3126" s="101" t="s">
        <v>2940</v>
      </c>
      <c r="I3126" s="102">
        <v>38.78</v>
      </c>
      <c r="J3126" s="102">
        <v>47.7</v>
      </c>
      <c r="K3126" s="101" t="s">
        <v>2941</v>
      </c>
      <c r="L3126" s="102">
        <v>23.0</v>
      </c>
      <c r="M3126" s="13"/>
    </row>
    <row r="3127">
      <c r="A3127" s="101" t="s">
        <v>5424</v>
      </c>
      <c r="B3127" s="101">
        <v>1559.0</v>
      </c>
      <c r="C3127" s="13"/>
      <c r="D3127" s="13"/>
      <c r="E3127" s="13"/>
      <c r="F3127" s="13"/>
      <c r="G3127" s="102">
        <v>2.0</v>
      </c>
      <c r="H3127" s="101" t="s">
        <v>2942</v>
      </c>
      <c r="I3127" s="102">
        <v>31.0</v>
      </c>
      <c r="J3127" s="102">
        <v>38.13</v>
      </c>
      <c r="K3127" s="101" t="s">
        <v>2941</v>
      </c>
      <c r="L3127" s="102">
        <v>23.0</v>
      </c>
      <c r="M3127" s="13"/>
    </row>
    <row r="3128">
      <c r="A3128" s="101" t="s">
        <v>5425</v>
      </c>
      <c r="B3128" s="101">
        <v>42555.0</v>
      </c>
      <c r="C3128" s="13"/>
      <c r="D3128" s="13"/>
      <c r="E3128" s="13"/>
      <c r="F3128" s="13"/>
      <c r="G3128" s="102">
        <v>1.0</v>
      </c>
      <c r="H3128" s="101" t="s">
        <v>2940</v>
      </c>
      <c r="I3128" s="102">
        <v>36.59</v>
      </c>
      <c r="J3128" s="102">
        <v>45.01</v>
      </c>
      <c r="K3128" s="101" t="s">
        <v>2941</v>
      </c>
      <c r="L3128" s="102">
        <v>23.0</v>
      </c>
      <c r="M3128" s="13"/>
    </row>
    <row r="3129">
      <c r="A3129" s="101" t="s">
        <v>5425</v>
      </c>
      <c r="B3129" s="101">
        <v>42555.0</v>
      </c>
      <c r="C3129" s="13"/>
      <c r="D3129" s="13"/>
      <c r="E3129" s="13"/>
      <c r="F3129" s="13"/>
      <c r="G3129" s="102">
        <v>2.0</v>
      </c>
      <c r="H3129" s="101" t="s">
        <v>2942</v>
      </c>
      <c r="I3129" s="102">
        <v>35.22</v>
      </c>
      <c r="J3129" s="102">
        <v>43.32</v>
      </c>
      <c r="K3129" s="101" t="s">
        <v>2941</v>
      </c>
      <c r="L3129" s="102">
        <v>23.0</v>
      </c>
      <c r="M3129" s="13"/>
    </row>
    <row r="3130">
      <c r="A3130" s="101" t="s">
        <v>5426</v>
      </c>
      <c r="B3130" s="101">
        <v>655.0</v>
      </c>
      <c r="C3130" s="13"/>
      <c r="D3130" s="13"/>
      <c r="E3130" s="13"/>
      <c r="F3130" s="13"/>
      <c r="G3130" s="102">
        <v>1.0</v>
      </c>
      <c r="H3130" s="101" t="s">
        <v>2940</v>
      </c>
      <c r="I3130" s="102">
        <v>20.33</v>
      </c>
      <c r="J3130" s="102">
        <v>25.01</v>
      </c>
      <c r="K3130" s="101" t="s">
        <v>2941</v>
      </c>
      <c r="L3130" s="102">
        <v>23.0</v>
      </c>
      <c r="M3130" s="13"/>
    </row>
    <row r="3131">
      <c r="A3131" s="101" t="s">
        <v>5426</v>
      </c>
      <c r="B3131" s="101">
        <v>655.0</v>
      </c>
      <c r="C3131" s="13"/>
      <c r="D3131" s="13"/>
      <c r="E3131" s="13"/>
      <c r="F3131" s="13"/>
      <c r="G3131" s="102">
        <v>2.0</v>
      </c>
      <c r="H3131" s="101" t="s">
        <v>2942</v>
      </c>
      <c r="I3131" s="102">
        <v>20.32</v>
      </c>
      <c r="J3131" s="102">
        <v>24.99</v>
      </c>
      <c r="K3131" s="101" t="s">
        <v>2941</v>
      </c>
      <c r="L3131" s="102">
        <v>23.0</v>
      </c>
      <c r="M3131" s="13"/>
    </row>
    <row r="3132">
      <c r="A3132" s="101" t="s">
        <v>5427</v>
      </c>
      <c r="B3132" s="101">
        <v>42554.0</v>
      </c>
      <c r="C3132" s="13"/>
      <c r="D3132" s="13"/>
      <c r="E3132" s="13"/>
      <c r="F3132" s="13"/>
      <c r="G3132" s="102">
        <v>1.0</v>
      </c>
      <c r="H3132" s="101" t="s">
        <v>2940</v>
      </c>
      <c r="I3132" s="102">
        <v>32.6</v>
      </c>
      <c r="J3132" s="102">
        <v>40.1</v>
      </c>
      <c r="K3132" s="101" t="s">
        <v>2941</v>
      </c>
      <c r="L3132" s="102">
        <v>23.0</v>
      </c>
      <c r="M3132" s="13"/>
    </row>
    <row r="3133">
      <c r="A3133" s="101" t="s">
        <v>5427</v>
      </c>
      <c r="B3133" s="101">
        <v>42554.0</v>
      </c>
      <c r="C3133" s="13"/>
      <c r="D3133" s="13"/>
      <c r="E3133" s="13"/>
      <c r="F3133" s="13"/>
      <c r="G3133" s="102">
        <v>2.0</v>
      </c>
      <c r="H3133" s="101" t="s">
        <v>2942</v>
      </c>
      <c r="I3133" s="102">
        <v>32.6</v>
      </c>
      <c r="J3133" s="102">
        <v>40.1</v>
      </c>
      <c r="K3133" s="101" t="s">
        <v>2941</v>
      </c>
      <c r="L3133" s="102">
        <v>23.0</v>
      </c>
      <c r="M3133" s="13"/>
    </row>
    <row r="3134">
      <c r="A3134" s="101" t="s">
        <v>5428</v>
      </c>
      <c r="B3134" s="101">
        <v>649.0</v>
      </c>
      <c r="C3134" s="13"/>
      <c r="D3134" s="13"/>
      <c r="E3134" s="13"/>
      <c r="F3134" s="13"/>
      <c r="G3134" s="102">
        <v>1.0</v>
      </c>
      <c r="H3134" s="101" t="s">
        <v>2940</v>
      </c>
      <c r="I3134" s="102">
        <v>26.1</v>
      </c>
      <c r="J3134" s="102">
        <v>32.1</v>
      </c>
      <c r="K3134" s="101" t="s">
        <v>2941</v>
      </c>
      <c r="L3134" s="102">
        <v>23.0</v>
      </c>
      <c r="M3134" s="13"/>
    </row>
    <row r="3135">
      <c r="A3135" s="101" t="s">
        <v>5428</v>
      </c>
      <c r="B3135" s="101">
        <v>649.0</v>
      </c>
      <c r="C3135" s="13"/>
      <c r="D3135" s="13"/>
      <c r="E3135" s="13"/>
      <c r="F3135" s="13"/>
      <c r="G3135" s="102">
        <v>2.0</v>
      </c>
      <c r="H3135" s="101" t="s">
        <v>2942</v>
      </c>
      <c r="I3135" s="102">
        <v>26.1</v>
      </c>
      <c r="J3135" s="102">
        <v>32.1</v>
      </c>
      <c r="K3135" s="101" t="s">
        <v>2941</v>
      </c>
      <c r="L3135" s="102">
        <v>23.0</v>
      </c>
      <c r="M3135" s="13"/>
    </row>
    <row r="3136">
      <c r="A3136" s="101" t="s">
        <v>5429</v>
      </c>
      <c r="B3136" s="101">
        <v>371.0</v>
      </c>
      <c r="C3136" s="13"/>
      <c r="D3136" s="13"/>
      <c r="E3136" s="13"/>
      <c r="F3136" s="13"/>
      <c r="G3136" s="102">
        <v>1.0</v>
      </c>
      <c r="H3136" s="101" t="s">
        <v>2940</v>
      </c>
      <c r="I3136" s="102">
        <v>25.9</v>
      </c>
      <c r="J3136" s="102">
        <v>31.86</v>
      </c>
      <c r="K3136" s="101" t="s">
        <v>2941</v>
      </c>
      <c r="L3136" s="102">
        <v>23.0</v>
      </c>
      <c r="M3136" s="13"/>
    </row>
    <row r="3137">
      <c r="A3137" s="101" t="s">
        <v>5429</v>
      </c>
      <c r="B3137" s="101">
        <v>371.0</v>
      </c>
      <c r="C3137" s="13"/>
      <c r="D3137" s="13"/>
      <c r="E3137" s="13"/>
      <c r="F3137" s="13"/>
      <c r="G3137" s="102">
        <v>2.0</v>
      </c>
      <c r="H3137" s="101" t="s">
        <v>2942</v>
      </c>
      <c r="I3137" s="102">
        <v>25.9</v>
      </c>
      <c r="J3137" s="102">
        <v>31.86</v>
      </c>
      <c r="K3137" s="101" t="s">
        <v>2941</v>
      </c>
      <c r="L3137" s="102">
        <v>23.0</v>
      </c>
      <c r="M3137" s="13"/>
    </row>
    <row r="3138">
      <c r="A3138" s="101" t="s">
        <v>5430</v>
      </c>
      <c r="B3138" s="101" t="s">
        <v>5431</v>
      </c>
      <c r="D3138" s="13"/>
      <c r="E3138" s="13"/>
      <c r="F3138" s="13"/>
      <c r="G3138" s="102">
        <v>1.0</v>
      </c>
      <c r="H3138" s="101" t="s">
        <v>2940</v>
      </c>
      <c r="I3138" s="102">
        <v>33.01</v>
      </c>
      <c r="J3138" s="102">
        <v>40.6</v>
      </c>
      <c r="K3138" s="101" t="s">
        <v>2941</v>
      </c>
      <c r="L3138" s="102">
        <v>23.0</v>
      </c>
      <c r="M3138" s="13"/>
    </row>
    <row r="3139">
      <c r="A3139" s="101" t="s">
        <v>5430</v>
      </c>
      <c r="B3139" s="101" t="s">
        <v>5431</v>
      </c>
      <c r="D3139" s="13"/>
      <c r="E3139" s="13"/>
      <c r="F3139" s="13"/>
      <c r="G3139" s="102">
        <v>2.0</v>
      </c>
      <c r="H3139" s="101" t="s">
        <v>2942</v>
      </c>
      <c r="I3139" s="102">
        <v>26.4</v>
      </c>
      <c r="J3139" s="102">
        <v>32.47</v>
      </c>
      <c r="K3139" s="101" t="s">
        <v>2941</v>
      </c>
      <c r="L3139" s="102">
        <v>23.0</v>
      </c>
      <c r="M3139" s="13"/>
    </row>
    <row r="3140">
      <c r="A3140" s="101" t="s">
        <v>5432</v>
      </c>
      <c r="B3140" s="101">
        <v>643.0</v>
      </c>
      <c r="C3140" s="13"/>
      <c r="D3140" s="13"/>
      <c r="E3140" s="13"/>
      <c r="F3140" s="13"/>
      <c r="G3140" s="102">
        <v>1.0</v>
      </c>
      <c r="H3140" s="101" t="s">
        <v>2940</v>
      </c>
      <c r="I3140" s="102">
        <v>29.35</v>
      </c>
      <c r="J3140" s="102">
        <v>36.1</v>
      </c>
      <c r="K3140" s="101" t="s">
        <v>2941</v>
      </c>
      <c r="L3140" s="102">
        <v>23.0</v>
      </c>
      <c r="M3140" s="13"/>
    </row>
    <row r="3141">
      <c r="A3141" s="101" t="s">
        <v>5432</v>
      </c>
      <c r="B3141" s="101">
        <v>643.0</v>
      </c>
      <c r="C3141" s="13"/>
      <c r="D3141" s="13"/>
      <c r="E3141" s="13"/>
      <c r="F3141" s="13"/>
      <c r="G3141" s="102">
        <v>2.0</v>
      </c>
      <c r="H3141" s="101" t="s">
        <v>2942</v>
      </c>
      <c r="I3141" s="102">
        <v>23.5</v>
      </c>
      <c r="J3141" s="102">
        <v>28.91</v>
      </c>
      <c r="K3141" s="101" t="s">
        <v>2941</v>
      </c>
      <c r="L3141" s="102">
        <v>23.0</v>
      </c>
      <c r="M3141" s="13"/>
    </row>
    <row r="3142">
      <c r="A3142" s="101" t="s">
        <v>5433</v>
      </c>
      <c r="B3142" s="101" t="s">
        <v>5434</v>
      </c>
      <c r="D3142" s="13"/>
      <c r="E3142" s="13"/>
      <c r="F3142" s="13"/>
      <c r="G3142" s="102">
        <v>1.0</v>
      </c>
      <c r="H3142" s="101" t="s">
        <v>2940</v>
      </c>
      <c r="I3142" s="102">
        <v>29.1</v>
      </c>
      <c r="J3142" s="102">
        <v>35.79</v>
      </c>
      <c r="K3142" s="101" t="s">
        <v>2941</v>
      </c>
      <c r="L3142" s="102">
        <v>23.0</v>
      </c>
      <c r="M3142" s="13"/>
    </row>
    <row r="3143">
      <c r="A3143" s="101" t="s">
        <v>5433</v>
      </c>
      <c r="B3143" s="101" t="s">
        <v>5434</v>
      </c>
      <c r="D3143" s="13"/>
      <c r="E3143" s="13"/>
      <c r="F3143" s="13"/>
      <c r="G3143" s="102">
        <v>2.0</v>
      </c>
      <c r="H3143" s="101" t="s">
        <v>2942</v>
      </c>
      <c r="I3143" s="102">
        <v>29.1</v>
      </c>
      <c r="J3143" s="102">
        <v>35.79</v>
      </c>
      <c r="K3143" s="101" t="s">
        <v>2941</v>
      </c>
      <c r="L3143" s="102">
        <v>23.0</v>
      </c>
      <c r="M3143" s="13"/>
    </row>
    <row r="3144">
      <c r="A3144" s="101" t="s">
        <v>5435</v>
      </c>
      <c r="B3144" s="101">
        <v>654.0</v>
      </c>
      <c r="C3144" s="13"/>
      <c r="D3144" s="13"/>
      <c r="E3144" s="13"/>
      <c r="F3144" s="13"/>
      <c r="G3144" s="102">
        <v>1.0</v>
      </c>
      <c r="H3144" s="101" t="s">
        <v>2940</v>
      </c>
      <c r="I3144" s="102">
        <v>21.95</v>
      </c>
      <c r="J3144" s="102">
        <v>27.0</v>
      </c>
      <c r="K3144" s="101" t="s">
        <v>2941</v>
      </c>
      <c r="L3144" s="102">
        <v>23.0</v>
      </c>
      <c r="M3144" s="13"/>
    </row>
    <row r="3145">
      <c r="A3145" s="101" t="s">
        <v>5435</v>
      </c>
      <c r="B3145" s="101">
        <v>654.0</v>
      </c>
      <c r="C3145" s="13"/>
      <c r="D3145" s="13"/>
      <c r="E3145" s="13"/>
      <c r="F3145" s="13"/>
      <c r="G3145" s="102">
        <v>2.0</v>
      </c>
      <c r="H3145" s="101" t="s">
        <v>2942</v>
      </c>
      <c r="I3145" s="102">
        <v>21.47</v>
      </c>
      <c r="J3145" s="102">
        <v>26.41</v>
      </c>
      <c r="K3145" s="101" t="s">
        <v>2941</v>
      </c>
      <c r="L3145" s="102">
        <v>23.0</v>
      </c>
      <c r="M3145" s="13"/>
    </row>
    <row r="3146">
      <c r="A3146" s="101" t="s">
        <v>5436</v>
      </c>
      <c r="B3146" s="101">
        <v>646.0</v>
      </c>
      <c r="C3146" s="13"/>
      <c r="D3146" s="13"/>
      <c r="E3146" s="13"/>
      <c r="F3146" s="13"/>
      <c r="G3146" s="102">
        <v>1.0</v>
      </c>
      <c r="H3146" s="101" t="s">
        <v>2940</v>
      </c>
      <c r="I3146" s="102">
        <v>21.95</v>
      </c>
      <c r="J3146" s="102">
        <v>27.0</v>
      </c>
      <c r="K3146" s="101" t="s">
        <v>2941</v>
      </c>
      <c r="L3146" s="102">
        <v>23.0</v>
      </c>
      <c r="M3146" s="13"/>
    </row>
    <row r="3147">
      <c r="A3147" s="101" t="s">
        <v>5436</v>
      </c>
      <c r="B3147" s="101">
        <v>646.0</v>
      </c>
      <c r="C3147" s="13"/>
      <c r="D3147" s="13"/>
      <c r="E3147" s="13"/>
      <c r="F3147" s="13"/>
      <c r="G3147" s="102">
        <v>2.0</v>
      </c>
      <c r="H3147" s="101" t="s">
        <v>2942</v>
      </c>
      <c r="I3147" s="102">
        <v>21.58</v>
      </c>
      <c r="J3147" s="102">
        <v>26.54</v>
      </c>
      <c r="K3147" s="101" t="s">
        <v>2941</v>
      </c>
      <c r="L3147" s="102">
        <v>23.0</v>
      </c>
      <c r="M3147" s="13"/>
    </row>
    <row r="3148">
      <c r="A3148" s="101" t="s">
        <v>5437</v>
      </c>
      <c r="B3148" s="101">
        <v>647.0</v>
      </c>
      <c r="C3148" s="13"/>
      <c r="D3148" s="13"/>
      <c r="E3148" s="13"/>
      <c r="F3148" s="13"/>
      <c r="G3148" s="102">
        <v>1.0</v>
      </c>
      <c r="H3148" s="101" t="s">
        <v>2940</v>
      </c>
      <c r="I3148" s="102">
        <v>21.95</v>
      </c>
      <c r="J3148" s="102">
        <v>27.0</v>
      </c>
      <c r="K3148" s="101" t="s">
        <v>2941</v>
      </c>
      <c r="L3148" s="102">
        <v>23.0</v>
      </c>
      <c r="M3148" s="13"/>
    </row>
    <row r="3149">
      <c r="A3149" s="101" t="s">
        <v>5437</v>
      </c>
      <c r="B3149" s="101">
        <v>647.0</v>
      </c>
      <c r="C3149" s="13"/>
      <c r="D3149" s="13"/>
      <c r="E3149" s="13"/>
      <c r="F3149" s="13"/>
      <c r="G3149" s="102">
        <v>2.0</v>
      </c>
      <c r="H3149" s="101" t="s">
        <v>2942</v>
      </c>
      <c r="I3149" s="102">
        <v>21.47</v>
      </c>
      <c r="J3149" s="102">
        <v>26.41</v>
      </c>
      <c r="K3149" s="101" t="s">
        <v>2941</v>
      </c>
      <c r="L3149" s="102">
        <v>23.0</v>
      </c>
      <c r="M3149" s="13"/>
    </row>
    <row r="3150">
      <c r="A3150" s="101" t="s">
        <v>5438</v>
      </c>
      <c r="B3150" s="101">
        <v>42215.0</v>
      </c>
      <c r="C3150" s="13"/>
      <c r="D3150" s="13"/>
      <c r="E3150" s="13"/>
      <c r="F3150" s="13"/>
      <c r="G3150" s="102">
        <v>1.0</v>
      </c>
      <c r="H3150" s="101" t="s">
        <v>2940</v>
      </c>
      <c r="I3150" s="102">
        <v>15.7</v>
      </c>
      <c r="J3150" s="102">
        <v>19.31</v>
      </c>
      <c r="K3150" s="101" t="s">
        <v>2941</v>
      </c>
      <c r="L3150" s="102">
        <v>23.0</v>
      </c>
      <c r="M3150" s="13"/>
    </row>
    <row r="3151">
      <c r="A3151" s="101" t="s">
        <v>5438</v>
      </c>
      <c r="B3151" s="101">
        <v>42215.0</v>
      </c>
      <c r="C3151" s="13"/>
      <c r="D3151" s="13"/>
      <c r="E3151" s="13"/>
      <c r="F3151" s="13"/>
      <c r="G3151" s="102">
        <v>2.0</v>
      </c>
      <c r="H3151" s="101" t="s">
        <v>2942</v>
      </c>
      <c r="I3151" s="102">
        <v>15.7</v>
      </c>
      <c r="J3151" s="102">
        <v>19.31</v>
      </c>
      <c r="K3151" s="101" t="s">
        <v>2941</v>
      </c>
      <c r="L3151" s="102">
        <v>23.0</v>
      </c>
      <c r="M3151" s="13"/>
    </row>
    <row r="3152">
      <c r="A3152" s="101" t="s">
        <v>5439</v>
      </c>
      <c r="B3152" s="101">
        <v>1996.0</v>
      </c>
      <c r="C3152" s="13"/>
      <c r="D3152" s="13"/>
      <c r="E3152" s="13"/>
      <c r="F3152" s="13"/>
      <c r="G3152" s="102">
        <v>1.0</v>
      </c>
      <c r="H3152" s="101" t="s">
        <v>2940</v>
      </c>
      <c r="I3152" s="102">
        <v>38.7</v>
      </c>
      <c r="J3152" s="102">
        <v>47.6</v>
      </c>
      <c r="K3152" s="101" t="s">
        <v>2941</v>
      </c>
      <c r="L3152" s="102">
        <v>23.0</v>
      </c>
      <c r="M3152" s="13"/>
    </row>
    <row r="3153">
      <c r="A3153" s="101" t="s">
        <v>5439</v>
      </c>
      <c r="B3153" s="101">
        <v>1996.0</v>
      </c>
      <c r="C3153" s="13"/>
      <c r="D3153" s="13"/>
      <c r="E3153" s="13"/>
      <c r="F3153" s="13"/>
      <c r="G3153" s="102">
        <v>2.0</v>
      </c>
      <c r="H3153" s="101" t="s">
        <v>2942</v>
      </c>
      <c r="I3153" s="102">
        <v>38.7</v>
      </c>
      <c r="J3153" s="102">
        <v>47.6</v>
      </c>
      <c r="K3153" s="101" t="s">
        <v>2941</v>
      </c>
      <c r="L3153" s="102">
        <v>23.0</v>
      </c>
      <c r="M3153" s="13"/>
    </row>
    <row r="3154">
      <c r="A3154" s="101" t="s">
        <v>5440</v>
      </c>
      <c r="B3154" s="101">
        <v>42262.0</v>
      </c>
      <c r="C3154" s="13"/>
      <c r="D3154" s="13"/>
      <c r="E3154" s="13"/>
      <c r="F3154" s="13"/>
      <c r="G3154" s="102">
        <v>1.0</v>
      </c>
      <c r="H3154" s="101" t="s">
        <v>2940</v>
      </c>
      <c r="I3154" s="102">
        <v>35.0</v>
      </c>
      <c r="J3154" s="102">
        <v>43.05</v>
      </c>
      <c r="K3154" s="101" t="s">
        <v>2941</v>
      </c>
      <c r="L3154" s="102">
        <v>23.0</v>
      </c>
      <c r="M3154" s="13"/>
    </row>
    <row r="3155">
      <c r="A3155" s="101" t="s">
        <v>5440</v>
      </c>
      <c r="B3155" s="101">
        <v>42262.0</v>
      </c>
      <c r="C3155" s="13"/>
      <c r="D3155" s="13"/>
      <c r="E3155" s="13"/>
      <c r="F3155" s="13"/>
      <c r="G3155" s="102">
        <v>2.0</v>
      </c>
      <c r="H3155" s="101" t="s">
        <v>2942</v>
      </c>
      <c r="I3155" s="102">
        <v>35.0</v>
      </c>
      <c r="J3155" s="102">
        <v>43.05</v>
      </c>
      <c r="K3155" s="101" t="s">
        <v>2941</v>
      </c>
      <c r="L3155" s="102">
        <v>23.0</v>
      </c>
      <c r="M3155" s="13"/>
    </row>
    <row r="3156">
      <c r="A3156" s="101" t="s">
        <v>5441</v>
      </c>
      <c r="B3156" s="101">
        <v>42609.0</v>
      </c>
      <c r="C3156" s="13"/>
      <c r="D3156" s="13"/>
      <c r="E3156" s="13"/>
      <c r="F3156" s="13"/>
      <c r="G3156" s="102">
        <v>1.0</v>
      </c>
      <c r="H3156" s="101" t="s">
        <v>2940</v>
      </c>
      <c r="I3156" s="102">
        <v>60.8</v>
      </c>
      <c r="J3156" s="102">
        <v>74.78</v>
      </c>
      <c r="K3156" s="101" t="s">
        <v>2941</v>
      </c>
      <c r="L3156" s="102">
        <v>23.0</v>
      </c>
      <c r="M3156" s="13"/>
    </row>
    <row r="3157">
      <c r="A3157" s="101" t="s">
        <v>5441</v>
      </c>
      <c r="B3157" s="101">
        <v>42609.0</v>
      </c>
      <c r="C3157" s="13"/>
      <c r="D3157" s="13"/>
      <c r="E3157" s="13"/>
      <c r="F3157" s="13"/>
      <c r="G3157" s="102">
        <v>2.0</v>
      </c>
      <c r="H3157" s="101" t="s">
        <v>2942</v>
      </c>
      <c r="I3157" s="102">
        <v>60.8</v>
      </c>
      <c r="J3157" s="102">
        <v>74.78</v>
      </c>
      <c r="K3157" s="101" t="s">
        <v>2941</v>
      </c>
      <c r="L3157" s="102">
        <v>23.0</v>
      </c>
      <c r="M3157" s="13"/>
    </row>
    <row r="3158">
      <c r="A3158" s="101" t="s">
        <v>5442</v>
      </c>
      <c r="B3158" s="101">
        <v>42610.0</v>
      </c>
      <c r="C3158" s="13"/>
      <c r="D3158" s="13"/>
      <c r="E3158" s="13"/>
      <c r="F3158" s="13"/>
      <c r="G3158" s="102">
        <v>1.0</v>
      </c>
      <c r="H3158" s="101" t="s">
        <v>2940</v>
      </c>
      <c r="I3158" s="102">
        <v>62.0</v>
      </c>
      <c r="J3158" s="102">
        <v>76.26</v>
      </c>
      <c r="K3158" s="101" t="s">
        <v>2941</v>
      </c>
      <c r="L3158" s="102">
        <v>23.0</v>
      </c>
      <c r="M3158" s="13"/>
    </row>
    <row r="3159">
      <c r="A3159" s="101" t="s">
        <v>5442</v>
      </c>
      <c r="B3159" s="101">
        <v>42610.0</v>
      </c>
      <c r="C3159" s="13"/>
      <c r="D3159" s="13"/>
      <c r="E3159" s="13"/>
      <c r="F3159" s="13"/>
      <c r="G3159" s="102">
        <v>2.0</v>
      </c>
      <c r="H3159" s="101" t="s">
        <v>2942</v>
      </c>
      <c r="I3159" s="102">
        <v>62.0</v>
      </c>
      <c r="J3159" s="102">
        <v>76.26</v>
      </c>
      <c r="K3159" s="101" t="s">
        <v>2941</v>
      </c>
      <c r="L3159" s="102">
        <v>23.0</v>
      </c>
      <c r="M3159" s="13"/>
    </row>
    <row r="3160">
      <c r="A3160" s="101" t="s">
        <v>5443</v>
      </c>
      <c r="B3160" s="101">
        <v>42611.0</v>
      </c>
      <c r="C3160" s="13"/>
      <c r="D3160" s="13"/>
      <c r="E3160" s="13"/>
      <c r="F3160" s="13"/>
      <c r="G3160" s="102">
        <v>1.0</v>
      </c>
      <c r="H3160" s="101" t="s">
        <v>2940</v>
      </c>
      <c r="I3160" s="102">
        <v>45.4</v>
      </c>
      <c r="J3160" s="102">
        <v>55.84</v>
      </c>
      <c r="K3160" s="101" t="s">
        <v>2941</v>
      </c>
      <c r="L3160" s="102">
        <v>23.0</v>
      </c>
      <c r="M3160" s="13"/>
    </row>
    <row r="3161">
      <c r="A3161" s="101" t="s">
        <v>5443</v>
      </c>
      <c r="B3161" s="101">
        <v>42611.0</v>
      </c>
      <c r="C3161" s="13"/>
      <c r="D3161" s="13"/>
      <c r="E3161" s="13"/>
      <c r="F3161" s="13"/>
      <c r="G3161" s="102">
        <v>2.0</v>
      </c>
      <c r="H3161" s="101" t="s">
        <v>2942</v>
      </c>
      <c r="I3161" s="102">
        <v>45.4</v>
      </c>
      <c r="J3161" s="102">
        <v>55.84</v>
      </c>
      <c r="K3161" s="101" t="s">
        <v>2941</v>
      </c>
      <c r="L3161" s="102">
        <v>23.0</v>
      </c>
      <c r="M3161" s="13"/>
    </row>
    <row r="3162">
      <c r="A3162" s="101" t="s">
        <v>5444</v>
      </c>
      <c r="B3162" s="101">
        <v>42612.0</v>
      </c>
      <c r="C3162" s="13"/>
      <c r="D3162" s="13"/>
      <c r="E3162" s="13"/>
      <c r="F3162" s="13"/>
      <c r="G3162" s="102">
        <v>1.0</v>
      </c>
      <c r="H3162" s="101" t="s">
        <v>2940</v>
      </c>
      <c r="I3162" s="102">
        <v>53.0</v>
      </c>
      <c r="J3162" s="102">
        <v>65.19</v>
      </c>
      <c r="K3162" s="101" t="s">
        <v>2941</v>
      </c>
      <c r="L3162" s="102">
        <v>23.0</v>
      </c>
      <c r="M3162" s="13"/>
    </row>
    <row r="3163">
      <c r="A3163" s="101" t="s">
        <v>5444</v>
      </c>
      <c r="B3163" s="101">
        <v>42612.0</v>
      </c>
      <c r="C3163" s="13"/>
      <c r="D3163" s="13"/>
      <c r="E3163" s="13"/>
      <c r="F3163" s="13"/>
      <c r="G3163" s="102">
        <v>2.0</v>
      </c>
      <c r="H3163" s="101" t="s">
        <v>2942</v>
      </c>
      <c r="I3163" s="102">
        <v>53.0</v>
      </c>
      <c r="J3163" s="102">
        <v>65.19</v>
      </c>
      <c r="K3163" s="101" t="s">
        <v>2941</v>
      </c>
      <c r="L3163" s="102">
        <v>23.0</v>
      </c>
      <c r="M3163" s="13"/>
    </row>
    <row r="3164">
      <c r="A3164" s="101" t="s">
        <v>5445</v>
      </c>
      <c r="B3164" s="101">
        <v>42614.0</v>
      </c>
      <c r="C3164" s="13"/>
      <c r="D3164" s="13"/>
      <c r="E3164" s="13"/>
      <c r="F3164" s="13"/>
      <c r="G3164" s="102">
        <v>1.0</v>
      </c>
      <c r="H3164" s="101" t="s">
        <v>2940</v>
      </c>
      <c r="I3164" s="102">
        <v>85.7</v>
      </c>
      <c r="J3164" s="102">
        <v>105.41</v>
      </c>
      <c r="K3164" s="101" t="s">
        <v>2941</v>
      </c>
      <c r="L3164" s="102">
        <v>23.0</v>
      </c>
      <c r="M3164" s="13"/>
    </row>
    <row r="3165">
      <c r="A3165" s="101" t="s">
        <v>5445</v>
      </c>
      <c r="B3165" s="101">
        <v>42614.0</v>
      </c>
      <c r="C3165" s="13"/>
      <c r="D3165" s="13"/>
      <c r="E3165" s="13"/>
      <c r="F3165" s="13"/>
      <c r="G3165" s="102">
        <v>2.0</v>
      </c>
      <c r="H3165" s="101" t="s">
        <v>2942</v>
      </c>
      <c r="I3165" s="102">
        <v>85.7</v>
      </c>
      <c r="J3165" s="102">
        <v>105.41</v>
      </c>
      <c r="K3165" s="101" t="s">
        <v>2941</v>
      </c>
      <c r="L3165" s="102">
        <v>23.0</v>
      </c>
      <c r="M3165" s="13"/>
    </row>
    <row r="3166">
      <c r="A3166" s="101" t="s">
        <v>5446</v>
      </c>
      <c r="B3166" s="101" t="s">
        <v>5447</v>
      </c>
      <c r="D3166" s="13"/>
      <c r="E3166" s="13"/>
      <c r="F3166" s="13"/>
      <c r="G3166" s="102">
        <v>1.0</v>
      </c>
      <c r="H3166" s="101" t="s">
        <v>2940</v>
      </c>
      <c r="I3166" s="102">
        <v>35.37</v>
      </c>
      <c r="J3166" s="102">
        <v>43.51</v>
      </c>
      <c r="K3166" s="101" t="s">
        <v>2941</v>
      </c>
      <c r="L3166" s="102">
        <v>23.0</v>
      </c>
      <c r="M3166" s="13"/>
    </row>
    <row r="3167">
      <c r="A3167" s="101" t="s">
        <v>5446</v>
      </c>
      <c r="B3167" s="101" t="s">
        <v>5447</v>
      </c>
      <c r="D3167" s="13"/>
      <c r="E3167" s="13"/>
      <c r="F3167" s="13"/>
      <c r="G3167" s="102">
        <v>2.0</v>
      </c>
      <c r="H3167" s="101" t="s">
        <v>2942</v>
      </c>
      <c r="I3167" s="102">
        <v>28.3</v>
      </c>
      <c r="J3167" s="102">
        <v>34.81</v>
      </c>
      <c r="K3167" s="101" t="s">
        <v>2941</v>
      </c>
      <c r="L3167" s="102">
        <v>23.0</v>
      </c>
      <c r="M3167" s="13"/>
    </row>
    <row r="3168">
      <c r="A3168" s="101" t="s">
        <v>5448</v>
      </c>
      <c r="B3168" s="101">
        <v>1326.0</v>
      </c>
      <c r="C3168" s="13"/>
      <c r="D3168" s="13"/>
      <c r="E3168" s="13"/>
      <c r="F3168" s="13"/>
      <c r="G3168" s="102">
        <v>1.0</v>
      </c>
      <c r="H3168" s="101" t="s">
        <v>2940</v>
      </c>
      <c r="I3168" s="102">
        <v>37.4</v>
      </c>
      <c r="J3168" s="102">
        <v>46.0</v>
      </c>
      <c r="K3168" s="101" t="s">
        <v>2941</v>
      </c>
      <c r="L3168" s="102">
        <v>23.0</v>
      </c>
      <c r="M3168" s="13"/>
    </row>
    <row r="3169">
      <c r="A3169" s="101" t="s">
        <v>5448</v>
      </c>
      <c r="B3169" s="101">
        <v>1326.0</v>
      </c>
      <c r="C3169" s="13"/>
      <c r="D3169" s="13"/>
      <c r="E3169" s="13"/>
      <c r="F3169" s="13"/>
      <c r="G3169" s="102">
        <v>2.0</v>
      </c>
      <c r="H3169" s="101" t="s">
        <v>2942</v>
      </c>
      <c r="I3169" s="102">
        <v>37.4</v>
      </c>
      <c r="J3169" s="102">
        <v>46.0</v>
      </c>
      <c r="K3169" s="101" t="s">
        <v>2941</v>
      </c>
      <c r="L3169" s="102">
        <v>23.0</v>
      </c>
      <c r="M3169" s="13"/>
    </row>
    <row r="3170">
      <c r="A3170" s="101" t="s">
        <v>5449</v>
      </c>
      <c r="B3170" s="101" t="s">
        <v>5450</v>
      </c>
      <c r="D3170" s="13"/>
      <c r="E3170" s="13"/>
      <c r="F3170" s="13"/>
      <c r="G3170" s="102">
        <v>1.0</v>
      </c>
      <c r="H3170" s="101" t="s">
        <v>2940</v>
      </c>
      <c r="I3170" s="102">
        <v>37.4</v>
      </c>
      <c r="J3170" s="102">
        <v>46.0</v>
      </c>
      <c r="K3170" s="101" t="s">
        <v>2941</v>
      </c>
      <c r="L3170" s="102">
        <v>23.0</v>
      </c>
      <c r="M3170" s="13"/>
    </row>
    <row r="3171">
      <c r="A3171" s="101" t="s">
        <v>5449</v>
      </c>
      <c r="B3171" s="101" t="s">
        <v>5450</v>
      </c>
      <c r="D3171" s="13"/>
      <c r="E3171" s="13"/>
      <c r="F3171" s="13"/>
      <c r="G3171" s="102">
        <v>2.0</v>
      </c>
      <c r="H3171" s="101" t="s">
        <v>2942</v>
      </c>
      <c r="I3171" s="102">
        <v>37.4</v>
      </c>
      <c r="J3171" s="102">
        <v>46.0</v>
      </c>
      <c r="K3171" s="101" t="s">
        <v>2941</v>
      </c>
      <c r="L3171" s="102">
        <v>23.0</v>
      </c>
      <c r="M3171" s="13"/>
    </row>
    <row r="3172">
      <c r="A3172" s="101" t="s">
        <v>5451</v>
      </c>
      <c r="B3172" s="101">
        <v>1676.0</v>
      </c>
      <c r="C3172" s="13"/>
      <c r="D3172" s="13"/>
      <c r="E3172" s="13"/>
      <c r="F3172" s="13"/>
      <c r="G3172" s="102">
        <v>1.0</v>
      </c>
      <c r="H3172" s="101" t="s">
        <v>2940</v>
      </c>
      <c r="I3172" s="102">
        <v>57.8</v>
      </c>
      <c r="J3172" s="102">
        <v>71.09</v>
      </c>
      <c r="K3172" s="101" t="s">
        <v>2941</v>
      </c>
      <c r="L3172" s="102">
        <v>23.0</v>
      </c>
      <c r="M3172" s="13"/>
    </row>
    <row r="3173">
      <c r="A3173" s="101" t="s">
        <v>5451</v>
      </c>
      <c r="B3173" s="101">
        <v>1676.0</v>
      </c>
      <c r="C3173" s="13"/>
      <c r="D3173" s="13"/>
      <c r="E3173" s="13"/>
      <c r="F3173" s="13"/>
      <c r="G3173" s="102">
        <v>2.0</v>
      </c>
      <c r="H3173" s="101" t="s">
        <v>2942</v>
      </c>
      <c r="I3173" s="102">
        <v>57.8</v>
      </c>
      <c r="J3173" s="102">
        <v>71.09</v>
      </c>
      <c r="K3173" s="101" t="s">
        <v>2941</v>
      </c>
      <c r="L3173" s="102">
        <v>23.0</v>
      </c>
      <c r="M3173" s="13"/>
    </row>
    <row r="3174">
      <c r="A3174" s="101" t="s">
        <v>5452</v>
      </c>
      <c r="B3174" s="101">
        <v>1086.0</v>
      </c>
      <c r="C3174" s="13"/>
      <c r="D3174" s="13"/>
      <c r="E3174" s="13"/>
      <c r="F3174" s="13"/>
      <c r="G3174" s="102">
        <v>1.0</v>
      </c>
      <c r="H3174" s="101" t="s">
        <v>2940</v>
      </c>
      <c r="I3174" s="102">
        <v>29.59</v>
      </c>
      <c r="J3174" s="102">
        <v>36.4</v>
      </c>
      <c r="K3174" s="101" t="s">
        <v>2941</v>
      </c>
      <c r="L3174" s="102">
        <v>23.0</v>
      </c>
      <c r="M3174" s="13"/>
    </row>
    <row r="3175">
      <c r="A3175" s="101" t="s">
        <v>5452</v>
      </c>
      <c r="B3175" s="101">
        <v>1086.0</v>
      </c>
      <c r="C3175" s="13"/>
      <c r="D3175" s="13"/>
      <c r="E3175" s="13"/>
      <c r="F3175" s="13"/>
      <c r="G3175" s="102">
        <v>2.0</v>
      </c>
      <c r="H3175" s="101" t="s">
        <v>2942</v>
      </c>
      <c r="I3175" s="102">
        <v>29.6</v>
      </c>
      <c r="J3175" s="102">
        <v>36.41</v>
      </c>
      <c r="K3175" s="101" t="s">
        <v>2941</v>
      </c>
      <c r="L3175" s="102">
        <v>23.0</v>
      </c>
      <c r="M3175" s="13"/>
    </row>
    <row r="3176">
      <c r="A3176" s="101" t="s">
        <v>5453</v>
      </c>
      <c r="B3176" s="101" t="s">
        <v>5454</v>
      </c>
      <c r="D3176" s="13"/>
      <c r="E3176" s="13"/>
      <c r="F3176" s="13"/>
      <c r="G3176" s="102">
        <v>1.0</v>
      </c>
      <c r="H3176" s="101" t="s">
        <v>2940</v>
      </c>
      <c r="I3176" s="102">
        <v>25.61</v>
      </c>
      <c r="J3176" s="102">
        <v>31.5</v>
      </c>
      <c r="K3176" s="101" t="s">
        <v>2941</v>
      </c>
      <c r="L3176" s="102">
        <v>23.0</v>
      </c>
      <c r="M3176" s="13"/>
    </row>
    <row r="3177">
      <c r="A3177" s="101" t="s">
        <v>5453</v>
      </c>
      <c r="B3177" s="101" t="s">
        <v>5454</v>
      </c>
      <c r="D3177" s="13"/>
      <c r="E3177" s="13"/>
      <c r="F3177" s="13"/>
      <c r="G3177" s="102">
        <v>2.0</v>
      </c>
      <c r="H3177" s="101" t="s">
        <v>2942</v>
      </c>
      <c r="I3177" s="102">
        <v>20.5</v>
      </c>
      <c r="J3177" s="102">
        <v>25.22</v>
      </c>
      <c r="K3177" s="101" t="s">
        <v>2941</v>
      </c>
      <c r="L3177" s="102">
        <v>23.0</v>
      </c>
      <c r="M3177" s="13"/>
    </row>
    <row r="3178">
      <c r="A3178" s="101" t="s">
        <v>5455</v>
      </c>
      <c r="B3178" s="101">
        <v>42602.0</v>
      </c>
      <c r="C3178" s="13"/>
      <c r="D3178" s="13"/>
      <c r="E3178" s="13"/>
      <c r="F3178" s="13"/>
      <c r="G3178" s="102">
        <v>1.0</v>
      </c>
      <c r="H3178" s="101" t="s">
        <v>2940</v>
      </c>
      <c r="I3178" s="102">
        <v>78.94</v>
      </c>
      <c r="J3178" s="102">
        <v>97.1</v>
      </c>
      <c r="K3178" s="101" t="s">
        <v>2941</v>
      </c>
      <c r="L3178" s="102">
        <v>23.0</v>
      </c>
      <c r="M3178" s="13"/>
    </row>
    <row r="3179">
      <c r="A3179" s="101" t="s">
        <v>5455</v>
      </c>
      <c r="B3179" s="101">
        <v>42602.0</v>
      </c>
      <c r="C3179" s="13"/>
      <c r="D3179" s="13"/>
      <c r="E3179" s="13"/>
      <c r="F3179" s="13"/>
      <c r="G3179" s="102">
        <v>2.0</v>
      </c>
      <c r="H3179" s="101" t="s">
        <v>2942</v>
      </c>
      <c r="I3179" s="102">
        <v>63.2</v>
      </c>
      <c r="J3179" s="102">
        <v>77.74</v>
      </c>
      <c r="K3179" s="101" t="s">
        <v>2941</v>
      </c>
      <c r="L3179" s="102">
        <v>23.0</v>
      </c>
      <c r="M3179" s="13"/>
    </row>
    <row r="3180">
      <c r="A3180" s="101" t="s">
        <v>5456</v>
      </c>
      <c r="B3180" s="101">
        <v>626.0</v>
      </c>
      <c r="C3180" s="13"/>
      <c r="D3180" s="13"/>
      <c r="E3180" s="13"/>
      <c r="F3180" s="13"/>
      <c r="G3180" s="102">
        <v>1.0</v>
      </c>
      <c r="H3180" s="101" t="s">
        <v>2940</v>
      </c>
      <c r="I3180" s="102">
        <v>78.78</v>
      </c>
      <c r="J3180" s="102">
        <v>96.9</v>
      </c>
      <c r="K3180" s="101" t="s">
        <v>2941</v>
      </c>
      <c r="L3180" s="102">
        <v>23.0</v>
      </c>
      <c r="M3180" s="13"/>
    </row>
    <row r="3181">
      <c r="A3181" s="101" t="s">
        <v>5456</v>
      </c>
      <c r="B3181" s="101">
        <v>626.0</v>
      </c>
      <c r="C3181" s="13"/>
      <c r="D3181" s="13"/>
      <c r="E3181" s="13"/>
      <c r="F3181" s="13"/>
      <c r="G3181" s="102">
        <v>2.0</v>
      </c>
      <c r="H3181" s="101" t="s">
        <v>2942</v>
      </c>
      <c r="I3181" s="102">
        <v>78.8</v>
      </c>
      <c r="J3181" s="102">
        <v>96.92</v>
      </c>
      <c r="K3181" s="101" t="s">
        <v>2941</v>
      </c>
      <c r="L3181" s="102">
        <v>23.0</v>
      </c>
      <c r="M3181" s="13"/>
    </row>
    <row r="3182">
      <c r="A3182" s="101" t="s">
        <v>5457</v>
      </c>
      <c r="B3182" s="101">
        <v>42603.0</v>
      </c>
      <c r="C3182" s="13"/>
      <c r="D3182" s="13"/>
      <c r="E3182" s="13"/>
      <c r="F3182" s="13"/>
      <c r="G3182" s="102">
        <v>1.0</v>
      </c>
      <c r="H3182" s="101" t="s">
        <v>2940</v>
      </c>
      <c r="I3182" s="102">
        <v>83.17</v>
      </c>
      <c r="J3182" s="102">
        <v>102.3</v>
      </c>
      <c r="K3182" s="101" t="s">
        <v>2941</v>
      </c>
      <c r="L3182" s="102">
        <v>23.0</v>
      </c>
      <c r="M3182" s="13"/>
    </row>
    <row r="3183">
      <c r="A3183" s="101" t="s">
        <v>5457</v>
      </c>
      <c r="B3183" s="101">
        <v>42603.0</v>
      </c>
      <c r="C3183" s="13"/>
      <c r="D3183" s="13"/>
      <c r="E3183" s="13"/>
      <c r="F3183" s="13"/>
      <c r="G3183" s="102">
        <v>2.0</v>
      </c>
      <c r="H3183" s="101" t="s">
        <v>2942</v>
      </c>
      <c r="I3183" s="102">
        <v>66.5</v>
      </c>
      <c r="J3183" s="102">
        <v>81.8</v>
      </c>
      <c r="K3183" s="101" t="s">
        <v>2941</v>
      </c>
      <c r="L3183" s="102">
        <v>23.0</v>
      </c>
      <c r="M3183" s="13"/>
    </row>
    <row r="3184">
      <c r="A3184" s="101" t="s">
        <v>5458</v>
      </c>
      <c r="B3184" s="101">
        <v>42604.0</v>
      </c>
      <c r="C3184" s="13"/>
      <c r="D3184" s="13"/>
      <c r="E3184" s="13"/>
      <c r="F3184" s="13"/>
      <c r="G3184" s="102">
        <v>1.0</v>
      </c>
      <c r="H3184" s="101" t="s">
        <v>2940</v>
      </c>
      <c r="I3184" s="102">
        <v>64.07</v>
      </c>
      <c r="J3184" s="102">
        <v>78.81</v>
      </c>
      <c r="K3184" s="101" t="s">
        <v>2941</v>
      </c>
      <c r="L3184" s="102">
        <v>23.0</v>
      </c>
      <c r="M3184" s="13"/>
    </row>
    <row r="3185">
      <c r="A3185" s="101" t="s">
        <v>5458</v>
      </c>
      <c r="B3185" s="101">
        <v>42604.0</v>
      </c>
      <c r="C3185" s="13"/>
      <c r="D3185" s="13"/>
      <c r="E3185" s="13"/>
      <c r="F3185" s="13"/>
      <c r="G3185" s="102">
        <v>2.0</v>
      </c>
      <c r="H3185" s="101" t="s">
        <v>2942</v>
      </c>
      <c r="I3185" s="102">
        <v>51.3</v>
      </c>
      <c r="J3185" s="102">
        <v>63.1</v>
      </c>
      <c r="K3185" s="101" t="s">
        <v>2941</v>
      </c>
      <c r="L3185" s="102">
        <v>23.0</v>
      </c>
      <c r="M3185" s="13"/>
    </row>
    <row r="3186">
      <c r="A3186" s="101" t="s">
        <v>5459</v>
      </c>
      <c r="B3186" s="101">
        <v>42605.0</v>
      </c>
      <c r="C3186" s="13"/>
      <c r="D3186" s="13"/>
      <c r="E3186" s="13"/>
      <c r="F3186" s="13"/>
      <c r="G3186" s="102">
        <v>1.0</v>
      </c>
      <c r="H3186" s="101" t="s">
        <v>2940</v>
      </c>
      <c r="I3186" s="102">
        <v>75.8</v>
      </c>
      <c r="J3186" s="102">
        <v>93.23</v>
      </c>
      <c r="K3186" s="101" t="s">
        <v>2941</v>
      </c>
      <c r="L3186" s="102">
        <v>23.0</v>
      </c>
      <c r="M3186" s="13"/>
    </row>
    <row r="3187">
      <c r="A3187" s="101" t="s">
        <v>5459</v>
      </c>
      <c r="B3187" s="101">
        <v>42605.0</v>
      </c>
      <c r="C3187" s="13"/>
      <c r="D3187" s="13"/>
      <c r="E3187" s="13"/>
      <c r="F3187" s="13"/>
      <c r="G3187" s="102">
        <v>2.0</v>
      </c>
      <c r="H3187" s="101" t="s">
        <v>2942</v>
      </c>
      <c r="I3187" s="102">
        <v>75.8</v>
      </c>
      <c r="J3187" s="102">
        <v>93.23</v>
      </c>
      <c r="K3187" s="101" t="s">
        <v>2941</v>
      </c>
      <c r="L3187" s="102">
        <v>23.0</v>
      </c>
      <c r="M3187" s="13"/>
    </row>
  </sheetData>
  <mergeCells count="1680">
    <mergeCell ref="B2:C2"/>
    <mergeCell ref="B3:C3"/>
    <mergeCell ref="B6:C6"/>
    <mergeCell ref="B7:C7"/>
    <mergeCell ref="B8:C8"/>
    <mergeCell ref="B9:C9"/>
    <mergeCell ref="B20:C20"/>
    <mergeCell ref="B21:C21"/>
    <mergeCell ref="B22:C22"/>
    <mergeCell ref="B23:C23"/>
    <mergeCell ref="B30:C30"/>
    <mergeCell ref="B31:C31"/>
    <mergeCell ref="B34:C34"/>
    <mergeCell ref="B35:C35"/>
    <mergeCell ref="B88:C88"/>
    <mergeCell ref="B89:C89"/>
    <mergeCell ref="B114:C114"/>
    <mergeCell ref="B115:C115"/>
    <mergeCell ref="B120:C120"/>
    <mergeCell ref="B121:C121"/>
    <mergeCell ref="B122:C122"/>
    <mergeCell ref="B123:C123"/>
    <mergeCell ref="B130:C130"/>
    <mergeCell ref="B131:C131"/>
    <mergeCell ref="B132:C132"/>
    <mergeCell ref="B133:C133"/>
    <mergeCell ref="B136:C136"/>
    <mergeCell ref="B137:C137"/>
    <mergeCell ref="B156:C156"/>
    <mergeCell ref="B157:C157"/>
    <mergeCell ref="B168:C168"/>
    <mergeCell ref="B169:C169"/>
    <mergeCell ref="B170:C170"/>
    <mergeCell ref="B171:C171"/>
    <mergeCell ref="B172:C172"/>
    <mergeCell ref="B173:C173"/>
    <mergeCell ref="B210:C210"/>
    <mergeCell ref="B211:C211"/>
    <mergeCell ref="B248:C248"/>
    <mergeCell ref="B249:C249"/>
    <mergeCell ref="B250:C250"/>
    <mergeCell ref="B251:C251"/>
    <mergeCell ref="B252:C252"/>
    <mergeCell ref="B253:C253"/>
    <mergeCell ref="B268:C268"/>
    <mergeCell ref="B269:C269"/>
    <mergeCell ref="B314:C314"/>
    <mergeCell ref="B315:C315"/>
    <mergeCell ref="B364:C364"/>
    <mergeCell ref="B365:C365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8:C398"/>
    <mergeCell ref="B399:C399"/>
    <mergeCell ref="B400:C400"/>
    <mergeCell ref="B401:C401"/>
    <mergeCell ref="B404:C404"/>
    <mergeCell ref="B405:C405"/>
    <mergeCell ref="B408:C408"/>
    <mergeCell ref="B409:C409"/>
    <mergeCell ref="B422:C422"/>
    <mergeCell ref="B423:C423"/>
    <mergeCell ref="B434:C434"/>
    <mergeCell ref="B435:C435"/>
    <mergeCell ref="B456:C456"/>
    <mergeCell ref="B457:C457"/>
    <mergeCell ref="B460:C460"/>
    <mergeCell ref="B461:C461"/>
    <mergeCell ref="B522:C522"/>
    <mergeCell ref="B523:C523"/>
    <mergeCell ref="B526:C526"/>
    <mergeCell ref="B527:C527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91:C591"/>
    <mergeCell ref="B593:C593"/>
    <mergeCell ref="B596:C596"/>
    <mergeCell ref="B597:C597"/>
    <mergeCell ref="B598:C598"/>
    <mergeCell ref="B599:C599"/>
    <mergeCell ref="B634:C634"/>
    <mergeCell ref="B635:C635"/>
    <mergeCell ref="B636:C636"/>
    <mergeCell ref="B637:C637"/>
    <mergeCell ref="B642:C642"/>
    <mergeCell ref="B643:C643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8:C658"/>
    <mergeCell ref="B659:C659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8:C828"/>
    <mergeCell ref="B829:C829"/>
    <mergeCell ref="B830:C830"/>
    <mergeCell ref="B831:C831"/>
    <mergeCell ref="B834:C834"/>
    <mergeCell ref="B835:C835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8:C888"/>
    <mergeCell ref="B889:C889"/>
    <mergeCell ref="B890:C890"/>
    <mergeCell ref="B891:C891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2:C982"/>
    <mergeCell ref="B983:C983"/>
    <mergeCell ref="B984:C984"/>
    <mergeCell ref="B985:C985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2:C1042"/>
    <mergeCell ref="B1043:C1043"/>
    <mergeCell ref="B1046:C1046"/>
    <mergeCell ref="B1047:C1047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2:D1302"/>
    <mergeCell ref="B1303:D1303"/>
    <mergeCell ref="B1304:C1304"/>
    <mergeCell ref="B1305:C1305"/>
    <mergeCell ref="B1308:C1308"/>
    <mergeCell ref="B1309:C1309"/>
    <mergeCell ref="B1310:C1310"/>
    <mergeCell ref="B1311:C1311"/>
    <mergeCell ref="B1314:C1314"/>
    <mergeCell ref="B1315:C1315"/>
    <mergeCell ref="B1316:D1316"/>
    <mergeCell ref="B1317:D1317"/>
    <mergeCell ref="B1318:C1318"/>
    <mergeCell ref="B1319:C1319"/>
    <mergeCell ref="B1322:C1322"/>
    <mergeCell ref="B1323:C1323"/>
    <mergeCell ref="B1326:C1326"/>
    <mergeCell ref="B1327:C1327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D1354"/>
    <mergeCell ref="B1355:D1355"/>
    <mergeCell ref="B1356:C1356"/>
    <mergeCell ref="B1357:C1357"/>
    <mergeCell ref="B1358:C1358"/>
    <mergeCell ref="B1359:C1359"/>
    <mergeCell ref="B1360:C1360"/>
    <mergeCell ref="B1361:C1361"/>
    <mergeCell ref="B1362:D1362"/>
    <mergeCell ref="B1363:D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D1398"/>
    <mergeCell ref="B1399:D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D1408"/>
    <mergeCell ref="B1409:D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8:C1538"/>
    <mergeCell ref="B1539:C1539"/>
    <mergeCell ref="B1562:C1562"/>
    <mergeCell ref="B1563:C1563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4:C1614"/>
    <mergeCell ref="B1615:C1615"/>
    <mergeCell ref="B1618:C1618"/>
    <mergeCell ref="B1619:C1619"/>
    <mergeCell ref="B1622:C1622"/>
    <mergeCell ref="B1623:C1623"/>
    <mergeCell ref="B1624:C1624"/>
    <mergeCell ref="B1625:C1625"/>
    <mergeCell ref="B1626:C1626"/>
    <mergeCell ref="B1627:C1627"/>
    <mergeCell ref="B2012:C2012"/>
    <mergeCell ref="B2013:C2013"/>
    <mergeCell ref="B2014:D2014"/>
    <mergeCell ref="B2015:D2015"/>
    <mergeCell ref="B2016:C2016"/>
    <mergeCell ref="B2017:C2017"/>
    <mergeCell ref="B2018:C2018"/>
    <mergeCell ref="B2019:C2019"/>
    <mergeCell ref="B2020:D2020"/>
    <mergeCell ref="B2021:D2021"/>
    <mergeCell ref="B2022:C2022"/>
    <mergeCell ref="B2023:C2023"/>
    <mergeCell ref="B2024:D2024"/>
    <mergeCell ref="B2025:D2025"/>
    <mergeCell ref="B1960:C1960"/>
    <mergeCell ref="B1961:C1961"/>
    <mergeCell ref="B1962:C1962"/>
    <mergeCell ref="B1963:C1963"/>
    <mergeCell ref="B1964:C1964"/>
    <mergeCell ref="B1965:C1965"/>
    <mergeCell ref="B1968:C1968"/>
    <mergeCell ref="B1969:C1969"/>
    <mergeCell ref="B1972:C1972"/>
    <mergeCell ref="B1973:C1973"/>
    <mergeCell ref="B1974:C1974"/>
    <mergeCell ref="B1975:C1975"/>
    <mergeCell ref="B1976:C1976"/>
    <mergeCell ref="B1977:C1977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D2002"/>
    <mergeCell ref="B2003:D2003"/>
    <mergeCell ref="B2004:C2004"/>
    <mergeCell ref="B2005:C2005"/>
    <mergeCell ref="B2006:C2006"/>
    <mergeCell ref="B2007:C2007"/>
    <mergeCell ref="B2008:D2008"/>
    <mergeCell ref="B2009:D2009"/>
    <mergeCell ref="B2010:C2010"/>
    <mergeCell ref="B2011:C2011"/>
    <mergeCell ref="B2026:C2026"/>
    <mergeCell ref="B2027:C2027"/>
    <mergeCell ref="B2028:C2028"/>
    <mergeCell ref="B2029:C2029"/>
    <mergeCell ref="B2030:D2030"/>
    <mergeCell ref="B2031:D2031"/>
    <mergeCell ref="B2032:C2032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2:C2122"/>
    <mergeCell ref="B2123:C2123"/>
    <mergeCell ref="B2124:C2124"/>
    <mergeCell ref="B2125:C2125"/>
    <mergeCell ref="B2126:C2126"/>
    <mergeCell ref="B2127:C2127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2:C2202"/>
    <mergeCell ref="B2203:C2203"/>
    <mergeCell ref="B2204:C2204"/>
    <mergeCell ref="B2205:C2205"/>
    <mergeCell ref="B2206:C2206"/>
    <mergeCell ref="B2207:C2207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6:C2226"/>
    <mergeCell ref="B2227:C2227"/>
    <mergeCell ref="B2228:C2228"/>
    <mergeCell ref="B2229:C2229"/>
    <mergeCell ref="B2230:C2230"/>
    <mergeCell ref="B2231:C2231"/>
    <mergeCell ref="B2234:C2234"/>
    <mergeCell ref="B2235:C2235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340:C2340"/>
    <mergeCell ref="B2341:C2341"/>
    <mergeCell ref="B2342:C2342"/>
    <mergeCell ref="B2343:C2343"/>
    <mergeCell ref="B2352:C2352"/>
    <mergeCell ref="B2353:C2353"/>
    <mergeCell ref="B2354:C2354"/>
    <mergeCell ref="B2355:C2355"/>
    <mergeCell ref="B2356:C2356"/>
    <mergeCell ref="B2357:C2357"/>
    <mergeCell ref="B2386:C2386"/>
    <mergeCell ref="B2387:C2387"/>
    <mergeCell ref="B2412:C2412"/>
    <mergeCell ref="B2413:C2413"/>
    <mergeCell ref="B2414:C2414"/>
    <mergeCell ref="B2415:C2415"/>
    <mergeCell ref="B2434:C2434"/>
    <mergeCell ref="B2435:C2435"/>
    <mergeCell ref="B2436:C2436"/>
    <mergeCell ref="B2437:C2437"/>
    <mergeCell ref="B2438:C2438"/>
    <mergeCell ref="B2439:C2439"/>
    <mergeCell ref="B2450:C2450"/>
    <mergeCell ref="B2451:C2451"/>
    <mergeCell ref="B2460:C2460"/>
    <mergeCell ref="B2461:C2461"/>
    <mergeCell ref="B2462:C2462"/>
    <mergeCell ref="B2463:C2463"/>
    <mergeCell ref="B2464:C2464"/>
    <mergeCell ref="B2465:C2465"/>
    <mergeCell ref="B2468:C2468"/>
    <mergeCell ref="B2469:C2469"/>
    <mergeCell ref="B2482:C2482"/>
    <mergeCell ref="B2483:C2483"/>
    <mergeCell ref="B2484:C2484"/>
    <mergeCell ref="B2485:C2485"/>
    <mergeCell ref="B2764:C2764"/>
    <mergeCell ref="B2765:C2765"/>
    <mergeCell ref="B2766:C2766"/>
    <mergeCell ref="B2767:C2767"/>
    <mergeCell ref="B2828:C2828"/>
    <mergeCell ref="B2829:C2829"/>
    <mergeCell ref="B2842:C2842"/>
    <mergeCell ref="B2843:C2843"/>
    <mergeCell ref="B2848:C2848"/>
    <mergeCell ref="B2849:C2849"/>
    <mergeCell ref="B2850:C2850"/>
    <mergeCell ref="B2851:C2851"/>
    <mergeCell ref="B2868:C2868"/>
    <mergeCell ref="B2869:C2869"/>
    <mergeCell ref="B3027:C3027"/>
    <mergeCell ref="B3046:C3046"/>
    <mergeCell ref="B3047:C3047"/>
    <mergeCell ref="B3048:C3048"/>
    <mergeCell ref="B3049:C3049"/>
    <mergeCell ref="B3052:C3052"/>
    <mergeCell ref="B3053:C3053"/>
    <mergeCell ref="B3143:C3143"/>
    <mergeCell ref="B3166:C3166"/>
    <mergeCell ref="B3167:C3167"/>
    <mergeCell ref="B3170:C3170"/>
    <mergeCell ref="B3171:C3171"/>
    <mergeCell ref="B3176:C3176"/>
    <mergeCell ref="B3177:C3177"/>
    <mergeCell ref="B3054:C3054"/>
    <mergeCell ref="B3055:C3055"/>
    <mergeCell ref="B3118:C3118"/>
    <mergeCell ref="B3119:C3119"/>
    <mergeCell ref="B3138:C3138"/>
    <mergeCell ref="B3139:C3139"/>
    <mergeCell ref="B3142:C3142"/>
    <mergeCell ref="B2486:C2486"/>
    <mergeCell ref="B2487:C2487"/>
    <mergeCell ref="B2496:C2496"/>
    <mergeCell ref="B2497:C2497"/>
    <mergeCell ref="B2498:C2498"/>
    <mergeCell ref="B2499:C2499"/>
    <mergeCell ref="B2500:C2500"/>
    <mergeCell ref="B2501:C2501"/>
    <mergeCell ref="B2514:C2514"/>
    <mergeCell ref="B2515:C2515"/>
    <mergeCell ref="B2568:C2568"/>
    <mergeCell ref="B2569:C2569"/>
    <mergeCell ref="B2572:C2572"/>
    <mergeCell ref="B2573:C2573"/>
    <mergeCell ref="B2574:C2574"/>
    <mergeCell ref="B2575:C2575"/>
    <mergeCell ref="B2588:C2588"/>
    <mergeCell ref="B2589:C2589"/>
    <mergeCell ref="B2590:C2590"/>
    <mergeCell ref="B2591:C2591"/>
    <mergeCell ref="B2656:C2656"/>
    <mergeCell ref="B2657:C2657"/>
    <mergeCell ref="B2666:C2666"/>
    <mergeCell ref="B2667:C2667"/>
    <mergeCell ref="B2670:C2670"/>
    <mergeCell ref="B2671:C2671"/>
    <mergeCell ref="B2672:C2672"/>
    <mergeCell ref="B2673:C2673"/>
    <mergeCell ref="B2688:C2688"/>
    <mergeCell ref="B2689:C2689"/>
    <mergeCell ref="B2712:C2712"/>
    <mergeCell ref="B2713:C2713"/>
    <mergeCell ref="B2752:C2752"/>
    <mergeCell ref="B2753:C2753"/>
    <mergeCell ref="B2754:C2754"/>
    <mergeCell ref="B2755:C2755"/>
    <mergeCell ref="B2756:C2756"/>
    <mergeCell ref="B2757:C2757"/>
    <mergeCell ref="B2760:C2760"/>
    <mergeCell ref="B2761:C2761"/>
    <mergeCell ref="B2762:C2762"/>
    <mergeCell ref="B2763:C2763"/>
    <mergeCell ref="B2902:C2902"/>
    <mergeCell ref="B2903:C2903"/>
    <mergeCell ref="B2930:C2930"/>
    <mergeCell ref="B2931:C2931"/>
    <mergeCell ref="B2950:C2950"/>
    <mergeCell ref="B2951:C2951"/>
    <mergeCell ref="B3026:C3026"/>
    <mergeCell ref="B1630:C1630"/>
    <mergeCell ref="B1631:C1631"/>
    <mergeCell ref="B1632:D1632"/>
    <mergeCell ref="B1633:D1633"/>
    <mergeCell ref="B1634:C1634"/>
    <mergeCell ref="B1635:C1635"/>
    <mergeCell ref="B1636:D1636"/>
    <mergeCell ref="B1637:D1637"/>
    <mergeCell ref="B1638:C1638"/>
    <mergeCell ref="B1639:C1639"/>
    <mergeCell ref="B1640:D1640"/>
    <mergeCell ref="B1641:D1641"/>
    <mergeCell ref="B1644:C1644"/>
    <mergeCell ref="B1645:C1645"/>
    <mergeCell ref="B1646:C1646"/>
    <mergeCell ref="B1647:C1647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D1674"/>
    <mergeCell ref="B1675:D1675"/>
    <mergeCell ref="B1676:C1676"/>
    <mergeCell ref="B1677:C1677"/>
    <mergeCell ref="B1678:D1678"/>
    <mergeCell ref="B1679:D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2:C1692"/>
    <mergeCell ref="B1693:C1693"/>
    <mergeCell ref="B1698:C1698"/>
    <mergeCell ref="B1699:C1699"/>
    <mergeCell ref="B1704:C1704"/>
    <mergeCell ref="B1705:C1705"/>
    <mergeCell ref="B1708:C1708"/>
    <mergeCell ref="B1709:C1709"/>
    <mergeCell ref="B1710:D1710"/>
    <mergeCell ref="B1711:D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6:C1736"/>
    <mergeCell ref="B1737:C1737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4:C2054"/>
    <mergeCell ref="B2055:C2055"/>
    <mergeCell ref="B2056:C2056"/>
    <mergeCell ref="B2057:C2057"/>
    <mergeCell ref="B2060:C2060"/>
    <mergeCell ref="B2061:C2061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14"/>
    <col customWidth="1" min="2" max="2" width="8.29"/>
    <col customWidth="1" min="3" max="3" width="19.71"/>
    <col customWidth="1" min="4" max="5" width="18.43"/>
    <col customWidth="1" min="6" max="6" width="17.86"/>
    <col customWidth="1" min="7" max="7" width="24.57"/>
    <col customWidth="1" min="8" max="9" width="17.86"/>
    <col customWidth="1" min="10" max="10" width="14.0"/>
    <col customWidth="1" min="11" max="30" width="8.71"/>
  </cols>
  <sheetData>
    <row r="1" ht="15.75" customHeight="1">
      <c r="A1" s="104" t="s">
        <v>5460</v>
      </c>
      <c r="B1" s="104" t="s">
        <v>5461</v>
      </c>
      <c r="C1" s="104" t="s">
        <v>5462</v>
      </c>
      <c r="D1" s="104" t="s">
        <v>2926</v>
      </c>
      <c r="E1" s="104" t="s">
        <v>5463</v>
      </c>
      <c r="F1" s="104" t="s">
        <v>5464</v>
      </c>
      <c r="G1" s="104" t="s">
        <v>5465</v>
      </c>
      <c r="H1" s="104" t="s">
        <v>5465</v>
      </c>
      <c r="I1" s="105" t="s">
        <v>5466</v>
      </c>
      <c r="J1" s="106" t="s">
        <v>5467</v>
      </c>
      <c r="K1" s="106" t="s">
        <v>5468</v>
      </c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</row>
    <row r="2" ht="15.75" customHeight="1">
      <c r="A2" s="104"/>
      <c r="B2" s="104"/>
      <c r="C2" s="104" t="s">
        <v>5469</v>
      </c>
      <c r="D2" s="104" t="s">
        <v>5470</v>
      </c>
      <c r="E2" s="104" t="s">
        <v>5470</v>
      </c>
      <c r="F2" s="104" t="s">
        <v>5470</v>
      </c>
      <c r="G2" s="104" t="s">
        <v>5471</v>
      </c>
      <c r="H2" s="108" t="s">
        <v>5472</v>
      </c>
      <c r="I2" s="109"/>
      <c r="J2" s="110">
        <v>0.1</v>
      </c>
      <c r="K2" s="110">
        <v>0.2</v>
      </c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</row>
    <row r="3" ht="15.75" customHeight="1">
      <c r="A3" s="69" t="s">
        <v>3359</v>
      </c>
      <c r="B3" s="69" t="s">
        <v>5473</v>
      </c>
      <c r="C3" s="112" t="s">
        <v>5474</v>
      </c>
      <c r="D3" s="69"/>
      <c r="E3" s="69" t="s">
        <v>3360</v>
      </c>
      <c r="F3" s="69" t="s">
        <v>5475</v>
      </c>
      <c r="G3" s="69" t="s">
        <v>376</v>
      </c>
      <c r="H3" s="113" t="s">
        <v>1369</v>
      </c>
      <c r="I3" s="114">
        <f t="array" ref="I3">XLOOKUP(G3,KLUS!$A$2:$A$2010,KLUS!$E$2:$E$2010)+XLOOKUP(H3,KLUS!$A$2:$A$2010,KLUS!$E$2:$E$2010)</f>
        <v>27.3</v>
      </c>
      <c r="J3" s="114">
        <f t="shared" ref="J3:J521" si="1">I3*(1-$J$2)</f>
        <v>24.57</v>
      </c>
      <c r="K3" s="115">
        <f t="shared" ref="K3:K521" si="2">J3*(1-$K$2)</f>
        <v>19.656</v>
      </c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</row>
    <row r="4" ht="15.75" customHeight="1">
      <c r="A4" s="69" t="s">
        <v>3361</v>
      </c>
      <c r="B4" s="69" t="s">
        <v>5473</v>
      </c>
      <c r="C4" s="112" t="s">
        <v>5476</v>
      </c>
      <c r="D4" s="69"/>
      <c r="E4" s="69" t="s">
        <v>3362</v>
      </c>
      <c r="F4" s="69" t="s">
        <v>5477</v>
      </c>
      <c r="G4" s="69" t="s">
        <v>376</v>
      </c>
      <c r="H4" s="116" t="s">
        <v>1356</v>
      </c>
      <c r="I4" s="114">
        <f t="array" ref="I4">XLOOKUP(G4,KLUS!$A$2:$A$2010,KLUS!$E$2:$E$2010)+XLOOKUP(H4,KLUS!$A$2:$A$2010,KLUS!$E$2:$E$2010)</f>
        <v>21.5</v>
      </c>
      <c r="J4" s="114">
        <f t="shared" si="1"/>
        <v>19.35</v>
      </c>
      <c r="K4" s="115">
        <f t="shared" si="2"/>
        <v>15.48</v>
      </c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</row>
    <row r="5" ht="15.75" customHeight="1">
      <c r="A5" s="69" t="s">
        <v>3363</v>
      </c>
      <c r="B5" s="69" t="s">
        <v>5473</v>
      </c>
      <c r="C5" s="112" t="s">
        <v>5478</v>
      </c>
      <c r="D5" s="69"/>
      <c r="E5" s="69" t="s">
        <v>3364</v>
      </c>
      <c r="F5" s="69" t="s">
        <v>5479</v>
      </c>
      <c r="G5" s="69" t="s">
        <v>376</v>
      </c>
      <c r="H5" s="113" t="s">
        <v>1406</v>
      </c>
      <c r="I5" s="114">
        <f t="array" ref="I5">XLOOKUP(G5,KLUS!$A$2:$A$2010,KLUS!$E$2:$E$2010)+XLOOKUP(H5,KLUS!$A$2:$A$2010,KLUS!$E$2:$E$2010)</f>
        <v>33.7</v>
      </c>
      <c r="J5" s="114">
        <f t="shared" si="1"/>
        <v>30.33</v>
      </c>
      <c r="K5" s="115">
        <f t="shared" si="2"/>
        <v>24.264</v>
      </c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</row>
    <row r="6" ht="15.75" customHeight="1">
      <c r="A6" s="69" t="s">
        <v>3365</v>
      </c>
      <c r="B6" s="69" t="s">
        <v>5473</v>
      </c>
      <c r="C6" s="112" t="s">
        <v>5480</v>
      </c>
      <c r="D6" s="69"/>
      <c r="E6" s="69" t="s">
        <v>3366</v>
      </c>
      <c r="F6" s="69" t="s">
        <v>5481</v>
      </c>
      <c r="G6" s="69" t="s">
        <v>376</v>
      </c>
      <c r="H6" s="113" t="s">
        <v>1376</v>
      </c>
      <c r="I6" s="114">
        <f t="array" ref="I6">XLOOKUP(G6,KLUS!$A$2:$A$2010,KLUS!$E$2:$E$2010)+XLOOKUP(H6,KLUS!$A$2:$A$2010,KLUS!$E$2:$E$2010)</f>
        <v>27.3</v>
      </c>
      <c r="J6" s="114">
        <f t="shared" si="1"/>
        <v>24.57</v>
      </c>
      <c r="K6" s="115">
        <f t="shared" si="2"/>
        <v>19.656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</row>
    <row r="7" ht="15.75" customHeight="1">
      <c r="A7" s="69" t="s">
        <v>3367</v>
      </c>
      <c r="B7" s="69" t="s">
        <v>5473</v>
      </c>
      <c r="C7" s="112" t="s">
        <v>5482</v>
      </c>
      <c r="D7" s="69"/>
      <c r="E7" s="69" t="s">
        <v>3368</v>
      </c>
      <c r="F7" s="69" t="s">
        <v>5483</v>
      </c>
      <c r="G7" s="69" t="s">
        <v>376</v>
      </c>
      <c r="H7" s="113" t="s">
        <v>1363</v>
      </c>
      <c r="I7" s="114">
        <f t="array" ref="I7">XLOOKUP(G7,KLUS!$A$2:$A$2010,KLUS!$E$2:$E$2010)+XLOOKUP(H7,KLUS!$A$2:$A$2010,KLUS!$E$2:$E$2010)</f>
        <v>21.5</v>
      </c>
      <c r="J7" s="114">
        <f t="shared" si="1"/>
        <v>19.35</v>
      </c>
      <c r="K7" s="115">
        <f t="shared" si="2"/>
        <v>15.48</v>
      </c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</row>
    <row r="8" ht="15.75" customHeight="1">
      <c r="A8" s="69" t="s">
        <v>3371</v>
      </c>
      <c r="B8" s="69" t="s">
        <v>5473</v>
      </c>
      <c r="C8" s="112" t="s">
        <v>5484</v>
      </c>
      <c r="D8" s="69"/>
      <c r="E8" s="69" t="s">
        <v>3372</v>
      </c>
      <c r="F8" s="69" t="s">
        <v>5485</v>
      </c>
      <c r="G8" s="69" t="s">
        <v>379</v>
      </c>
      <c r="H8" s="113" t="s">
        <v>1372</v>
      </c>
      <c r="I8" s="114">
        <f t="array" ref="I8">XLOOKUP(G8,KLUS!$A$2:$A$2010,KLUS!$E$2:$E$2010)+XLOOKUP(H8,KLUS!$A$2:$A$2010,KLUS!$E$2:$E$2010)</f>
        <v>54.5</v>
      </c>
      <c r="J8" s="114">
        <f t="shared" si="1"/>
        <v>49.05</v>
      </c>
      <c r="K8" s="115">
        <f t="shared" si="2"/>
        <v>39.24</v>
      </c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</row>
    <row r="9" ht="15.75" customHeight="1">
      <c r="A9" s="69" t="s">
        <v>3373</v>
      </c>
      <c r="B9" s="69" t="s">
        <v>5486</v>
      </c>
      <c r="C9" s="112" t="s">
        <v>5487</v>
      </c>
      <c r="D9" s="69"/>
      <c r="E9" s="69" t="s">
        <v>3374</v>
      </c>
      <c r="F9" s="69" t="s">
        <v>5488</v>
      </c>
      <c r="G9" s="69" t="s">
        <v>379</v>
      </c>
      <c r="H9" s="113" t="s">
        <v>1359</v>
      </c>
      <c r="I9" s="114">
        <f t="array" ref="I9">XLOOKUP(G9,KLUS!$A$2:$A$2010,KLUS!$E$2:$E$2010)+XLOOKUP(H9,KLUS!$A$2:$A$2010,KLUS!$E$2:$E$2010)</f>
        <v>43</v>
      </c>
      <c r="J9" s="114">
        <f t="shared" si="1"/>
        <v>38.7</v>
      </c>
      <c r="K9" s="115">
        <f t="shared" si="2"/>
        <v>30.96</v>
      </c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</row>
    <row r="10" ht="15.75" customHeight="1">
      <c r="A10" s="69" t="s">
        <v>3375</v>
      </c>
      <c r="B10" s="69" t="s">
        <v>5473</v>
      </c>
      <c r="C10" s="112" t="s">
        <v>5489</v>
      </c>
      <c r="D10" s="69"/>
      <c r="E10" s="69" t="s">
        <v>3376</v>
      </c>
      <c r="F10" s="69" t="s">
        <v>5490</v>
      </c>
      <c r="G10" s="69" t="s">
        <v>379</v>
      </c>
      <c r="H10" s="113" t="s">
        <v>1408</v>
      </c>
      <c r="I10" s="114">
        <f t="array" ref="I10">XLOOKUP(G10,KLUS!$A$2:$A$2010,KLUS!$E$2:$E$2010)+XLOOKUP(H10,KLUS!$A$2:$A$2010,KLUS!$E$2:$E$2010)</f>
        <v>67.4</v>
      </c>
      <c r="J10" s="114">
        <f t="shared" si="1"/>
        <v>60.66</v>
      </c>
      <c r="K10" s="115">
        <f t="shared" si="2"/>
        <v>48.528</v>
      </c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</row>
    <row r="11" ht="15.75" customHeight="1">
      <c r="A11" s="69" t="s">
        <v>3377</v>
      </c>
      <c r="B11" s="69" t="s">
        <v>5473</v>
      </c>
      <c r="C11" s="112" t="s">
        <v>5491</v>
      </c>
      <c r="D11" s="69"/>
      <c r="E11" s="69" t="s">
        <v>3378</v>
      </c>
      <c r="F11" s="69" t="s">
        <v>5492</v>
      </c>
      <c r="G11" s="69" t="s">
        <v>379</v>
      </c>
      <c r="H11" s="113" t="s">
        <v>1378</v>
      </c>
      <c r="I11" s="114">
        <f t="array" ref="I11">XLOOKUP(G11,KLUS!$A$2:$A$2010,KLUS!$E$2:$E$2010)+XLOOKUP(H11,KLUS!$A$2:$A$2010,KLUS!$E$2:$E$2010)</f>
        <v>54.5</v>
      </c>
      <c r="J11" s="114">
        <f t="shared" si="1"/>
        <v>49.05</v>
      </c>
      <c r="K11" s="115">
        <f t="shared" si="2"/>
        <v>39.24</v>
      </c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</row>
    <row r="12" ht="15.75" customHeight="1">
      <c r="A12" s="69" t="s">
        <v>3379</v>
      </c>
      <c r="B12" s="69" t="s">
        <v>5473</v>
      </c>
      <c r="C12" s="112" t="s">
        <v>5493</v>
      </c>
      <c r="D12" s="69"/>
      <c r="E12" s="69" t="s">
        <v>3380</v>
      </c>
      <c r="F12" s="69" t="s">
        <v>5494</v>
      </c>
      <c r="G12" s="69" t="s">
        <v>379</v>
      </c>
      <c r="H12" s="113" t="s">
        <v>1365</v>
      </c>
      <c r="I12" s="114">
        <f t="array" ref="I12">XLOOKUP(G12,KLUS!$A$2:$A$2010,KLUS!$E$2:$E$2010)+XLOOKUP(H12,KLUS!$A$2:$A$2010,KLUS!$E$2:$E$2010)</f>
        <v>43</v>
      </c>
      <c r="J12" s="114">
        <f t="shared" si="1"/>
        <v>38.7</v>
      </c>
      <c r="K12" s="115">
        <f t="shared" si="2"/>
        <v>30.96</v>
      </c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</row>
    <row r="13" ht="15.75" customHeight="1">
      <c r="A13" s="69" t="s">
        <v>3383</v>
      </c>
      <c r="B13" s="69" t="s">
        <v>5473</v>
      </c>
      <c r="C13" s="112" t="s">
        <v>5495</v>
      </c>
      <c r="D13" s="69"/>
      <c r="E13" s="69" t="s">
        <v>3384</v>
      </c>
      <c r="F13" s="69" t="s">
        <v>5496</v>
      </c>
      <c r="G13" s="69" t="s">
        <v>381</v>
      </c>
      <c r="H13" s="117" t="s">
        <v>1374</v>
      </c>
      <c r="I13" s="114">
        <f t="array" ref="I13">XLOOKUP(G13,KLUS!$A$2:$A$2010,KLUS!$E$2:$E$2010)+XLOOKUP(H13,KLUS!$A$2:$A$2010,KLUS!$E$2:$E$2010)</f>
        <v>81.7</v>
      </c>
      <c r="J13" s="114">
        <f t="shared" si="1"/>
        <v>73.53</v>
      </c>
      <c r="K13" s="115">
        <f t="shared" si="2"/>
        <v>58.824</v>
      </c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</row>
    <row r="14" ht="15.75" customHeight="1">
      <c r="A14" s="69" t="s">
        <v>3385</v>
      </c>
      <c r="B14" s="69" t="s">
        <v>5473</v>
      </c>
      <c r="C14" s="112" t="s">
        <v>5497</v>
      </c>
      <c r="D14" s="69"/>
      <c r="E14" s="69" t="s">
        <v>3386</v>
      </c>
      <c r="F14" s="69" t="s">
        <v>5498</v>
      </c>
      <c r="G14" s="69" t="s">
        <v>381</v>
      </c>
      <c r="H14" s="113" t="s">
        <v>1361</v>
      </c>
      <c r="I14" s="114">
        <f t="array" ref="I14">XLOOKUP(G14,KLUS!$A$2:$A$2010,KLUS!$E$2:$E$2010)+XLOOKUP(H14,KLUS!$A$2:$A$2010,KLUS!$E$2:$E$2010)</f>
        <v>64.4</v>
      </c>
      <c r="J14" s="114">
        <f t="shared" si="1"/>
        <v>57.96</v>
      </c>
      <c r="K14" s="115">
        <f t="shared" si="2"/>
        <v>46.368</v>
      </c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</row>
    <row r="15" ht="15.75" customHeight="1">
      <c r="A15" s="69" t="s">
        <v>3387</v>
      </c>
      <c r="B15" s="69" t="s">
        <v>5473</v>
      </c>
      <c r="C15" s="112" t="s">
        <v>5499</v>
      </c>
      <c r="D15" s="69"/>
      <c r="E15" s="69" t="s">
        <v>3388</v>
      </c>
      <c r="F15" s="69" t="s">
        <v>5500</v>
      </c>
      <c r="G15" s="69" t="s">
        <v>381</v>
      </c>
      <c r="H15" s="113" t="s">
        <v>1410</v>
      </c>
      <c r="I15" s="114">
        <f t="array" ref="I15">XLOOKUP(G15,KLUS!$A$2:$A$2010,KLUS!$E$2:$E$2010)+XLOOKUP(H15,KLUS!$A$2:$A$2010,KLUS!$E$2:$E$2010)</f>
        <v>101</v>
      </c>
      <c r="J15" s="114">
        <f t="shared" si="1"/>
        <v>90.9</v>
      </c>
      <c r="K15" s="115">
        <f t="shared" si="2"/>
        <v>72.72</v>
      </c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</row>
    <row r="16" ht="15.75" customHeight="1">
      <c r="A16" s="69" t="s">
        <v>3389</v>
      </c>
      <c r="B16" s="69" t="s">
        <v>5473</v>
      </c>
      <c r="C16" s="112" t="s">
        <v>5495</v>
      </c>
      <c r="D16" s="69"/>
      <c r="E16" s="69" t="s">
        <v>3390</v>
      </c>
      <c r="F16" s="69" t="s">
        <v>5501</v>
      </c>
      <c r="G16" s="69" t="s">
        <v>381</v>
      </c>
      <c r="H16" s="113" t="s">
        <v>1380</v>
      </c>
      <c r="I16" s="114">
        <f t="array" ref="I16">XLOOKUP(G16,KLUS!$A$2:$A$2010,KLUS!$E$2:$E$2010)+XLOOKUP(H16,KLUS!$A$2:$A$2010,KLUS!$E$2:$E$2010)</f>
        <v>81.7</v>
      </c>
      <c r="J16" s="114">
        <f t="shared" si="1"/>
        <v>73.53</v>
      </c>
      <c r="K16" s="115">
        <f t="shared" si="2"/>
        <v>58.824</v>
      </c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</row>
    <row r="17" ht="15.75" customHeight="1">
      <c r="A17" s="69" t="s">
        <v>3391</v>
      </c>
      <c r="B17" s="69" t="s">
        <v>5473</v>
      </c>
      <c r="C17" s="112" t="s">
        <v>5497</v>
      </c>
      <c r="D17" s="69"/>
      <c r="E17" s="69" t="s">
        <v>3392</v>
      </c>
      <c r="F17" s="69" t="s">
        <v>5502</v>
      </c>
      <c r="G17" s="69" t="s">
        <v>381</v>
      </c>
      <c r="H17" s="113" t="s">
        <v>1367</v>
      </c>
      <c r="I17" s="114">
        <f t="array" ref="I17">XLOOKUP(G17,KLUS!$A$2:$A$2010,KLUS!$E$2:$E$2010)+XLOOKUP(H17,KLUS!$A$2:$A$2010,KLUS!$E$2:$E$2010)</f>
        <v>64.4</v>
      </c>
      <c r="J17" s="114">
        <f t="shared" si="1"/>
        <v>57.96</v>
      </c>
      <c r="K17" s="115">
        <f t="shared" si="2"/>
        <v>46.368</v>
      </c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</row>
    <row r="18" ht="15.75" customHeight="1">
      <c r="A18" s="69" t="s">
        <v>3397</v>
      </c>
      <c r="B18" s="69" t="s">
        <v>5473</v>
      </c>
      <c r="C18" s="112" t="s">
        <v>5503</v>
      </c>
      <c r="D18" s="69"/>
      <c r="E18" s="69" t="s">
        <v>3398</v>
      </c>
      <c r="F18" s="69" t="s">
        <v>5504</v>
      </c>
      <c r="G18" s="69" t="s">
        <v>390</v>
      </c>
      <c r="H18" s="113" t="s">
        <v>1369</v>
      </c>
      <c r="I18" s="114">
        <f t="array" ref="I18">XLOOKUP(G18,KLUS!$A$2:$A$2010,KLUS!$E$2:$E$2010)+XLOOKUP(H18,KLUS!$A$2:$A$2010,KLUS!$E$2:$E$2010)</f>
        <v>35.6</v>
      </c>
      <c r="J18" s="114">
        <f t="shared" si="1"/>
        <v>32.04</v>
      </c>
      <c r="K18" s="115">
        <f t="shared" si="2"/>
        <v>25.632</v>
      </c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</row>
    <row r="19" ht="15.75" customHeight="1">
      <c r="A19" s="69" t="s">
        <v>3399</v>
      </c>
      <c r="B19" s="69" t="s">
        <v>5473</v>
      </c>
      <c r="C19" s="112" t="s">
        <v>5505</v>
      </c>
      <c r="D19" s="69"/>
      <c r="E19" s="69" t="s">
        <v>3400</v>
      </c>
      <c r="F19" s="69" t="s">
        <v>5506</v>
      </c>
      <c r="G19" s="69" t="s">
        <v>390</v>
      </c>
      <c r="H19" s="113" t="s">
        <v>1356</v>
      </c>
      <c r="I19" s="114">
        <f t="array" ref="I19">XLOOKUP(G19,KLUS!$A$2:$A$2010,KLUS!$E$2:$E$2010)+XLOOKUP(H19,KLUS!$A$2:$A$2010,KLUS!$E$2:$E$2010)</f>
        <v>29.8</v>
      </c>
      <c r="J19" s="114">
        <f t="shared" si="1"/>
        <v>26.82</v>
      </c>
      <c r="K19" s="115">
        <f t="shared" si="2"/>
        <v>21.456</v>
      </c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</row>
    <row r="20" ht="15.75" customHeight="1">
      <c r="A20" s="69" t="s">
        <v>3401</v>
      </c>
      <c r="B20" s="69" t="s">
        <v>5473</v>
      </c>
      <c r="C20" s="112" t="s">
        <v>5503</v>
      </c>
      <c r="D20" s="69"/>
      <c r="E20" s="69" t="s">
        <v>3402</v>
      </c>
      <c r="F20" s="69" t="s">
        <v>5507</v>
      </c>
      <c r="G20" s="69" t="s">
        <v>390</v>
      </c>
      <c r="H20" s="113" t="s">
        <v>1376</v>
      </c>
      <c r="I20" s="114">
        <f t="array" ref="I20">XLOOKUP(G20,KLUS!$A$2:$A$2010,KLUS!$E$2:$E$2010)+XLOOKUP(H20,KLUS!$A$2:$A$2010,KLUS!$E$2:$E$2010)</f>
        <v>35.6</v>
      </c>
      <c r="J20" s="114">
        <f t="shared" si="1"/>
        <v>32.04</v>
      </c>
      <c r="K20" s="115">
        <f t="shared" si="2"/>
        <v>25.632</v>
      </c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</row>
    <row r="21" ht="15.75" customHeight="1">
      <c r="A21" s="69" t="s">
        <v>3403</v>
      </c>
      <c r="B21" s="69" t="s">
        <v>5473</v>
      </c>
      <c r="C21" s="112" t="s">
        <v>5505</v>
      </c>
      <c r="D21" s="69"/>
      <c r="E21" s="69" t="s">
        <v>3404</v>
      </c>
      <c r="F21" s="69" t="s">
        <v>5508</v>
      </c>
      <c r="G21" s="69" t="s">
        <v>390</v>
      </c>
      <c r="H21" s="113" t="s">
        <v>1363</v>
      </c>
      <c r="I21" s="114">
        <f t="array" ref="I21">XLOOKUP(G21,KLUS!$A$2:$A$2010,KLUS!$E$2:$E$2010)+XLOOKUP(H21,KLUS!$A$2:$A$2010,KLUS!$E$2:$E$2010)</f>
        <v>29.8</v>
      </c>
      <c r="J21" s="114">
        <f t="shared" si="1"/>
        <v>26.82</v>
      </c>
      <c r="K21" s="115">
        <f t="shared" si="2"/>
        <v>21.456</v>
      </c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</row>
    <row r="22" ht="15.75" customHeight="1">
      <c r="A22" s="69" t="s">
        <v>3407</v>
      </c>
      <c r="B22" s="69" t="s">
        <v>5486</v>
      </c>
      <c r="C22" s="112" t="s">
        <v>5484</v>
      </c>
      <c r="D22" s="69"/>
      <c r="E22" s="69" t="s">
        <v>3408</v>
      </c>
      <c r="F22" s="69" t="s">
        <v>5509</v>
      </c>
      <c r="G22" s="69" t="s">
        <v>403</v>
      </c>
      <c r="H22" s="113" t="s">
        <v>1369</v>
      </c>
      <c r="I22" s="114">
        <f t="array" ref="I22">XLOOKUP(G22,KLUS!$A$2:$A$2010,KLUS!$E$2:$E$2010)+XLOOKUP(H22,KLUS!$A$2:$A$2010,KLUS!$E$2:$E$2010)</f>
        <v>56.4</v>
      </c>
      <c r="J22" s="114">
        <f t="shared" si="1"/>
        <v>50.76</v>
      </c>
      <c r="K22" s="115">
        <f t="shared" si="2"/>
        <v>40.608</v>
      </c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</row>
    <row r="23" ht="15.75" customHeight="1">
      <c r="A23" s="69" t="s">
        <v>3411</v>
      </c>
      <c r="B23" s="69" t="s">
        <v>5473</v>
      </c>
      <c r="C23" s="112" t="s">
        <v>5510</v>
      </c>
      <c r="D23" s="69"/>
      <c r="E23" s="69" t="s">
        <v>5511</v>
      </c>
      <c r="F23" s="69" t="s">
        <v>5512</v>
      </c>
      <c r="G23" s="69" t="s">
        <v>396</v>
      </c>
      <c r="H23" s="113" t="s">
        <v>1369</v>
      </c>
      <c r="I23" s="114">
        <f t="array" ref="I23">XLOOKUP(G23,KLUS!$A$2:$A$2010,KLUS!$E$2:$E$2010)+XLOOKUP(H23,KLUS!$A$2:$A$2010,KLUS!$E$2:$E$2010)</f>
        <v>39.7</v>
      </c>
      <c r="J23" s="114">
        <f t="shared" si="1"/>
        <v>35.73</v>
      </c>
      <c r="K23" s="115">
        <f t="shared" si="2"/>
        <v>28.584</v>
      </c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</row>
    <row r="24" ht="15.75" customHeight="1">
      <c r="A24" s="69" t="s">
        <v>3415</v>
      </c>
      <c r="B24" s="69" t="s">
        <v>5473</v>
      </c>
      <c r="C24" s="112" t="s">
        <v>5513</v>
      </c>
      <c r="D24" s="69"/>
      <c r="E24" s="69" t="s">
        <v>3416</v>
      </c>
      <c r="F24" s="69" t="s">
        <v>5514</v>
      </c>
      <c r="G24" s="69" t="s">
        <v>383</v>
      </c>
      <c r="H24" s="113" t="s">
        <v>1369</v>
      </c>
      <c r="I24" s="114">
        <f t="array" ref="I24">XLOOKUP(G24,KLUS!$A$2:$A$2010,KLUS!$E$2:$E$2010)+XLOOKUP(H24,KLUS!$A$2:$A$2010,KLUS!$E$2:$E$2010)</f>
        <v>32.5</v>
      </c>
      <c r="J24" s="114">
        <f t="shared" si="1"/>
        <v>29.25</v>
      </c>
      <c r="K24" s="115">
        <f t="shared" si="2"/>
        <v>23.4</v>
      </c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</row>
    <row r="25" ht="15.75" customHeight="1">
      <c r="A25" s="69" t="s">
        <v>3417</v>
      </c>
      <c r="B25" s="69" t="s">
        <v>5473</v>
      </c>
      <c r="C25" s="112" t="s">
        <v>5505</v>
      </c>
      <c r="D25" s="69"/>
      <c r="E25" s="69" t="s">
        <v>3418</v>
      </c>
      <c r="F25" s="69" t="s">
        <v>5515</v>
      </c>
      <c r="G25" s="69" t="s">
        <v>383</v>
      </c>
      <c r="H25" s="113" t="s">
        <v>1356</v>
      </c>
      <c r="I25" s="114">
        <f t="array" ref="I25">XLOOKUP(G25,KLUS!$A$2:$A$2010,KLUS!$E$2:$E$2010)+XLOOKUP(H25,KLUS!$A$2:$A$2010,KLUS!$E$2:$E$2010)</f>
        <v>26.7</v>
      </c>
      <c r="J25" s="114">
        <f t="shared" si="1"/>
        <v>24.03</v>
      </c>
      <c r="K25" s="115">
        <f t="shared" si="2"/>
        <v>19.224</v>
      </c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</row>
    <row r="26" ht="15.75" customHeight="1">
      <c r="A26" s="69" t="s">
        <v>3419</v>
      </c>
      <c r="B26" s="69" t="s">
        <v>5473</v>
      </c>
      <c r="C26" s="112" t="s">
        <v>5513</v>
      </c>
      <c r="D26" s="69"/>
      <c r="E26" s="69" t="s">
        <v>3420</v>
      </c>
      <c r="F26" s="69" t="s">
        <v>5516</v>
      </c>
      <c r="G26" s="69" t="s">
        <v>383</v>
      </c>
      <c r="H26" s="113" t="s">
        <v>1376</v>
      </c>
      <c r="I26" s="114">
        <f t="array" ref="I26">XLOOKUP(G26,KLUS!$A$2:$A$2010,KLUS!$E$2:$E$2010)+XLOOKUP(H26,KLUS!$A$2:$A$2010,KLUS!$E$2:$E$2010)</f>
        <v>32.5</v>
      </c>
      <c r="J26" s="114">
        <f t="shared" si="1"/>
        <v>29.25</v>
      </c>
      <c r="K26" s="115">
        <f t="shared" si="2"/>
        <v>23.4</v>
      </c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</row>
    <row r="27" ht="15.75" customHeight="1">
      <c r="A27" s="69" t="s">
        <v>3421</v>
      </c>
      <c r="B27" s="69" t="s">
        <v>5473</v>
      </c>
      <c r="C27" s="112" t="s">
        <v>5517</v>
      </c>
      <c r="D27" s="69"/>
      <c r="E27" s="69" t="s">
        <v>3422</v>
      </c>
      <c r="F27" s="69" t="s">
        <v>5518</v>
      </c>
      <c r="G27" s="69" t="s">
        <v>383</v>
      </c>
      <c r="H27" s="113" t="s">
        <v>1363</v>
      </c>
      <c r="I27" s="114">
        <f t="array" ref="I27">XLOOKUP(G27,KLUS!$A$2:$A$2010,KLUS!$E$2:$E$2010)+XLOOKUP(H27,KLUS!$A$2:$A$2010,KLUS!$E$2:$E$2010)</f>
        <v>26.7</v>
      </c>
      <c r="J27" s="114">
        <f t="shared" si="1"/>
        <v>24.03</v>
      </c>
      <c r="K27" s="115">
        <f t="shared" si="2"/>
        <v>19.224</v>
      </c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</row>
    <row r="28" ht="15.75" customHeight="1">
      <c r="A28" s="69" t="s">
        <v>3427</v>
      </c>
      <c r="B28" s="69" t="s">
        <v>5486</v>
      </c>
      <c r="C28" s="112" t="s">
        <v>5519</v>
      </c>
      <c r="D28" s="69"/>
      <c r="E28" s="69" t="s">
        <v>3428</v>
      </c>
      <c r="F28" s="69" t="s">
        <v>5520</v>
      </c>
      <c r="G28" s="69" t="s">
        <v>392</v>
      </c>
      <c r="H28" s="113" t="s">
        <v>1372</v>
      </c>
      <c r="I28" s="114">
        <f t="array" ref="I28">XLOOKUP(G28,KLUS!$A$2:$A$2010,KLUS!$E$2:$E$2010)+XLOOKUP(H28,KLUS!$A$2:$A$2010,KLUS!$E$2:$E$2010)</f>
        <v>71.2</v>
      </c>
      <c r="J28" s="114">
        <f t="shared" si="1"/>
        <v>64.08</v>
      </c>
      <c r="K28" s="115">
        <f t="shared" si="2"/>
        <v>51.264</v>
      </c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</row>
    <row r="29" ht="15.75" customHeight="1">
      <c r="A29" s="69" t="s">
        <v>3429</v>
      </c>
      <c r="B29" s="69" t="s">
        <v>5486</v>
      </c>
      <c r="C29" s="112" t="s">
        <v>5521</v>
      </c>
      <c r="D29" s="69"/>
      <c r="E29" s="69" t="s">
        <v>3430</v>
      </c>
      <c r="F29" s="69" t="s">
        <v>5522</v>
      </c>
      <c r="G29" s="69" t="s">
        <v>392</v>
      </c>
      <c r="H29" s="113" t="s">
        <v>1359</v>
      </c>
      <c r="I29" s="114">
        <f t="array" ref="I29">XLOOKUP(G29,KLUS!$A$2:$A$2010,KLUS!$E$2:$E$2010)+XLOOKUP(H29,KLUS!$A$2:$A$2010,KLUS!$E$2:$E$2010)</f>
        <v>59.7</v>
      </c>
      <c r="J29" s="114">
        <f t="shared" si="1"/>
        <v>53.73</v>
      </c>
      <c r="K29" s="115">
        <f t="shared" si="2"/>
        <v>42.984</v>
      </c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</row>
    <row r="30" ht="15.75" customHeight="1">
      <c r="A30" s="69" t="s">
        <v>3431</v>
      </c>
      <c r="B30" s="69" t="s">
        <v>5473</v>
      </c>
      <c r="C30" s="112" t="s">
        <v>5519</v>
      </c>
      <c r="D30" s="69"/>
      <c r="E30" s="69" t="s">
        <v>3432</v>
      </c>
      <c r="F30" s="69" t="s">
        <v>5523</v>
      </c>
      <c r="G30" s="69" t="s">
        <v>392</v>
      </c>
      <c r="H30" s="113" t="s">
        <v>1378</v>
      </c>
      <c r="I30" s="114">
        <f t="array" ref="I30">XLOOKUP(G30,KLUS!$A$2:$A$2010,KLUS!$E$2:$E$2010)+XLOOKUP(H30,KLUS!$A$2:$A$2010,KLUS!$E$2:$E$2010)</f>
        <v>71.2</v>
      </c>
      <c r="J30" s="114">
        <f t="shared" si="1"/>
        <v>64.08</v>
      </c>
      <c r="K30" s="115">
        <f t="shared" si="2"/>
        <v>51.264</v>
      </c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</row>
    <row r="31" ht="15.75" customHeight="1">
      <c r="A31" s="69" t="s">
        <v>3433</v>
      </c>
      <c r="B31" s="69" t="s">
        <v>5486</v>
      </c>
      <c r="C31" s="112" t="s">
        <v>5521</v>
      </c>
      <c r="D31" s="69"/>
      <c r="E31" s="69" t="s">
        <v>3434</v>
      </c>
      <c r="F31" s="69" t="s">
        <v>5524</v>
      </c>
      <c r="G31" s="69" t="s">
        <v>392</v>
      </c>
      <c r="H31" s="116" t="s">
        <v>1365</v>
      </c>
      <c r="I31" s="114">
        <f t="array" ref="I31">XLOOKUP(G31,KLUS!$A$2:$A$2010,KLUS!$E$2:$E$2010)+XLOOKUP(H31,KLUS!$A$2:$A$2010,KLUS!$E$2:$E$2010)</f>
        <v>59.7</v>
      </c>
      <c r="J31" s="114">
        <f t="shared" si="1"/>
        <v>53.73</v>
      </c>
      <c r="K31" s="115">
        <f t="shared" si="2"/>
        <v>42.984</v>
      </c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</row>
    <row r="32" ht="15.75" customHeight="1">
      <c r="A32" s="69" t="s">
        <v>3437</v>
      </c>
      <c r="B32" s="69" t="s">
        <v>5473</v>
      </c>
      <c r="C32" s="112" t="s">
        <v>5510</v>
      </c>
      <c r="D32" s="69"/>
      <c r="E32" s="69" t="s">
        <v>3438</v>
      </c>
      <c r="F32" s="69" t="s">
        <v>5525</v>
      </c>
      <c r="G32" s="69" t="s">
        <v>405</v>
      </c>
      <c r="H32" s="113" t="s">
        <v>1372</v>
      </c>
      <c r="I32" s="114">
        <f t="array" ref="I32">XLOOKUP(G32,KLUS!$A$2:$A$2010,KLUS!$E$2:$E$2010)+XLOOKUP(H32,KLUS!$A$2:$A$2010,KLUS!$E$2:$E$2010)</f>
        <v>112.6</v>
      </c>
      <c r="J32" s="114">
        <f t="shared" si="1"/>
        <v>101.34</v>
      </c>
      <c r="K32" s="115">
        <f t="shared" si="2"/>
        <v>81.072</v>
      </c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</row>
    <row r="33" ht="15.75" customHeight="1">
      <c r="A33" s="69" t="s">
        <v>3439</v>
      </c>
      <c r="B33" s="69" t="s">
        <v>5473</v>
      </c>
      <c r="C33" s="112" t="s">
        <v>5526</v>
      </c>
      <c r="D33" s="69"/>
      <c r="E33" s="69" t="s">
        <v>3440</v>
      </c>
      <c r="F33" s="69" t="s">
        <v>5527</v>
      </c>
      <c r="G33" s="69" t="s">
        <v>405</v>
      </c>
      <c r="H33" s="116" t="s">
        <v>1359</v>
      </c>
      <c r="I33" s="114">
        <f t="array" ref="I33">XLOOKUP(G33,KLUS!$A$2:$A$2010,KLUS!$E$2:$E$2010)+XLOOKUP(H33,KLUS!$A$2:$A$2010,KLUS!$E$2:$E$2010)</f>
        <v>101.1</v>
      </c>
      <c r="J33" s="114">
        <f t="shared" si="1"/>
        <v>90.99</v>
      </c>
      <c r="K33" s="115">
        <f t="shared" si="2"/>
        <v>72.792</v>
      </c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</row>
    <row r="34" ht="15.75" customHeight="1">
      <c r="A34" s="69" t="s">
        <v>3443</v>
      </c>
      <c r="B34" s="69" t="s">
        <v>5473</v>
      </c>
      <c r="C34" s="112" t="s">
        <v>5510</v>
      </c>
      <c r="D34" s="69"/>
      <c r="E34" s="69" t="s">
        <v>5528</v>
      </c>
      <c r="F34" s="69" t="s">
        <v>5529</v>
      </c>
      <c r="G34" s="69" t="s">
        <v>399</v>
      </c>
      <c r="H34" s="116" t="s">
        <v>1372</v>
      </c>
      <c r="I34" s="114">
        <f t="array" ref="I34">XLOOKUP(G34,KLUS!$A$2:$A$2010,KLUS!$E$2:$E$2010)+XLOOKUP(H34,KLUS!$A$2:$A$2010,KLUS!$E$2:$E$2010)</f>
        <v>79.3</v>
      </c>
      <c r="J34" s="114">
        <f t="shared" si="1"/>
        <v>71.37</v>
      </c>
      <c r="K34" s="115">
        <f t="shared" si="2"/>
        <v>57.096</v>
      </c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</row>
    <row r="35" ht="15.75" customHeight="1">
      <c r="A35" s="69" t="s">
        <v>3449</v>
      </c>
      <c r="B35" s="69" t="s">
        <v>5473</v>
      </c>
      <c r="C35" s="112" t="s">
        <v>5530</v>
      </c>
      <c r="D35" s="69"/>
      <c r="E35" s="69" t="s">
        <v>3450</v>
      </c>
      <c r="F35" s="69" t="s">
        <v>5531</v>
      </c>
      <c r="G35" s="69" t="s">
        <v>386</v>
      </c>
      <c r="H35" s="113" t="s">
        <v>1372</v>
      </c>
      <c r="I35" s="114">
        <f t="array" ref="I35">XLOOKUP(G35,KLUS!$A$2:$A$2010,KLUS!$E$2:$E$2010)+XLOOKUP(H35,KLUS!$A$2:$A$2010,KLUS!$E$2:$E$2010)</f>
        <v>64.9</v>
      </c>
      <c r="J35" s="114">
        <f t="shared" si="1"/>
        <v>58.41</v>
      </c>
      <c r="K35" s="115">
        <f t="shared" si="2"/>
        <v>46.728</v>
      </c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</row>
    <row r="36" ht="15.75" customHeight="1">
      <c r="A36" s="69" t="s">
        <v>3451</v>
      </c>
      <c r="B36" s="69" t="s">
        <v>5486</v>
      </c>
      <c r="C36" s="112" t="s">
        <v>5532</v>
      </c>
      <c r="D36" s="69"/>
      <c r="E36" s="69" t="s">
        <v>3452</v>
      </c>
      <c r="F36" s="69" t="s">
        <v>5533</v>
      </c>
      <c r="G36" s="69" t="s">
        <v>386</v>
      </c>
      <c r="H36" s="116" t="s">
        <v>1359</v>
      </c>
      <c r="I36" s="114">
        <f t="array" ref="I36">XLOOKUP(G36,KLUS!$A$2:$A$2010,KLUS!$E$2:$E$2010)+XLOOKUP(H36,KLUS!$A$2:$A$2010,KLUS!$E$2:$E$2010)</f>
        <v>53.4</v>
      </c>
      <c r="J36" s="114">
        <f t="shared" si="1"/>
        <v>48.06</v>
      </c>
      <c r="K36" s="115">
        <f t="shared" si="2"/>
        <v>38.448</v>
      </c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</row>
    <row r="37" ht="15.75" customHeight="1">
      <c r="A37" s="69" t="s">
        <v>3453</v>
      </c>
      <c r="B37" s="69" t="s">
        <v>5473</v>
      </c>
      <c r="C37" s="112" t="s">
        <v>5530</v>
      </c>
      <c r="D37" s="69"/>
      <c r="E37" s="69" t="s">
        <v>3454</v>
      </c>
      <c r="F37" s="69" t="s">
        <v>5534</v>
      </c>
      <c r="G37" s="69" t="s">
        <v>386</v>
      </c>
      <c r="H37" s="113" t="s">
        <v>1378</v>
      </c>
      <c r="I37" s="114">
        <f t="array" ref="I37">XLOOKUP(G37,KLUS!$A$2:$A$2010,KLUS!$E$2:$E$2010)+XLOOKUP(H37,KLUS!$A$2:$A$2010,KLUS!$E$2:$E$2010)</f>
        <v>64.9</v>
      </c>
      <c r="J37" s="114">
        <f t="shared" si="1"/>
        <v>58.41</v>
      </c>
      <c r="K37" s="115">
        <f t="shared" si="2"/>
        <v>46.728</v>
      </c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</row>
    <row r="38" ht="15.75" customHeight="1">
      <c r="A38" s="69" t="s">
        <v>3455</v>
      </c>
      <c r="B38" s="69" t="s">
        <v>5486</v>
      </c>
      <c r="C38" s="112" t="s">
        <v>5532</v>
      </c>
      <c r="D38" s="69"/>
      <c r="E38" s="69" t="s">
        <v>3456</v>
      </c>
      <c r="F38" s="69" t="s">
        <v>5535</v>
      </c>
      <c r="G38" s="69" t="s">
        <v>386</v>
      </c>
      <c r="H38" s="113" t="s">
        <v>1365</v>
      </c>
      <c r="I38" s="114">
        <f t="array" ref="I38">XLOOKUP(G38,KLUS!$A$2:$A$2010,KLUS!$E$2:$E$2010)+XLOOKUP(H38,KLUS!$A$2:$A$2010,KLUS!$E$2:$E$2010)</f>
        <v>53.4</v>
      </c>
      <c r="J38" s="114">
        <f t="shared" si="1"/>
        <v>48.06</v>
      </c>
      <c r="K38" s="115">
        <f t="shared" si="2"/>
        <v>38.448</v>
      </c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</row>
    <row r="39" ht="15.75" customHeight="1">
      <c r="A39" s="69" t="s">
        <v>3461</v>
      </c>
      <c r="B39" s="69" t="s">
        <v>5473</v>
      </c>
      <c r="C39" s="112" t="s">
        <v>5536</v>
      </c>
      <c r="D39" s="69"/>
      <c r="E39" s="69" t="s">
        <v>3462</v>
      </c>
      <c r="F39" s="69" t="s">
        <v>5537</v>
      </c>
      <c r="G39" s="69" t="s">
        <v>394</v>
      </c>
      <c r="H39" s="113" t="s">
        <v>1374</v>
      </c>
      <c r="I39" s="114">
        <f t="array" ref="I39">XLOOKUP(G39,KLUS!$A$2:$A$2010,KLUS!$E$2:$E$2010)+XLOOKUP(H39,KLUS!$A$2:$A$2010,KLUS!$E$2:$E$2010)</f>
        <v>106.8</v>
      </c>
      <c r="J39" s="114">
        <f t="shared" si="1"/>
        <v>96.12</v>
      </c>
      <c r="K39" s="115">
        <f t="shared" si="2"/>
        <v>76.896</v>
      </c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</row>
    <row r="40" ht="15.75" customHeight="1">
      <c r="A40" s="69" t="s">
        <v>3463</v>
      </c>
      <c r="B40" s="69" t="s">
        <v>5473</v>
      </c>
      <c r="C40" s="112" t="s">
        <v>5538</v>
      </c>
      <c r="D40" s="69"/>
      <c r="E40" s="69" t="s">
        <v>5539</v>
      </c>
      <c r="F40" s="69" t="s">
        <v>5540</v>
      </c>
      <c r="G40" s="69" t="s">
        <v>394</v>
      </c>
      <c r="H40" s="113" t="s">
        <v>1361</v>
      </c>
      <c r="I40" s="114">
        <f t="array" ref="I40">XLOOKUP(G40,KLUS!$A$2:$A$2010,KLUS!$E$2:$E$2010)+XLOOKUP(H40,KLUS!$A$2:$A$2010,KLUS!$E$2:$E$2010)</f>
        <v>89.5</v>
      </c>
      <c r="J40" s="114">
        <f t="shared" si="1"/>
        <v>80.55</v>
      </c>
      <c r="K40" s="115">
        <f t="shared" si="2"/>
        <v>64.44</v>
      </c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</row>
    <row r="41" ht="15.75" customHeight="1">
      <c r="A41" s="69" t="s">
        <v>3465</v>
      </c>
      <c r="B41" s="69" t="s">
        <v>5473</v>
      </c>
      <c r="C41" s="112" t="s">
        <v>5536</v>
      </c>
      <c r="D41" s="69"/>
      <c r="E41" s="69" t="s">
        <v>3466</v>
      </c>
      <c r="F41" s="69" t="s">
        <v>5541</v>
      </c>
      <c r="G41" s="69" t="s">
        <v>394</v>
      </c>
      <c r="H41" s="113" t="s">
        <v>1380</v>
      </c>
      <c r="I41" s="114">
        <f t="array" ref="I41">XLOOKUP(G41,KLUS!$A$2:$A$2010,KLUS!$E$2:$E$2010)+XLOOKUP(H41,KLUS!$A$2:$A$2010,KLUS!$E$2:$E$2010)</f>
        <v>106.8</v>
      </c>
      <c r="J41" s="114">
        <f t="shared" si="1"/>
        <v>96.12</v>
      </c>
      <c r="K41" s="115">
        <f t="shared" si="2"/>
        <v>76.896</v>
      </c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</row>
    <row r="42" ht="15.75" customHeight="1">
      <c r="A42" s="69" t="s">
        <v>3467</v>
      </c>
      <c r="B42" s="69" t="s">
        <v>5473</v>
      </c>
      <c r="C42" s="112" t="s">
        <v>5538</v>
      </c>
      <c r="D42" s="69"/>
      <c r="E42" s="69" t="s">
        <v>5542</v>
      </c>
      <c r="F42" s="69" t="s">
        <v>5543</v>
      </c>
      <c r="G42" s="69" t="s">
        <v>394</v>
      </c>
      <c r="H42" s="113" t="s">
        <v>1367</v>
      </c>
      <c r="I42" s="114">
        <f t="array" ref="I42">XLOOKUP(G42,KLUS!$A$2:$A$2010,KLUS!$E$2:$E$2010)+XLOOKUP(H42,KLUS!$A$2:$A$2010,KLUS!$E$2:$E$2010)</f>
        <v>89.5</v>
      </c>
      <c r="J42" s="114">
        <f t="shared" si="1"/>
        <v>80.55</v>
      </c>
      <c r="K42" s="115">
        <f t="shared" si="2"/>
        <v>64.44</v>
      </c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</row>
    <row r="43" ht="15.75" customHeight="1">
      <c r="A43" s="69" t="s">
        <v>3472</v>
      </c>
      <c r="B43" s="69" t="s">
        <v>5473</v>
      </c>
      <c r="C43" s="112" t="s">
        <v>5544</v>
      </c>
      <c r="D43" s="69"/>
      <c r="E43" s="69" t="s">
        <v>3473</v>
      </c>
      <c r="F43" s="69" t="s">
        <v>5545</v>
      </c>
      <c r="G43" s="69" t="s">
        <v>388</v>
      </c>
      <c r="H43" s="113" t="s">
        <v>1374</v>
      </c>
      <c r="I43" s="114">
        <f t="array" ref="I43">XLOOKUP(G43,KLUS!$A$2:$A$2010,KLUS!$E$2:$E$2010)+XLOOKUP(H43,KLUS!$A$2:$A$2010,KLUS!$E$2:$E$2010)</f>
        <v>97.3</v>
      </c>
      <c r="J43" s="114">
        <f t="shared" si="1"/>
        <v>87.57</v>
      </c>
      <c r="K43" s="115">
        <f t="shared" si="2"/>
        <v>70.056</v>
      </c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</row>
    <row r="44" ht="15.75" customHeight="1">
      <c r="A44" s="69" t="s">
        <v>3474</v>
      </c>
      <c r="B44" s="69" t="s">
        <v>5473</v>
      </c>
      <c r="C44" s="112" t="s">
        <v>5546</v>
      </c>
      <c r="D44" s="69"/>
      <c r="E44" s="69" t="s">
        <v>5547</v>
      </c>
      <c r="F44" s="69" t="s">
        <v>5548</v>
      </c>
      <c r="G44" s="69" t="s">
        <v>388</v>
      </c>
      <c r="H44" s="113" t="s">
        <v>1361</v>
      </c>
      <c r="I44" s="114">
        <f t="array" ref="I44">XLOOKUP(G44,KLUS!$A$2:$A$2010,KLUS!$E$2:$E$2010)+XLOOKUP(H44,KLUS!$A$2:$A$2010,KLUS!$E$2:$E$2010)</f>
        <v>80</v>
      </c>
      <c r="J44" s="114">
        <f t="shared" si="1"/>
        <v>72</v>
      </c>
      <c r="K44" s="115">
        <f t="shared" si="2"/>
        <v>57.6</v>
      </c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</row>
    <row r="45" ht="15.75" customHeight="1">
      <c r="A45" s="69" t="s">
        <v>3476</v>
      </c>
      <c r="B45" s="69" t="s">
        <v>5473</v>
      </c>
      <c r="C45" s="112" t="s">
        <v>5544</v>
      </c>
      <c r="D45" s="69"/>
      <c r="E45" s="69" t="s">
        <v>3477</v>
      </c>
      <c r="F45" s="69" t="s">
        <v>5549</v>
      </c>
      <c r="G45" s="69" t="s">
        <v>388</v>
      </c>
      <c r="H45" s="113" t="s">
        <v>1380</v>
      </c>
      <c r="I45" s="114">
        <f t="array" ref="I45">XLOOKUP(G45,KLUS!$A$2:$A$2010,KLUS!$E$2:$E$2010)+XLOOKUP(H45,KLUS!$A$2:$A$2010,KLUS!$E$2:$E$2010)</f>
        <v>97.3</v>
      </c>
      <c r="J45" s="114">
        <f t="shared" si="1"/>
        <v>87.57</v>
      </c>
      <c r="K45" s="115">
        <f t="shared" si="2"/>
        <v>70.056</v>
      </c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</row>
    <row r="46" ht="15.75" customHeight="1">
      <c r="A46" s="69" t="s">
        <v>3478</v>
      </c>
      <c r="B46" s="69" t="s">
        <v>5473</v>
      </c>
      <c r="C46" s="112" t="s">
        <v>5546</v>
      </c>
      <c r="D46" s="69"/>
      <c r="E46" s="69" t="s">
        <v>5550</v>
      </c>
      <c r="F46" s="69" t="s">
        <v>5551</v>
      </c>
      <c r="G46" s="69" t="s">
        <v>388</v>
      </c>
      <c r="H46" s="113" t="s">
        <v>1367</v>
      </c>
      <c r="I46" s="114">
        <f t="array" ref="I46">XLOOKUP(G46,KLUS!$A$2:$A$2010,KLUS!$E$2:$E$2010)+XLOOKUP(H46,KLUS!$A$2:$A$2010,KLUS!$E$2:$E$2010)</f>
        <v>80</v>
      </c>
      <c r="J46" s="114">
        <f t="shared" si="1"/>
        <v>72</v>
      </c>
      <c r="K46" s="115">
        <f t="shared" si="2"/>
        <v>57.6</v>
      </c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</row>
    <row r="47" ht="15.75" customHeight="1">
      <c r="A47" s="69" t="s">
        <v>5552</v>
      </c>
      <c r="B47" s="69" t="s">
        <v>5473</v>
      </c>
      <c r="C47" s="112" t="s">
        <v>5553</v>
      </c>
      <c r="D47" s="69"/>
      <c r="E47" s="69" t="s">
        <v>3538</v>
      </c>
      <c r="F47" s="69" t="s">
        <v>5554</v>
      </c>
      <c r="G47" s="69" t="s">
        <v>881</v>
      </c>
      <c r="H47" s="113" t="s">
        <v>1536</v>
      </c>
      <c r="I47" s="114">
        <f t="array" ref="I47">XLOOKUP(G47,KLUS!$A$2:$A$2010,KLUS!$E$2:$E$2010)+XLOOKUP(H47,KLUS!$A$2:$A$2010,KLUS!$E$2:$E$2010)</f>
        <v>45.1</v>
      </c>
      <c r="J47" s="114">
        <f t="shared" si="1"/>
        <v>40.59</v>
      </c>
      <c r="K47" s="115">
        <f t="shared" si="2"/>
        <v>32.472</v>
      </c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</row>
    <row r="48" ht="15.75" customHeight="1">
      <c r="A48" s="69" t="s">
        <v>5555</v>
      </c>
      <c r="B48" s="69" t="s">
        <v>5473</v>
      </c>
      <c r="C48" s="112" t="s">
        <v>5553</v>
      </c>
      <c r="D48" s="69"/>
      <c r="E48" s="69" t="s">
        <v>3540</v>
      </c>
      <c r="F48" s="69" t="s">
        <v>5556</v>
      </c>
      <c r="G48" s="69" t="s">
        <v>881</v>
      </c>
      <c r="H48" s="113" t="s">
        <v>1543</v>
      </c>
      <c r="I48" s="114">
        <f t="array" ref="I48">XLOOKUP(G48,KLUS!$A$2:$A$2010,KLUS!$E$2:$E$2010)+XLOOKUP(H48,KLUS!$A$2:$A$2010,KLUS!$E$2:$E$2010)</f>
        <v>45.1</v>
      </c>
      <c r="J48" s="114">
        <f t="shared" si="1"/>
        <v>40.59</v>
      </c>
      <c r="K48" s="115">
        <f t="shared" si="2"/>
        <v>32.472</v>
      </c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</row>
    <row r="49" ht="15.75" customHeight="1">
      <c r="A49" s="69" t="s">
        <v>5557</v>
      </c>
      <c r="B49" s="69" t="s">
        <v>5473</v>
      </c>
      <c r="C49" s="112" t="s">
        <v>5558</v>
      </c>
      <c r="D49" s="69"/>
      <c r="E49" s="69" t="s">
        <v>3544</v>
      </c>
      <c r="F49" s="69" t="s">
        <v>5559</v>
      </c>
      <c r="G49" s="69" t="s">
        <v>884</v>
      </c>
      <c r="H49" s="113" t="s">
        <v>1539</v>
      </c>
      <c r="I49" s="114">
        <f t="array" ref="I49">XLOOKUP(G49,KLUS!$A$2:$A$2010,KLUS!$E$2:$E$2010)+XLOOKUP(H49,KLUS!$A$2:$A$2010,KLUS!$E$2:$E$2010)</f>
        <v>90.3</v>
      </c>
      <c r="J49" s="114">
        <f t="shared" si="1"/>
        <v>81.27</v>
      </c>
      <c r="K49" s="115">
        <f t="shared" si="2"/>
        <v>65.016</v>
      </c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</row>
    <row r="50" ht="15.75" customHeight="1">
      <c r="A50" s="69" t="s">
        <v>5560</v>
      </c>
      <c r="B50" s="69" t="s">
        <v>5473</v>
      </c>
      <c r="C50" s="112" t="s">
        <v>5558</v>
      </c>
      <c r="D50" s="69"/>
      <c r="E50" s="69" t="s">
        <v>3546</v>
      </c>
      <c r="F50" s="69" t="s">
        <v>5561</v>
      </c>
      <c r="G50" s="69" t="s">
        <v>884</v>
      </c>
      <c r="H50" s="113" t="s">
        <v>1545</v>
      </c>
      <c r="I50" s="114">
        <f t="array" ref="I50">XLOOKUP(G50,KLUS!$A$2:$A$2010,KLUS!$E$2:$E$2010)+XLOOKUP(H50,KLUS!$A$2:$A$2010,KLUS!$E$2:$E$2010)</f>
        <v>90.3</v>
      </c>
      <c r="J50" s="114">
        <f t="shared" si="1"/>
        <v>81.27</v>
      </c>
      <c r="K50" s="115">
        <f t="shared" si="2"/>
        <v>65.016</v>
      </c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</row>
    <row r="51" ht="15.75" customHeight="1">
      <c r="A51" s="69" t="s">
        <v>5562</v>
      </c>
      <c r="B51" s="69" t="s">
        <v>5473</v>
      </c>
      <c r="C51" s="112" t="s">
        <v>5563</v>
      </c>
      <c r="D51" s="69"/>
      <c r="E51" s="69" t="s">
        <v>3550</v>
      </c>
      <c r="F51" s="69" t="s">
        <v>5564</v>
      </c>
      <c r="G51" s="69" t="s">
        <v>886</v>
      </c>
      <c r="H51" s="113" t="s">
        <v>1541</v>
      </c>
      <c r="I51" s="114">
        <f t="array" ref="I51">XLOOKUP(G51,KLUS!$A$2:$A$2010,KLUS!$E$2:$E$2010)+XLOOKUP(H51,KLUS!$A$2:$A$2010,KLUS!$E$2:$E$2010)</f>
        <v>135.4</v>
      </c>
      <c r="J51" s="114">
        <f t="shared" si="1"/>
        <v>121.86</v>
      </c>
      <c r="K51" s="115">
        <f t="shared" si="2"/>
        <v>97.488</v>
      </c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</row>
    <row r="52" ht="15.75" customHeight="1">
      <c r="A52" s="69" t="s">
        <v>5560</v>
      </c>
      <c r="B52" s="69" t="s">
        <v>5473</v>
      </c>
      <c r="C52" s="112" t="s">
        <v>5563</v>
      </c>
      <c r="D52" s="69"/>
      <c r="E52" s="69" t="s">
        <v>3552</v>
      </c>
      <c r="F52" s="69" t="s">
        <v>5565</v>
      </c>
      <c r="G52" s="69" t="s">
        <v>886</v>
      </c>
      <c r="H52" s="113" t="s">
        <v>1547</v>
      </c>
      <c r="I52" s="114">
        <f t="array" ref="I52">XLOOKUP(G52,KLUS!$A$2:$A$2010,KLUS!$E$2:$E$2010)+XLOOKUP(H52,KLUS!$A$2:$A$2010,KLUS!$E$2:$E$2010)</f>
        <v>135.4</v>
      </c>
      <c r="J52" s="114">
        <f t="shared" si="1"/>
        <v>121.86</v>
      </c>
      <c r="K52" s="115">
        <f t="shared" si="2"/>
        <v>97.488</v>
      </c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</row>
    <row r="53" ht="15.75" customHeight="1">
      <c r="A53" s="69" t="s">
        <v>5566</v>
      </c>
      <c r="B53" s="69" t="s">
        <v>5473</v>
      </c>
      <c r="C53" s="112" t="s">
        <v>5567</v>
      </c>
      <c r="D53" s="69"/>
      <c r="E53" s="69" t="s">
        <v>5568</v>
      </c>
      <c r="F53" s="69" t="s">
        <v>5569</v>
      </c>
      <c r="G53" s="69" t="s">
        <v>407</v>
      </c>
      <c r="H53" s="113" t="s">
        <v>1356</v>
      </c>
      <c r="I53" s="114">
        <f t="array" ref="I53">XLOOKUP(G53,KLUS!$A$2:$A$2010,KLUS!$E$2:$E$2010)+XLOOKUP(H53,KLUS!$A$2:$A$2010,KLUS!$E$2:$E$2010)</f>
        <v>38.5</v>
      </c>
      <c r="J53" s="114">
        <f t="shared" si="1"/>
        <v>34.65</v>
      </c>
      <c r="K53" s="115">
        <f t="shared" si="2"/>
        <v>27.72</v>
      </c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</row>
    <row r="54" ht="15.75" customHeight="1">
      <c r="A54" s="69" t="s">
        <v>5570</v>
      </c>
      <c r="B54" s="69" t="s">
        <v>5486</v>
      </c>
      <c r="C54" s="112" t="s">
        <v>5571</v>
      </c>
      <c r="D54" s="69"/>
      <c r="E54" s="69" t="s">
        <v>5572</v>
      </c>
      <c r="F54" s="69" t="s">
        <v>5573</v>
      </c>
      <c r="G54" s="69" t="s">
        <v>410</v>
      </c>
      <c r="H54" s="113" t="s">
        <v>1359</v>
      </c>
      <c r="I54" s="114">
        <f t="array" ref="I54">XLOOKUP(G54,KLUS!$A$2:$A$2010,KLUS!$E$2:$E$2010)+XLOOKUP(H54,KLUS!$A$2:$A$2010,KLUS!$E$2:$E$2010)</f>
        <v>77.1</v>
      </c>
      <c r="J54" s="114">
        <f t="shared" si="1"/>
        <v>69.39</v>
      </c>
      <c r="K54" s="115">
        <f t="shared" si="2"/>
        <v>55.512</v>
      </c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</row>
    <row r="55" ht="15.75" customHeight="1">
      <c r="A55" s="69" t="s">
        <v>5574</v>
      </c>
      <c r="B55" s="69" t="s">
        <v>5473</v>
      </c>
      <c r="C55" s="112" t="s">
        <v>5575</v>
      </c>
      <c r="D55" s="69"/>
      <c r="E55" s="69" t="s">
        <v>5576</v>
      </c>
      <c r="F55" s="69" t="s">
        <v>5577</v>
      </c>
      <c r="G55" s="69" t="s">
        <v>412</v>
      </c>
      <c r="H55" s="113" t="s">
        <v>1361</v>
      </c>
      <c r="I55" s="114">
        <f t="array" ref="I55">XLOOKUP(G55,KLUS!$A$2:$A$2010,KLUS!$E$2:$E$2010)+XLOOKUP(H55,KLUS!$A$2:$A$2010,KLUS!$E$2:$E$2010)</f>
        <v>115.6</v>
      </c>
      <c r="J55" s="114">
        <f t="shared" si="1"/>
        <v>104.04</v>
      </c>
      <c r="K55" s="115">
        <f t="shared" si="2"/>
        <v>83.232</v>
      </c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</row>
    <row r="56" ht="15.75" customHeight="1">
      <c r="A56" s="69" t="s">
        <v>3599</v>
      </c>
      <c r="B56" s="69" t="s">
        <v>5486</v>
      </c>
      <c r="C56" s="112" t="s">
        <v>5578</v>
      </c>
      <c r="D56" s="69"/>
      <c r="E56" s="69" t="s">
        <v>3600</v>
      </c>
      <c r="F56" s="69" t="s">
        <v>5579</v>
      </c>
      <c r="G56" s="69" t="s">
        <v>636</v>
      </c>
      <c r="H56" s="113" t="s">
        <v>1714</v>
      </c>
      <c r="I56" s="114">
        <f t="array" ref="I56">XLOOKUP(G56,KLUS!$A$2:$A$2010,KLUS!$E$2:$E$2010)+XLOOKUP(H56,KLUS!$A$2:$A$2010,KLUS!$E$2:$E$2010)</f>
        <v>39</v>
      </c>
      <c r="J56" s="114">
        <f t="shared" si="1"/>
        <v>35.1</v>
      </c>
      <c r="K56" s="115">
        <f t="shared" si="2"/>
        <v>28.08</v>
      </c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</row>
    <row r="57" ht="15.75" customHeight="1">
      <c r="A57" s="69" t="s">
        <v>3601</v>
      </c>
      <c r="B57" s="69" t="s">
        <v>5486</v>
      </c>
      <c r="C57" s="112" t="s">
        <v>5580</v>
      </c>
      <c r="D57" s="69"/>
      <c r="E57" s="69" t="s">
        <v>3602</v>
      </c>
      <c r="F57" s="69" t="s">
        <v>5581</v>
      </c>
      <c r="G57" s="69" t="s">
        <v>629</v>
      </c>
      <c r="H57" s="113" t="s">
        <v>1714</v>
      </c>
      <c r="I57" s="114">
        <f t="array" ref="I57">XLOOKUP(G57,KLUS!$A$2:$A$2010,KLUS!$E$2:$E$2010)+XLOOKUP(H57,KLUS!$A$2:$A$2010,KLUS!$E$2:$E$2010)</f>
        <v>33.3</v>
      </c>
      <c r="J57" s="114">
        <f t="shared" si="1"/>
        <v>29.97</v>
      </c>
      <c r="K57" s="115">
        <f t="shared" si="2"/>
        <v>23.976</v>
      </c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</row>
    <row r="58" ht="15.75" customHeight="1">
      <c r="A58" s="69" t="s">
        <v>3607</v>
      </c>
      <c r="B58" s="69" t="s">
        <v>5486</v>
      </c>
      <c r="C58" s="112" t="s">
        <v>5582</v>
      </c>
      <c r="D58" s="69"/>
      <c r="E58" s="69" t="s">
        <v>3608</v>
      </c>
      <c r="F58" s="69" t="s">
        <v>5583</v>
      </c>
      <c r="G58" s="69" t="s">
        <v>639</v>
      </c>
      <c r="H58" s="113" t="s">
        <v>1717</v>
      </c>
      <c r="I58" s="114">
        <f t="array" ref="I58">XLOOKUP(G58,KLUS!$A$2:$A$2010,KLUS!$E$2:$E$2010)+XLOOKUP(H58,KLUS!$A$2:$A$2010,KLUS!$E$2:$E$2010)</f>
        <v>78</v>
      </c>
      <c r="J58" s="114">
        <f t="shared" si="1"/>
        <v>70.2</v>
      </c>
      <c r="K58" s="115">
        <f t="shared" si="2"/>
        <v>56.16</v>
      </c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</row>
    <row r="59" ht="15.75" customHeight="1">
      <c r="A59" s="69" t="s">
        <v>3609</v>
      </c>
      <c r="B59" s="69" t="s">
        <v>5473</v>
      </c>
      <c r="C59" s="112" t="s">
        <v>5519</v>
      </c>
      <c r="D59" s="69"/>
      <c r="E59" s="69" t="s">
        <v>3610</v>
      </c>
      <c r="F59" s="69" t="s">
        <v>5584</v>
      </c>
      <c r="G59" s="69" t="s">
        <v>632</v>
      </c>
      <c r="H59" s="113" t="s">
        <v>1717</v>
      </c>
      <c r="I59" s="114">
        <f t="array" ref="I59">XLOOKUP(G59,KLUS!$A$2:$A$2010,KLUS!$E$2:$E$2010)+XLOOKUP(H59,KLUS!$A$2:$A$2010,KLUS!$E$2:$E$2010)</f>
        <v>66.5</v>
      </c>
      <c r="J59" s="114">
        <f t="shared" si="1"/>
        <v>59.85</v>
      </c>
      <c r="K59" s="115">
        <f t="shared" si="2"/>
        <v>47.88</v>
      </c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</row>
    <row r="60" ht="15.75" customHeight="1">
      <c r="A60" s="69" t="s">
        <v>3615</v>
      </c>
      <c r="B60" s="69" t="s">
        <v>5473</v>
      </c>
      <c r="C60" s="112" t="s">
        <v>5585</v>
      </c>
      <c r="D60" s="69"/>
      <c r="E60" s="69" t="s">
        <v>3616</v>
      </c>
      <c r="F60" s="69" t="s">
        <v>5586</v>
      </c>
      <c r="G60" s="69" t="s">
        <v>641</v>
      </c>
      <c r="H60" s="113" t="s">
        <v>1719</v>
      </c>
      <c r="I60" s="114">
        <f t="array" ref="I60">XLOOKUP(G60,KLUS!$A$2:$A$2010,KLUS!$E$2:$E$2010)+XLOOKUP(H60,KLUS!$A$2:$A$2010,KLUS!$E$2:$E$2010)</f>
        <v>116.9</v>
      </c>
      <c r="J60" s="114">
        <f t="shared" si="1"/>
        <v>105.21</v>
      </c>
      <c r="K60" s="115">
        <f t="shared" si="2"/>
        <v>84.168</v>
      </c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</row>
    <row r="61" ht="15.75" customHeight="1">
      <c r="A61" s="69" t="s">
        <v>3617</v>
      </c>
      <c r="B61" s="69" t="s">
        <v>5473</v>
      </c>
      <c r="C61" s="112" t="s">
        <v>5587</v>
      </c>
      <c r="D61" s="69"/>
      <c r="E61" s="69" t="s">
        <v>3618</v>
      </c>
      <c r="F61" s="69" t="s">
        <v>5588</v>
      </c>
      <c r="G61" s="69" t="s">
        <v>634</v>
      </c>
      <c r="H61" s="113" t="s">
        <v>1719</v>
      </c>
      <c r="I61" s="114">
        <f t="array" ref="I61">XLOOKUP(G61,KLUS!$A$2:$A$2010,KLUS!$E$2:$E$2010)+XLOOKUP(H61,KLUS!$A$2:$A$2010,KLUS!$E$2:$E$2010)</f>
        <v>99.8</v>
      </c>
      <c r="J61" s="114">
        <f t="shared" si="1"/>
        <v>89.82</v>
      </c>
      <c r="K61" s="115">
        <f t="shared" si="2"/>
        <v>71.856</v>
      </c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</row>
    <row r="62" ht="15.75" customHeight="1">
      <c r="A62" s="69" t="s">
        <v>5589</v>
      </c>
      <c r="B62" s="69" t="s">
        <v>5473</v>
      </c>
      <c r="C62" s="112" t="s">
        <v>5590</v>
      </c>
      <c r="D62" s="69"/>
      <c r="E62" s="69" t="s">
        <v>3659</v>
      </c>
      <c r="F62" s="69" t="s">
        <v>5591</v>
      </c>
      <c r="G62" s="69" t="s">
        <v>1117</v>
      </c>
      <c r="H62" s="113" t="s">
        <v>1668</v>
      </c>
      <c r="I62" s="114">
        <f t="array" ref="I62">XLOOKUP(G62,KLUS!$A$2:$A$2010,KLUS!$E$2:$E$2010)+XLOOKUP(H62,KLUS!$A$2:$A$2010,KLUS!$E$2:$E$2010)</f>
        <v>152.7</v>
      </c>
      <c r="J62" s="114">
        <f t="shared" si="1"/>
        <v>137.43</v>
      </c>
      <c r="K62" s="115">
        <f t="shared" si="2"/>
        <v>109.944</v>
      </c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</row>
    <row r="63" ht="15.75" customHeight="1">
      <c r="A63" s="69" t="s">
        <v>5592</v>
      </c>
      <c r="B63" s="69" t="s">
        <v>5473</v>
      </c>
      <c r="C63" s="112" t="s">
        <v>5593</v>
      </c>
      <c r="D63" s="69"/>
      <c r="E63" s="69" t="s">
        <v>3663</v>
      </c>
      <c r="F63" s="69" t="s">
        <v>5594</v>
      </c>
      <c r="G63" s="69" t="s">
        <v>1120</v>
      </c>
      <c r="H63" s="113" t="s">
        <v>1671</v>
      </c>
      <c r="I63" s="114">
        <f t="array" ref="I63">XLOOKUP(G63,KLUS!$A$2:$A$2010,KLUS!$E$2:$E$2010)+XLOOKUP(H63,KLUS!$A$2:$A$2010,KLUS!$E$2:$E$2010)</f>
        <v>305.3</v>
      </c>
      <c r="J63" s="114">
        <f t="shared" si="1"/>
        <v>274.77</v>
      </c>
      <c r="K63" s="115">
        <f t="shared" si="2"/>
        <v>219.816</v>
      </c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</row>
    <row r="64" ht="15.75" customHeight="1">
      <c r="A64" s="69" t="s">
        <v>5595</v>
      </c>
      <c r="B64" s="69" t="s">
        <v>5473</v>
      </c>
      <c r="C64" s="112" t="s">
        <v>5596</v>
      </c>
      <c r="D64" s="69"/>
      <c r="E64" s="69" t="s">
        <v>3667</v>
      </c>
      <c r="F64" s="69" t="s">
        <v>5597</v>
      </c>
      <c r="G64" s="69" t="s">
        <v>1122</v>
      </c>
      <c r="H64" s="113" t="s">
        <v>1673</v>
      </c>
      <c r="I64" s="114">
        <f t="array" ref="I64">XLOOKUP(G64,KLUS!$A$2:$A$2010,KLUS!$E$2:$E$2010)+XLOOKUP(H64,KLUS!$A$2:$A$2010,KLUS!$E$2:$E$2010)</f>
        <v>458</v>
      </c>
      <c r="J64" s="114">
        <f t="shared" si="1"/>
        <v>412.2</v>
      </c>
      <c r="K64" s="115">
        <f t="shared" si="2"/>
        <v>329.76</v>
      </c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</row>
    <row r="65" ht="15.75" customHeight="1">
      <c r="A65" s="69" t="s">
        <v>5598</v>
      </c>
      <c r="B65" s="69" t="s">
        <v>5473</v>
      </c>
      <c r="C65" s="112" t="s">
        <v>5599</v>
      </c>
      <c r="D65" s="69"/>
      <c r="E65" s="69" t="s">
        <v>3671</v>
      </c>
      <c r="F65" s="69" t="s">
        <v>5600</v>
      </c>
      <c r="G65" s="69" t="s">
        <v>1110</v>
      </c>
      <c r="H65" s="113" t="s">
        <v>1668</v>
      </c>
      <c r="I65" s="114">
        <f t="array" ref="I65">XLOOKUP(G65,KLUS!$A$2:$A$2010,KLUS!$E$2:$E$2010)+XLOOKUP(H65,KLUS!$A$2:$A$2010,KLUS!$E$2:$E$2010)</f>
        <v>149.5</v>
      </c>
      <c r="J65" s="114">
        <f t="shared" si="1"/>
        <v>134.55</v>
      </c>
      <c r="K65" s="115">
        <f t="shared" si="2"/>
        <v>107.64</v>
      </c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</row>
    <row r="66" ht="15.75" customHeight="1">
      <c r="A66" s="69" t="s">
        <v>5601</v>
      </c>
      <c r="B66" s="69" t="s">
        <v>5473</v>
      </c>
      <c r="C66" s="112" t="s">
        <v>5602</v>
      </c>
      <c r="D66" s="69"/>
      <c r="E66" s="69" t="s">
        <v>3675</v>
      </c>
      <c r="F66" s="69" t="s">
        <v>5603</v>
      </c>
      <c r="G66" s="69" t="s">
        <v>1113</v>
      </c>
      <c r="H66" s="113" t="s">
        <v>1671</v>
      </c>
      <c r="I66" s="114">
        <f t="array" ref="I66">XLOOKUP(G66,KLUS!$A$2:$A$2010,KLUS!$E$2:$E$2010)+XLOOKUP(H66,KLUS!$A$2:$A$2010,KLUS!$E$2:$E$2010)</f>
        <v>298.9</v>
      </c>
      <c r="J66" s="114">
        <f t="shared" si="1"/>
        <v>269.01</v>
      </c>
      <c r="K66" s="115">
        <f t="shared" si="2"/>
        <v>215.208</v>
      </c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</row>
    <row r="67" ht="15.75" customHeight="1">
      <c r="A67" s="69" t="s">
        <v>5604</v>
      </c>
      <c r="B67" s="69" t="s">
        <v>5473</v>
      </c>
      <c r="C67" s="112" t="s">
        <v>5605</v>
      </c>
      <c r="D67" s="69"/>
      <c r="E67" s="69" t="s">
        <v>3679</v>
      </c>
      <c r="F67" s="69" t="s">
        <v>5606</v>
      </c>
      <c r="G67" s="69" t="s">
        <v>1115</v>
      </c>
      <c r="H67" s="113" t="s">
        <v>1673</v>
      </c>
      <c r="I67" s="114">
        <f t="array" ref="I67">XLOOKUP(G67,KLUS!$A$2:$A$2010,KLUS!$E$2:$E$2010)+XLOOKUP(H67,KLUS!$A$2:$A$2010,KLUS!$E$2:$E$2010)</f>
        <v>448.5</v>
      </c>
      <c r="J67" s="114">
        <f t="shared" si="1"/>
        <v>403.65</v>
      </c>
      <c r="K67" s="115">
        <f t="shared" si="2"/>
        <v>322.92</v>
      </c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</row>
    <row r="68" ht="15.75" customHeight="1">
      <c r="A68" s="69" t="s">
        <v>5607</v>
      </c>
      <c r="B68" s="69" t="s">
        <v>5473</v>
      </c>
      <c r="C68" s="112" t="s">
        <v>5608</v>
      </c>
      <c r="D68" s="69"/>
      <c r="E68" s="69" t="s">
        <v>3683</v>
      </c>
      <c r="F68" s="69" t="s">
        <v>5609</v>
      </c>
      <c r="G68" s="69" t="s">
        <v>1103</v>
      </c>
      <c r="H68" s="113" t="s">
        <v>1668</v>
      </c>
      <c r="I68" s="114">
        <f t="array" ref="I68">XLOOKUP(G68,KLUS!$A$2:$A$2010,KLUS!$E$2:$E$2010)+XLOOKUP(H68,KLUS!$A$2:$A$2010,KLUS!$E$2:$E$2010)</f>
        <v>149.1</v>
      </c>
      <c r="J68" s="114">
        <f t="shared" si="1"/>
        <v>134.19</v>
      </c>
      <c r="K68" s="115">
        <f t="shared" si="2"/>
        <v>107.352</v>
      </c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</row>
    <row r="69" ht="15.75" customHeight="1">
      <c r="A69" s="69" t="s">
        <v>5610</v>
      </c>
      <c r="B69" s="69" t="s">
        <v>5473</v>
      </c>
      <c r="C69" s="112" t="s">
        <v>5611</v>
      </c>
      <c r="D69" s="69"/>
      <c r="E69" s="69" t="s">
        <v>3687</v>
      </c>
      <c r="F69" s="69" t="s">
        <v>5612</v>
      </c>
      <c r="G69" s="69" t="s">
        <v>1106</v>
      </c>
      <c r="H69" s="113" t="s">
        <v>1671</v>
      </c>
      <c r="I69" s="114">
        <f t="array" ref="I69">XLOOKUP(G69,KLUS!$A$2:$A$2010,KLUS!$E$2:$E$2010)+XLOOKUP(H69,KLUS!$A$2:$A$2010,KLUS!$E$2:$E$2010)</f>
        <v>298.2</v>
      </c>
      <c r="J69" s="114">
        <f t="shared" si="1"/>
        <v>268.38</v>
      </c>
      <c r="K69" s="115">
        <f t="shared" si="2"/>
        <v>214.704</v>
      </c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</row>
    <row r="70" ht="15.75" customHeight="1">
      <c r="A70" s="69" t="s">
        <v>5613</v>
      </c>
      <c r="B70" s="69" t="s">
        <v>5473</v>
      </c>
      <c r="C70" s="112" t="s">
        <v>5614</v>
      </c>
      <c r="D70" s="69"/>
      <c r="E70" s="69" t="s">
        <v>3691</v>
      </c>
      <c r="F70" s="69" t="s">
        <v>5615</v>
      </c>
      <c r="G70" s="69" t="s">
        <v>1108</v>
      </c>
      <c r="H70" s="113" t="s">
        <v>1673</v>
      </c>
      <c r="I70" s="114">
        <f t="array" ref="I70">XLOOKUP(G70,KLUS!$A$2:$A$2010,KLUS!$E$2:$E$2010)+XLOOKUP(H70,KLUS!$A$2:$A$2010,KLUS!$E$2:$E$2010)</f>
        <v>447.3</v>
      </c>
      <c r="J70" s="114">
        <f t="shared" si="1"/>
        <v>402.57</v>
      </c>
      <c r="K70" s="115">
        <f t="shared" si="2"/>
        <v>322.056</v>
      </c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</row>
    <row r="71" ht="15.75" customHeight="1">
      <c r="A71" s="69" t="s">
        <v>5616</v>
      </c>
      <c r="B71" s="69" t="s">
        <v>5486</v>
      </c>
      <c r="C71" s="112" t="s">
        <v>5617</v>
      </c>
      <c r="D71" s="69"/>
      <c r="E71" s="69" t="s">
        <v>3695</v>
      </c>
      <c r="F71" s="69" t="s">
        <v>5618</v>
      </c>
      <c r="G71" s="69" t="s">
        <v>1096</v>
      </c>
      <c r="H71" s="113" t="s">
        <v>1668</v>
      </c>
      <c r="I71" s="114">
        <f t="array" ref="I71">XLOOKUP(G71,KLUS!$A$2:$A$2010,KLUS!$E$2:$E$2010)+XLOOKUP(H71,KLUS!$A$2:$A$2010,KLUS!$E$2:$E$2010)</f>
        <v>142.1</v>
      </c>
      <c r="J71" s="114">
        <f t="shared" si="1"/>
        <v>127.89</v>
      </c>
      <c r="K71" s="115">
        <f t="shared" si="2"/>
        <v>102.312</v>
      </c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</row>
    <row r="72" ht="15.75" customHeight="1">
      <c r="A72" s="69" t="s">
        <v>5619</v>
      </c>
      <c r="B72" s="69" t="s">
        <v>5486</v>
      </c>
      <c r="C72" s="112" t="s">
        <v>5620</v>
      </c>
      <c r="D72" s="69"/>
      <c r="E72" s="69" t="s">
        <v>3699</v>
      </c>
      <c r="F72" s="69" t="s">
        <v>5621</v>
      </c>
      <c r="G72" s="69" t="s">
        <v>1099</v>
      </c>
      <c r="H72" s="113" t="s">
        <v>1671</v>
      </c>
      <c r="I72" s="114">
        <f t="array" ref="I72">XLOOKUP(G72,KLUS!$A$2:$A$2010,KLUS!$E$2:$E$2010)+XLOOKUP(H72,KLUS!$A$2:$A$2010,KLUS!$E$2:$E$2010)</f>
        <v>284.1</v>
      </c>
      <c r="J72" s="114">
        <f t="shared" si="1"/>
        <v>255.69</v>
      </c>
      <c r="K72" s="115">
        <f t="shared" si="2"/>
        <v>204.552</v>
      </c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</row>
    <row r="73" ht="15.75" customHeight="1">
      <c r="A73" s="69" t="s">
        <v>5622</v>
      </c>
      <c r="B73" s="69" t="s">
        <v>5486</v>
      </c>
      <c r="C73" s="112" t="s">
        <v>5623</v>
      </c>
      <c r="D73" s="69"/>
      <c r="E73" s="69" t="s">
        <v>3703</v>
      </c>
      <c r="F73" s="69" t="s">
        <v>5624</v>
      </c>
      <c r="G73" s="69" t="s">
        <v>1101</v>
      </c>
      <c r="H73" s="113" t="s">
        <v>1673</v>
      </c>
      <c r="I73" s="114">
        <f t="array" ref="I73">XLOOKUP(G73,KLUS!$A$2:$A$2010,KLUS!$E$2:$E$2010)+XLOOKUP(H73,KLUS!$A$2:$A$2010,KLUS!$E$2:$E$2010)</f>
        <v>426.2</v>
      </c>
      <c r="J73" s="114">
        <f t="shared" si="1"/>
        <v>383.58</v>
      </c>
      <c r="K73" s="115">
        <f t="shared" si="2"/>
        <v>306.864</v>
      </c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</row>
    <row r="74" ht="15.75" customHeight="1">
      <c r="A74" s="69" t="s">
        <v>5625</v>
      </c>
      <c r="B74" s="69" t="s">
        <v>5473</v>
      </c>
      <c r="C74" s="112" t="s">
        <v>5626</v>
      </c>
      <c r="D74" s="69"/>
      <c r="E74" s="69" t="s">
        <v>3707</v>
      </c>
      <c r="F74" s="69" t="s">
        <v>5627</v>
      </c>
      <c r="G74" s="69" t="s">
        <v>348</v>
      </c>
      <c r="H74" s="113" t="s">
        <v>1326</v>
      </c>
      <c r="I74" s="114">
        <f t="array" ref="I74">XLOOKUP(G74,KLUS!$A$2:$A$2010,KLUS!$E$2:$E$2010)+XLOOKUP(H74,KLUS!$A$2:$A$2010,KLUS!$E$2:$E$2010)</f>
        <v>52.4</v>
      </c>
      <c r="J74" s="114">
        <f t="shared" si="1"/>
        <v>47.16</v>
      </c>
      <c r="K74" s="115">
        <f t="shared" si="2"/>
        <v>37.728</v>
      </c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</row>
    <row r="75" ht="15.75" customHeight="1">
      <c r="A75" s="69" t="s">
        <v>5628</v>
      </c>
      <c r="B75" s="69" t="s">
        <v>5473</v>
      </c>
      <c r="C75" s="112" t="s">
        <v>5629</v>
      </c>
      <c r="D75" s="69"/>
      <c r="E75" s="69" t="s">
        <v>3711</v>
      </c>
      <c r="F75" s="69" t="s">
        <v>5630</v>
      </c>
      <c r="G75" s="69" t="s">
        <v>351</v>
      </c>
      <c r="H75" s="113" t="s">
        <v>1329</v>
      </c>
      <c r="I75" s="114">
        <f t="array" ref="I75">XLOOKUP(G75,KLUS!$A$2:$A$2010,KLUS!$E$2:$E$2010)+XLOOKUP(H75,KLUS!$A$2:$A$2010,KLUS!$E$2:$E$2010)</f>
        <v>104.8</v>
      </c>
      <c r="J75" s="114">
        <f t="shared" si="1"/>
        <v>94.32</v>
      </c>
      <c r="K75" s="115">
        <f t="shared" si="2"/>
        <v>75.456</v>
      </c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</row>
    <row r="76" ht="15.75" customHeight="1">
      <c r="A76" s="69" t="s">
        <v>5631</v>
      </c>
      <c r="B76" s="69" t="s">
        <v>5473</v>
      </c>
      <c r="C76" s="112" t="s">
        <v>5632</v>
      </c>
      <c r="D76" s="69"/>
      <c r="E76" s="69" t="s">
        <v>3748</v>
      </c>
      <c r="F76" s="69" t="s">
        <v>5633</v>
      </c>
      <c r="G76" s="69" t="s">
        <v>463</v>
      </c>
      <c r="H76" s="116" t="s">
        <v>1472</v>
      </c>
      <c r="I76" s="114">
        <f t="array" ref="I76">XLOOKUP(G76,KLUS!$A$2:$A$2010,KLUS!$E$2:$E$2010)+XLOOKUP(H76,KLUS!$A$2:$A$2010,KLUS!$E$2:$E$2010)</f>
        <v>83</v>
      </c>
      <c r="J76" s="114">
        <f t="shared" si="1"/>
        <v>74.7</v>
      </c>
      <c r="K76" s="115">
        <f t="shared" si="2"/>
        <v>59.76</v>
      </c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</row>
    <row r="77" ht="15.75" customHeight="1">
      <c r="A77" s="69" t="s">
        <v>5634</v>
      </c>
      <c r="B77" s="69" t="s">
        <v>5473</v>
      </c>
      <c r="C77" s="112" t="s">
        <v>5635</v>
      </c>
      <c r="D77" s="69"/>
      <c r="E77" s="69" t="s">
        <v>3750</v>
      </c>
      <c r="F77" s="69" t="s">
        <v>5636</v>
      </c>
      <c r="G77" s="69" t="s">
        <v>465</v>
      </c>
      <c r="H77" s="113" t="s">
        <v>1475</v>
      </c>
      <c r="I77" s="114">
        <f t="array" ref="I77">XLOOKUP(G77,KLUS!$A$2:$A$2010,KLUS!$E$2:$E$2010)+XLOOKUP(H77,KLUS!$A$2:$A$2010,KLUS!$E$2:$E$2010)</f>
        <v>166</v>
      </c>
      <c r="J77" s="114">
        <f t="shared" si="1"/>
        <v>149.4</v>
      </c>
      <c r="K77" s="115">
        <f t="shared" si="2"/>
        <v>119.52</v>
      </c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</row>
    <row r="78" ht="15.75" customHeight="1">
      <c r="A78" s="69" t="s">
        <v>5637</v>
      </c>
      <c r="B78" s="69" t="s">
        <v>5473</v>
      </c>
      <c r="C78" s="112" t="s">
        <v>5638</v>
      </c>
      <c r="D78" s="69"/>
      <c r="E78" s="69" t="s">
        <v>3752</v>
      </c>
      <c r="F78" s="69" t="s">
        <v>5639</v>
      </c>
      <c r="G78" s="69" t="s">
        <v>463</v>
      </c>
      <c r="H78" s="116" t="s">
        <v>1479</v>
      </c>
      <c r="I78" s="114">
        <f t="array" ref="I78">XLOOKUP(G78,KLUS!$A$2:$A$2010,KLUS!$E$2:$E$2010)+XLOOKUP(H78,KLUS!$A$2:$A$2010,KLUS!$E$2:$E$2010)</f>
        <v>73.1</v>
      </c>
      <c r="J78" s="114">
        <f t="shared" si="1"/>
        <v>65.79</v>
      </c>
      <c r="K78" s="115">
        <f t="shared" si="2"/>
        <v>52.632</v>
      </c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</row>
    <row r="79" ht="15.75" customHeight="1">
      <c r="A79" s="69" t="s">
        <v>5640</v>
      </c>
      <c r="B79" s="69" t="s">
        <v>5473</v>
      </c>
      <c r="C79" s="112" t="s">
        <v>5641</v>
      </c>
      <c r="D79" s="69"/>
      <c r="E79" s="69" t="s">
        <v>3754</v>
      </c>
      <c r="F79" s="69" t="s">
        <v>5642</v>
      </c>
      <c r="G79" s="69" t="s">
        <v>465</v>
      </c>
      <c r="H79" s="113" t="s">
        <v>1481</v>
      </c>
      <c r="I79" s="114">
        <f t="array" ref="I79">XLOOKUP(G79,KLUS!$A$2:$A$2010,KLUS!$E$2:$E$2010)+XLOOKUP(H79,KLUS!$A$2:$A$2010,KLUS!$E$2:$E$2010)</f>
        <v>146.2</v>
      </c>
      <c r="J79" s="114">
        <f t="shared" si="1"/>
        <v>131.58</v>
      </c>
      <c r="K79" s="115">
        <f t="shared" si="2"/>
        <v>105.264</v>
      </c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</row>
    <row r="80" ht="15.75" customHeight="1">
      <c r="A80" s="69" t="s">
        <v>5643</v>
      </c>
      <c r="B80" s="69" t="s">
        <v>5473</v>
      </c>
      <c r="C80" s="112" t="s">
        <v>5644</v>
      </c>
      <c r="D80" s="69"/>
      <c r="E80" s="69" t="s">
        <v>3756</v>
      </c>
      <c r="F80" s="69" t="s">
        <v>5645</v>
      </c>
      <c r="G80" s="69" t="s">
        <v>463</v>
      </c>
      <c r="H80" s="116" t="s">
        <v>1485</v>
      </c>
      <c r="I80" s="114">
        <f t="array" ref="I80">XLOOKUP(G80,KLUS!$A$2:$A$2010,KLUS!$E$2:$E$2010)+XLOOKUP(H80,KLUS!$A$2:$A$2010,KLUS!$E$2:$E$2010)</f>
        <v>69.4</v>
      </c>
      <c r="J80" s="114">
        <f t="shared" si="1"/>
        <v>62.46</v>
      </c>
      <c r="K80" s="115">
        <f t="shared" si="2"/>
        <v>49.968</v>
      </c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</row>
    <row r="81" ht="15.75" customHeight="1">
      <c r="A81" s="69" t="s">
        <v>5646</v>
      </c>
      <c r="B81" s="69" t="s">
        <v>5473</v>
      </c>
      <c r="C81" s="112" t="s">
        <v>5647</v>
      </c>
      <c r="D81" s="69"/>
      <c r="E81" s="69" t="s">
        <v>3758</v>
      </c>
      <c r="F81" s="69" t="s">
        <v>5648</v>
      </c>
      <c r="G81" s="69" t="s">
        <v>465</v>
      </c>
      <c r="H81" s="113" t="s">
        <v>1487</v>
      </c>
      <c r="I81" s="114">
        <f t="array" ref="I81">XLOOKUP(G81,KLUS!$A$2:$A$2010,KLUS!$E$2:$E$2010)+XLOOKUP(H81,KLUS!$A$2:$A$2010,KLUS!$E$2:$E$2010)</f>
        <v>138.7</v>
      </c>
      <c r="J81" s="114">
        <f t="shared" si="1"/>
        <v>124.83</v>
      </c>
      <c r="K81" s="115">
        <f t="shared" si="2"/>
        <v>99.864</v>
      </c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</row>
    <row r="82" ht="15.75" customHeight="1">
      <c r="A82" s="69" t="s">
        <v>5649</v>
      </c>
      <c r="B82" s="69" t="s">
        <v>5473</v>
      </c>
      <c r="C82" s="112" t="s">
        <v>5650</v>
      </c>
      <c r="D82" s="69"/>
      <c r="E82" s="69" t="s">
        <v>3762</v>
      </c>
      <c r="F82" s="69" t="s">
        <v>5651</v>
      </c>
      <c r="G82" s="69" t="s">
        <v>834</v>
      </c>
      <c r="H82" s="116" t="s">
        <v>1536</v>
      </c>
      <c r="I82" s="114">
        <f t="array" ref="I82">XLOOKUP(G82,KLUS!$A$2:$A$2010,KLUS!$E$2:$E$2010)+XLOOKUP(H82,KLUS!$A$2:$A$2010,KLUS!$E$2:$E$2010)</f>
        <v>60</v>
      </c>
      <c r="J82" s="114">
        <f t="shared" si="1"/>
        <v>54</v>
      </c>
      <c r="K82" s="115">
        <f t="shared" si="2"/>
        <v>43.2</v>
      </c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</row>
    <row r="83" ht="15.75" customHeight="1">
      <c r="A83" s="69" t="s">
        <v>5652</v>
      </c>
      <c r="B83" s="69" t="s">
        <v>5486</v>
      </c>
      <c r="C83" s="112" t="s">
        <v>5653</v>
      </c>
      <c r="D83" s="69"/>
      <c r="E83" s="69" t="s">
        <v>3766</v>
      </c>
      <c r="F83" s="69" t="s">
        <v>5654</v>
      </c>
      <c r="G83" s="69" t="s">
        <v>836</v>
      </c>
      <c r="H83" s="113" t="s">
        <v>1539</v>
      </c>
      <c r="I83" s="114">
        <f t="array" ref="I83">XLOOKUP(G83,KLUS!$A$2:$A$2010,KLUS!$E$2:$E$2010)+XLOOKUP(H83,KLUS!$A$2:$A$2010,KLUS!$E$2:$E$2010)</f>
        <v>120</v>
      </c>
      <c r="J83" s="114">
        <f t="shared" si="1"/>
        <v>108</v>
      </c>
      <c r="K83" s="115">
        <f t="shared" si="2"/>
        <v>86.4</v>
      </c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</row>
    <row r="84" ht="15.75" customHeight="1">
      <c r="A84" s="69" t="s">
        <v>5655</v>
      </c>
      <c r="B84" s="69" t="s">
        <v>5473</v>
      </c>
      <c r="C84" s="112" t="s">
        <v>5656</v>
      </c>
      <c r="D84" s="69"/>
      <c r="E84" s="69" t="s">
        <v>3770</v>
      </c>
      <c r="F84" s="69" t="s">
        <v>5657</v>
      </c>
      <c r="G84" s="69" t="s">
        <v>838</v>
      </c>
      <c r="H84" s="113" t="s">
        <v>1541</v>
      </c>
      <c r="I84" s="114">
        <f t="array" ref="I84">XLOOKUP(G84,KLUS!$A$2:$A$2010,KLUS!$E$2:$E$2010)+XLOOKUP(H84,KLUS!$A$2:$A$2010,KLUS!$E$2:$E$2010)</f>
        <v>180</v>
      </c>
      <c r="J84" s="114">
        <f t="shared" si="1"/>
        <v>162</v>
      </c>
      <c r="K84" s="115">
        <f t="shared" si="2"/>
        <v>129.6</v>
      </c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</row>
    <row r="85" ht="15.75" customHeight="1">
      <c r="A85" s="69" t="s">
        <v>5658</v>
      </c>
      <c r="B85" s="69" t="s">
        <v>5473</v>
      </c>
      <c r="C85" s="112" t="s">
        <v>5659</v>
      </c>
      <c r="D85" s="69"/>
      <c r="E85" s="69" t="s">
        <v>3792</v>
      </c>
      <c r="F85" s="69" t="s">
        <v>5660</v>
      </c>
      <c r="G85" s="69" t="s">
        <v>615</v>
      </c>
      <c r="H85" s="116" t="s">
        <v>1536</v>
      </c>
      <c r="I85" s="114">
        <f t="array" ref="I85">XLOOKUP(G85,KLUS!$A$2:$A$2010,KLUS!$E$2:$E$2010)+XLOOKUP(H85,KLUS!$A$2:$A$2010,KLUS!$E$2:$E$2010)</f>
        <v>55.3</v>
      </c>
      <c r="J85" s="114">
        <f t="shared" si="1"/>
        <v>49.77</v>
      </c>
      <c r="K85" s="115">
        <f t="shared" si="2"/>
        <v>39.816</v>
      </c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</row>
    <row r="86" ht="15.75" customHeight="1">
      <c r="A86" s="69" t="s">
        <v>5661</v>
      </c>
      <c r="B86" s="69" t="s">
        <v>5473</v>
      </c>
      <c r="C86" s="112" t="s">
        <v>5662</v>
      </c>
      <c r="D86" s="69"/>
      <c r="E86" s="69" t="s">
        <v>3796</v>
      </c>
      <c r="F86" s="69" t="s">
        <v>5663</v>
      </c>
      <c r="G86" s="69" t="s">
        <v>618</v>
      </c>
      <c r="H86" s="113" t="s">
        <v>1539</v>
      </c>
      <c r="I86" s="114">
        <f t="array" ref="I86">XLOOKUP(G86,KLUS!$A$2:$A$2010,KLUS!$E$2:$E$2010)+XLOOKUP(H86,KLUS!$A$2:$A$2010,KLUS!$E$2:$E$2010)</f>
        <v>110.7</v>
      </c>
      <c r="J86" s="114">
        <f t="shared" si="1"/>
        <v>99.63</v>
      </c>
      <c r="K86" s="115">
        <f t="shared" si="2"/>
        <v>79.704</v>
      </c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</row>
    <row r="87" ht="15.75" customHeight="1">
      <c r="A87" s="69" t="s">
        <v>5664</v>
      </c>
      <c r="B87" s="69" t="s">
        <v>5473</v>
      </c>
      <c r="C87" s="112" t="s">
        <v>5665</v>
      </c>
      <c r="D87" s="69"/>
      <c r="E87" s="69" t="s">
        <v>3800</v>
      </c>
      <c r="F87" s="69" t="s">
        <v>5666</v>
      </c>
      <c r="G87" s="69" t="s">
        <v>620</v>
      </c>
      <c r="H87" s="113" t="s">
        <v>1541</v>
      </c>
      <c r="I87" s="114">
        <f t="array" ref="I87">XLOOKUP(G87,KLUS!$A$2:$A$2010,KLUS!$E$2:$E$2010)+XLOOKUP(H87,KLUS!$A$2:$A$2010,KLUS!$E$2:$E$2010)</f>
        <v>166</v>
      </c>
      <c r="J87" s="114">
        <f t="shared" si="1"/>
        <v>149.4</v>
      </c>
      <c r="K87" s="115">
        <f t="shared" si="2"/>
        <v>119.52</v>
      </c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</row>
    <row r="88" ht="15.75" customHeight="1">
      <c r="A88" s="69" t="s">
        <v>5667</v>
      </c>
      <c r="B88" s="69" t="s">
        <v>5473</v>
      </c>
      <c r="C88" s="112" t="s">
        <v>5668</v>
      </c>
      <c r="D88" s="69"/>
      <c r="E88" s="69" t="s">
        <v>3834</v>
      </c>
      <c r="F88" s="69" t="s">
        <v>5669</v>
      </c>
      <c r="G88" s="69" t="s">
        <v>414</v>
      </c>
      <c r="H88" s="116" t="s">
        <v>1369</v>
      </c>
      <c r="I88" s="114">
        <f t="array" ref="I88">XLOOKUP(G88,KLUS!$A$2:$A$2010,KLUS!$E$2:$E$2010)+XLOOKUP(H88,KLUS!$A$2:$A$2010,KLUS!$E$2:$E$2010)</f>
        <v>41.9</v>
      </c>
      <c r="J88" s="114">
        <f t="shared" si="1"/>
        <v>37.71</v>
      </c>
      <c r="K88" s="115">
        <f t="shared" si="2"/>
        <v>30.168</v>
      </c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</row>
    <row r="89" ht="15.75" customHeight="1">
      <c r="A89" s="69" t="s">
        <v>3835</v>
      </c>
      <c r="B89" s="69" t="s">
        <v>5473</v>
      </c>
      <c r="C89" s="112" t="s">
        <v>5670</v>
      </c>
      <c r="D89" s="69"/>
      <c r="E89" s="69" t="s">
        <v>3836</v>
      </c>
      <c r="F89" s="69" t="s">
        <v>5671</v>
      </c>
      <c r="G89" s="69" t="s">
        <v>414</v>
      </c>
      <c r="H89" s="113" t="s">
        <v>1356</v>
      </c>
      <c r="I89" s="114">
        <f t="array" ref="I89">XLOOKUP(G89,KLUS!$A$2:$A$2010,KLUS!$E$2:$E$2010)+XLOOKUP(H89,KLUS!$A$2:$A$2010,KLUS!$E$2:$E$2010)</f>
        <v>36.1</v>
      </c>
      <c r="J89" s="114">
        <f t="shared" si="1"/>
        <v>32.49</v>
      </c>
      <c r="K89" s="115">
        <f t="shared" si="2"/>
        <v>25.992</v>
      </c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</row>
    <row r="90" ht="15.75" customHeight="1">
      <c r="A90" s="69" t="s">
        <v>5672</v>
      </c>
      <c r="B90" s="69" t="s">
        <v>5473</v>
      </c>
      <c r="C90" s="112" t="s">
        <v>5673</v>
      </c>
      <c r="D90" s="69"/>
      <c r="E90" s="69" t="s">
        <v>3840</v>
      </c>
      <c r="F90" s="69" t="s">
        <v>5674</v>
      </c>
      <c r="G90" s="69" t="s">
        <v>417</v>
      </c>
      <c r="H90" s="113" t="s">
        <v>1372</v>
      </c>
      <c r="I90" s="114">
        <f t="array" ref="I90">XLOOKUP(G90,KLUS!$A$2:$A$2010,KLUS!$E$2:$E$2010)+XLOOKUP(H90,KLUS!$A$2:$A$2010,KLUS!$E$2:$E$2010)</f>
        <v>83.7</v>
      </c>
      <c r="J90" s="114">
        <f t="shared" si="1"/>
        <v>75.33</v>
      </c>
      <c r="K90" s="115">
        <f t="shared" si="2"/>
        <v>60.264</v>
      </c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</row>
    <row r="91" ht="15.75" customHeight="1">
      <c r="A91" s="69" t="s">
        <v>5675</v>
      </c>
      <c r="B91" s="69" t="s">
        <v>5676</v>
      </c>
      <c r="C91" s="112" t="s">
        <v>5677</v>
      </c>
      <c r="D91" s="69"/>
      <c r="E91" s="69" t="s">
        <v>3842</v>
      </c>
      <c r="F91" s="69" t="s">
        <v>5678</v>
      </c>
      <c r="G91" s="69" t="s">
        <v>417</v>
      </c>
      <c r="H91" s="113" t="s">
        <v>1359</v>
      </c>
      <c r="I91" s="114">
        <f t="array" ref="I91">XLOOKUP(G91,KLUS!$A$2:$A$2010,KLUS!$E$2:$E$2010)+XLOOKUP(H91,KLUS!$A$2:$A$2010,KLUS!$E$2:$E$2010)</f>
        <v>72.2</v>
      </c>
      <c r="J91" s="114">
        <f t="shared" si="1"/>
        <v>64.98</v>
      </c>
      <c r="K91" s="115">
        <f t="shared" si="2"/>
        <v>51.984</v>
      </c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</row>
    <row r="92" ht="15.75" customHeight="1">
      <c r="A92" s="69" t="s">
        <v>5679</v>
      </c>
      <c r="B92" s="69" t="s">
        <v>5473</v>
      </c>
      <c r="C92" s="112" t="s">
        <v>5680</v>
      </c>
      <c r="D92" s="69"/>
      <c r="E92" s="69" t="s">
        <v>3846</v>
      </c>
      <c r="F92" s="69" t="s">
        <v>5681</v>
      </c>
      <c r="G92" s="69" t="s">
        <v>419</v>
      </c>
      <c r="H92" s="113" t="s">
        <v>1374</v>
      </c>
      <c r="I92" s="114">
        <f t="array" ref="I92">XLOOKUP(G92,KLUS!$A$2:$A$2010,KLUS!$E$2:$E$2010)+XLOOKUP(H92,KLUS!$A$2:$A$2010,KLUS!$E$2:$E$2010)</f>
        <v>125.6</v>
      </c>
      <c r="J92" s="114">
        <f t="shared" si="1"/>
        <v>113.04</v>
      </c>
      <c r="K92" s="115">
        <f t="shared" si="2"/>
        <v>90.432</v>
      </c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</row>
    <row r="93" ht="15.75" customHeight="1">
      <c r="A93" s="69" t="s">
        <v>5682</v>
      </c>
      <c r="B93" s="69" t="s">
        <v>5473</v>
      </c>
      <c r="C93" s="112" t="s">
        <v>5683</v>
      </c>
      <c r="D93" s="69"/>
      <c r="E93" s="69" t="s">
        <v>3848</v>
      </c>
      <c r="F93" s="69" t="s">
        <v>5684</v>
      </c>
      <c r="G93" s="69" t="s">
        <v>419</v>
      </c>
      <c r="H93" s="113" t="s">
        <v>1361</v>
      </c>
      <c r="I93" s="114">
        <f t="array" ref="I93">XLOOKUP(G93,KLUS!$A$2:$A$2010,KLUS!$E$2:$E$2010)+XLOOKUP(H93,KLUS!$A$2:$A$2010,KLUS!$E$2:$E$2010)</f>
        <v>108.3</v>
      </c>
      <c r="J93" s="114">
        <f t="shared" si="1"/>
        <v>97.47</v>
      </c>
      <c r="K93" s="115">
        <f t="shared" si="2"/>
        <v>77.976</v>
      </c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</row>
    <row r="94" ht="15.75" customHeight="1">
      <c r="A94" s="69" t="s">
        <v>5685</v>
      </c>
      <c r="B94" s="69" t="s">
        <v>5473</v>
      </c>
      <c r="C94" s="112" t="s">
        <v>5686</v>
      </c>
      <c r="D94" s="69"/>
      <c r="E94" s="69" t="s">
        <v>3854</v>
      </c>
      <c r="F94" s="69" t="s">
        <v>5687</v>
      </c>
      <c r="G94" s="69" t="s">
        <v>760</v>
      </c>
      <c r="H94" s="113" t="s">
        <v>1536</v>
      </c>
      <c r="I94" s="114">
        <f t="array" ref="I94">XLOOKUP(G94,KLUS!$A$2:$A$2010,KLUS!$E$2:$E$2010)+XLOOKUP(H94,KLUS!$A$2:$A$2010,KLUS!$E$2:$E$2010)</f>
        <v>72.9</v>
      </c>
      <c r="J94" s="114">
        <f t="shared" si="1"/>
        <v>65.61</v>
      </c>
      <c r="K94" s="115">
        <f t="shared" si="2"/>
        <v>52.488</v>
      </c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</row>
    <row r="95" ht="15.75" customHeight="1">
      <c r="A95" s="69" t="s">
        <v>5688</v>
      </c>
      <c r="B95" s="69" t="s">
        <v>5473</v>
      </c>
      <c r="C95" s="112" t="s">
        <v>5686</v>
      </c>
      <c r="D95" s="69"/>
      <c r="E95" s="69" t="s">
        <v>3856</v>
      </c>
      <c r="F95" s="69" t="s">
        <v>5689</v>
      </c>
      <c r="G95" s="69" t="s">
        <v>760</v>
      </c>
      <c r="H95" s="116" t="s">
        <v>1543</v>
      </c>
      <c r="I95" s="114">
        <f t="array" ref="I95">XLOOKUP(G95,KLUS!$A$2:$A$2010,KLUS!$E$2:$E$2010)+XLOOKUP(H95,KLUS!$A$2:$A$2010,KLUS!$E$2:$E$2010)</f>
        <v>72.9</v>
      </c>
      <c r="J95" s="114">
        <f t="shared" si="1"/>
        <v>65.61</v>
      </c>
      <c r="K95" s="115">
        <f t="shared" si="2"/>
        <v>52.488</v>
      </c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</row>
    <row r="96" ht="15.75" customHeight="1">
      <c r="A96" s="69" t="s">
        <v>5690</v>
      </c>
      <c r="B96" s="69" t="s">
        <v>5473</v>
      </c>
      <c r="C96" s="112" t="s">
        <v>5691</v>
      </c>
      <c r="D96" s="69"/>
      <c r="E96" s="69" t="s">
        <v>3860</v>
      </c>
      <c r="F96" s="69" t="s">
        <v>5692</v>
      </c>
      <c r="G96" s="69" t="s">
        <v>763</v>
      </c>
      <c r="H96" s="113" t="s">
        <v>1539</v>
      </c>
      <c r="I96" s="114">
        <f t="array" ref="I96">XLOOKUP(G96,KLUS!$A$2:$A$2010,KLUS!$E$2:$E$2010)+XLOOKUP(H96,KLUS!$A$2:$A$2010,KLUS!$E$2:$E$2010)</f>
        <v>145.8</v>
      </c>
      <c r="J96" s="114">
        <f t="shared" si="1"/>
        <v>131.22</v>
      </c>
      <c r="K96" s="115">
        <f t="shared" si="2"/>
        <v>104.976</v>
      </c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</row>
    <row r="97" ht="15.75" customHeight="1">
      <c r="A97" s="69" t="s">
        <v>5693</v>
      </c>
      <c r="B97" s="69" t="s">
        <v>5473</v>
      </c>
      <c r="C97" s="112" t="s">
        <v>5691</v>
      </c>
      <c r="D97" s="69"/>
      <c r="E97" s="69" t="s">
        <v>3862</v>
      </c>
      <c r="F97" s="69" t="s">
        <v>5694</v>
      </c>
      <c r="G97" s="69" t="s">
        <v>763</v>
      </c>
      <c r="H97" s="113" t="s">
        <v>1545</v>
      </c>
      <c r="I97" s="114">
        <f t="array" ref="I97">XLOOKUP(G97,KLUS!$A$2:$A$2010,KLUS!$E$2:$E$2010)+XLOOKUP(H97,KLUS!$A$2:$A$2010,KLUS!$E$2:$E$2010)</f>
        <v>145.8</v>
      </c>
      <c r="J97" s="114">
        <f t="shared" si="1"/>
        <v>131.22</v>
      </c>
      <c r="K97" s="115">
        <f t="shared" si="2"/>
        <v>104.976</v>
      </c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</row>
    <row r="98" ht="15.75" customHeight="1">
      <c r="A98" s="69" t="s">
        <v>5695</v>
      </c>
      <c r="B98" s="69" t="s">
        <v>5473</v>
      </c>
      <c r="C98" s="112" t="s">
        <v>5696</v>
      </c>
      <c r="D98" s="69"/>
      <c r="E98" s="69" t="s">
        <v>3868</v>
      </c>
      <c r="F98" s="69" t="s">
        <v>5697</v>
      </c>
      <c r="G98" s="69" t="s">
        <v>765</v>
      </c>
      <c r="H98" s="113" t="s">
        <v>1541</v>
      </c>
      <c r="I98" s="114">
        <f t="array" ref="I98">XLOOKUP(G98,KLUS!$A$2:$A$2010,KLUS!$E$2:$E$2010)+XLOOKUP(H98,KLUS!$A$2:$A$2010,KLUS!$E$2:$E$2010)</f>
        <v>218.6</v>
      </c>
      <c r="J98" s="114">
        <f t="shared" si="1"/>
        <v>196.74</v>
      </c>
      <c r="K98" s="115">
        <f t="shared" si="2"/>
        <v>157.392</v>
      </c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</row>
    <row r="99" ht="15.75" customHeight="1">
      <c r="A99" s="69" t="s">
        <v>5698</v>
      </c>
      <c r="B99" s="69" t="s">
        <v>5473</v>
      </c>
      <c r="C99" s="112" t="s">
        <v>5699</v>
      </c>
      <c r="D99" s="69"/>
      <c r="E99" s="69" t="s">
        <v>5700</v>
      </c>
      <c r="F99" s="69" t="s">
        <v>5701</v>
      </c>
      <c r="G99" s="69" t="s">
        <v>808</v>
      </c>
      <c r="H99" s="113" t="s">
        <v>1539</v>
      </c>
      <c r="I99" s="114">
        <f t="array" ref="I99">XLOOKUP(G99,KLUS!$A$2:$A$2010,KLUS!$E$2:$E$2010)+XLOOKUP(H99,KLUS!$A$2:$A$2010,KLUS!$E$2:$E$2010)</f>
        <v>160.8</v>
      </c>
      <c r="J99" s="114">
        <f t="shared" si="1"/>
        <v>144.72</v>
      </c>
      <c r="K99" s="115">
        <f t="shared" si="2"/>
        <v>115.776</v>
      </c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</row>
    <row r="100" ht="15.75" customHeight="1">
      <c r="A100" s="69" t="s">
        <v>5702</v>
      </c>
      <c r="B100" s="69" t="s">
        <v>5473</v>
      </c>
      <c r="C100" s="112" t="s">
        <v>5703</v>
      </c>
      <c r="D100" s="69"/>
      <c r="E100" s="69" t="s">
        <v>3896</v>
      </c>
      <c r="F100" s="69" t="s">
        <v>5704</v>
      </c>
      <c r="G100" s="69" t="s">
        <v>799</v>
      </c>
      <c r="H100" s="113" t="s">
        <v>1536</v>
      </c>
      <c r="I100" s="114">
        <f t="array" ref="I100">XLOOKUP(G100,KLUS!$A$2:$A$2010,KLUS!$E$2:$E$2010)+XLOOKUP(H100,KLUS!$A$2:$A$2010,KLUS!$E$2:$E$2010)</f>
        <v>63.6</v>
      </c>
      <c r="J100" s="114">
        <f t="shared" si="1"/>
        <v>57.24</v>
      </c>
      <c r="K100" s="115">
        <f t="shared" si="2"/>
        <v>45.792</v>
      </c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</row>
    <row r="101" ht="15.75" customHeight="1">
      <c r="A101" s="69" t="s">
        <v>5705</v>
      </c>
      <c r="B101" s="69" t="s">
        <v>5473</v>
      </c>
      <c r="C101" s="112" t="s">
        <v>5703</v>
      </c>
      <c r="D101" s="69"/>
      <c r="E101" s="69" t="s">
        <v>3898</v>
      </c>
      <c r="F101" s="69" t="s">
        <v>5706</v>
      </c>
      <c r="G101" s="69" t="s">
        <v>799</v>
      </c>
      <c r="H101" s="113" t="s">
        <v>1543</v>
      </c>
      <c r="I101" s="114">
        <f t="array" ref="I101">XLOOKUP(G101,KLUS!$A$2:$A$2010,KLUS!$E$2:$E$2010)+XLOOKUP(H101,KLUS!$A$2:$A$2010,KLUS!$E$2:$E$2010)</f>
        <v>63.6</v>
      </c>
      <c r="J101" s="114">
        <f t="shared" si="1"/>
        <v>57.24</v>
      </c>
      <c r="K101" s="115">
        <f t="shared" si="2"/>
        <v>45.792</v>
      </c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</row>
    <row r="102" ht="15.75" customHeight="1">
      <c r="A102" s="69" t="s">
        <v>5707</v>
      </c>
      <c r="B102" s="69" t="s">
        <v>5473</v>
      </c>
      <c r="C102" s="112" t="s">
        <v>5708</v>
      </c>
      <c r="D102" s="69"/>
      <c r="E102" s="69" t="s">
        <v>3906</v>
      </c>
      <c r="F102" s="69" t="s">
        <v>5709</v>
      </c>
      <c r="G102" s="69" t="s">
        <v>802</v>
      </c>
      <c r="H102" s="113" t="s">
        <v>1539</v>
      </c>
      <c r="I102" s="114">
        <f t="array" ref="I102">XLOOKUP(G102,KLUS!$A$2:$A$2010,KLUS!$E$2:$E$2010)+XLOOKUP(H102,KLUS!$A$2:$A$2010,KLUS!$E$2:$E$2010)</f>
        <v>127.3</v>
      </c>
      <c r="J102" s="114">
        <f t="shared" si="1"/>
        <v>114.57</v>
      </c>
      <c r="K102" s="115">
        <f t="shared" si="2"/>
        <v>91.656</v>
      </c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</row>
    <row r="103" ht="15.75" customHeight="1">
      <c r="A103" s="69" t="s">
        <v>5710</v>
      </c>
      <c r="B103" s="69" t="s">
        <v>5473</v>
      </c>
      <c r="C103" s="112" t="s">
        <v>5708</v>
      </c>
      <c r="D103" s="69"/>
      <c r="E103" s="69" t="s">
        <v>3908</v>
      </c>
      <c r="F103" s="69" t="s">
        <v>5711</v>
      </c>
      <c r="G103" s="69" t="s">
        <v>802</v>
      </c>
      <c r="H103" s="113" t="s">
        <v>1545</v>
      </c>
      <c r="I103" s="114">
        <f t="array" ref="I103">XLOOKUP(G103,KLUS!$A$2:$A$2010,KLUS!$E$2:$E$2010)+XLOOKUP(H103,KLUS!$A$2:$A$2010,KLUS!$E$2:$E$2010)</f>
        <v>127.3</v>
      </c>
      <c r="J103" s="114">
        <f t="shared" si="1"/>
        <v>114.57</v>
      </c>
      <c r="K103" s="115">
        <f t="shared" si="2"/>
        <v>91.656</v>
      </c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</row>
    <row r="104" ht="15.75" customHeight="1">
      <c r="A104" s="69" t="s">
        <v>5712</v>
      </c>
      <c r="B104" s="69" t="s">
        <v>5473</v>
      </c>
      <c r="C104" s="112" t="s">
        <v>5713</v>
      </c>
      <c r="D104" s="69"/>
      <c r="E104" s="69" t="s">
        <v>3918</v>
      </c>
      <c r="F104" s="69" t="s">
        <v>5714</v>
      </c>
      <c r="G104" s="69" t="s">
        <v>804</v>
      </c>
      <c r="H104" s="113" t="s">
        <v>1541</v>
      </c>
      <c r="I104" s="114">
        <f t="array" ref="I104">XLOOKUP(G104,KLUS!$A$2:$A$2010,KLUS!$E$2:$E$2010)+XLOOKUP(H104,KLUS!$A$2:$A$2010,KLUS!$E$2:$E$2010)</f>
        <v>190.9</v>
      </c>
      <c r="J104" s="114">
        <f t="shared" si="1"/>
        <v>171.81</v>
      </c>
      <c r="K104" s="115">
        <f t="shared" si="2"/>
        <v>137.448</v>
      </c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</row>
    <row r="105" ht="15.75" customHeight="1">
      <c r="A105" s="69" t="s">
        <v>5715</v>
      </c>
      <c r="B105" s="69" t="s">
        <v>5473</v>
      </c>
      <c r="C105" s="112" t="s">
        <v>5716</v>
      </c>
      <c r="D105" s="69"/>
      <c r="E105" s="69" t="s">
        <v>5717</v>
      </c>
      <c r="F105" s="118"/>
      <c r="G105" s="69" t="s">
        <v>804</v>
      </c>
      <c r="H105" s="113" t="s">
        <v>1553</v>
      </c>
      <c r="I105" s="114">
        <f t="array" ref="I105">XLOOKUP(G105,KLUS!$A$2:$A$2010,KLUS!$E$2:$E$2010)+XLOOKUP(H105,KLUS!$A$2:$A$2010,KLUS!$E$2:$E$2010)</f>
        <v>213.1</v>
      </c>
      <c r="J105" s="114">
        <f t="shared" si="1"/>
        <v>191.79</v>
      </c>
      <c r="K105" s="115">
        <f t="shared" si="2"/>
        <v>153.432</v>
      </c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</row>
    <row r="106" ht="15.75" customHeight="1">
      <c r="A106" s="69" t="s">
        <v>5718</v>
      </c>
      <c r="B106" s="69" t="s">
        <v>5473</v>
      </c>
      <c r="C106" s="112" t="s">
        <v>5719</v>
      </c>
      <c r="D106" s="69"/>
      <c r="E106" s="69" t="s">
        <v>5720</v>
      </c>
      <c r="F106" s="69" t="s">
        <v>5721</v>
      </c>
      <c r="G106" s="69" t="s">
        <v>476</v>
      </c>
      <c r="H106" s="116" t="s">
        <v>1543</v>
      </c>
      <c r="I106" s="114">
        <f t="array" ref="I106">XLOOKUP(G106,KLUS!$A$2:$A$2010,KLUS!$E$2:$E$2010)+XLOOKUP(H106,KLUS!$A$2:$A$2010,KLUS!$E$2:$E$2010)</f>
        <v>79</v>
      </c>
      <c r="J106" s="114">
        <f t="shared" si="1"/>
        <v>71.1</v>
      </c>
      <c r="K106" s="115">
        <f t="shared" si="2"/>
        <v>56.88</v>
      </c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</row>
    <row r="107" ht="15.75" customHeight="1">
      <c r="A107" s="69" t="s">
        <v>5722</v>
      </c>
      <c r="B107" s="69" t="s">
        <v>5473</v>
      </c>
      <c r="C107" s="112" t="s">
        <v>5719</v>
      </c>
      <c r="D107" s="69"/>
      <c r="E107" s="69" t="s">
        <v>5723</v>
      </c>
      <c r="F107" s="69" t="s">
        <v>5724</v>
      </c>
      <c r="G107" s="69" t="s">
        <v>476</v>
      </c>
      <c r="H107" s="113" t="s">
        <v>1536</v>
      </c>
      <c r="I107" s="114">
        <f t="array" ref="I107">XLOOKUP(G107,KLUS!$A$2:$A$2010,KLUS!$E$2:$E$2010)+XLOOKUP(H107,KLUS!$A$2:$A$2010,KLUS!$E$2:$E$2010)</f>
        <v>79</v>
      </c>
      <c r="J107" s="114">
        <f t="shared" si="1"/>
        <v>71.1</v>
      </c>
      <c r="K107" s="115">
        <f t="shared" si="2"/>
        <v>56.88</v>
      </c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</row>
    <row r="108" ht="15.75" customHeight="1">
      <c r="A108" s="69" t="s">
        <v>5725</v>
      </c>
      <c r="B108" s="69" t="s">
        <v>5473</v>
      </c>
      <c r="C108" s="112" t="s">
        <v>5726</v>
      </c>
      <c r="D108" s="69"/>
      <c r="E108" s="69" t="s">
        <v>5727</v>
      </c>
      <c r="F108" s="69" t="s">
        <v>5728</v>
      </c>
      <c r="G108" s="69" t="s">
        <v>479</v>
      </c>
      <c r="H108" s="113" t="s">
        <v>1539</v>
      </c>
      <c r="I108" s="114">
        <f t="array" ref="I108">XLOOKUP(G108,KLUS!$A$2:$A$2010,KLUS!$E$2:$E$2010)+XLOOKUP(H108,KLUS!$A$2:$A$2010,KLUS!$E$2:$E$2010)</f>
        <v>158</v>
      </c>
      <c r="J108" s="114">
        <f t="shared" si="1"/>
        <v>142.2</v>
      </c>
      <c r="K108" s="115">
        <f t="shared" si="2"/>
        <v>113.76</v>
      </c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</row>
    <row r="109" ht="15.75" customHeight="1">
      <c r="A109" s="69" t="s">
        <v>5729</v>
      </c>
      <c r="B109" s="69" t="s">
        <v>5473</v>
      </c>
      <c r="C109" s="112" t="s">
        <v>5726</v>
      </c>
      <c r="D109" s="69"/>
      <c r="E109" s="69" t="s">
        <v>5730</v>
      </c>
      <c r="F109" s="69" t="s">
        <v>5731</v>
      </c>
      <c r="G109" s="69" t="s">
        <v>479</v>
      </c>
      <c r="H109" s="113" t="s">
        <v>1545</v>
      </c>
      <c r="I109" s="114">
        <f t="array" ref="I109">XLOOKUP(G109,KLUS!$A$2:$A$2010,KLUS!$E$2:$E$2010)+XLOOKUP(H109,KLUS!$A$2:$A$2010,KLUS!$E$2:$E$2010)</f>
        <v>158</v>
      </c>
      <c r="J109" s="114">
        <f t="shared" si="1"/>
        <v>142.2</v>
      </c>
      <c r="K109" s="115">
        <f t="shared" si="2"/>
        <v>113.76</v>
      </c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</row>
    <row r="110" ht="15.75" customHeight="1">
      <c r="A110" s="69" t="s">
        <v>5732</v>
      </c>
      <c r="B110" s="69" t="s">
        <v>5473</v>
      </c>
      <c r="C110" s="112" t="s">
        <v>5733</v>
      </c>
      <c r="D110" s="69"/>
      <c r="E110" s="69" t="s">
        <v>5734</v>
      </c>
      <c r="F110" s="69" t="s">
        <v>5735</v>
      </c>
      <c r="G110" s="69" t="s">
        <v>481</v>
      </c>
      <c r="H110" s="113" t="s">
        <v>1541</v>
      </c>
      <c r="I110" s="114">
        <f t="array" ref="I110">XLOOKUP(G110,KLUS!$A$2:$A$2010,KLUS!$E$2:$E$2010)+XLOOKUP(H110,KLUS!$A$2:$A$2010,KLUS!$E$2:$E$2010)</f>
        <v>236.9</v>
      </c>
      <c r="J110" s="114">
        <f t="shared" si="1"/>
        <v>213.21</v>
      </c>
      <c r="K110" s="115">
        <f t="shared" si="2"/>
        <v>170.568</v>
      </c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</row>
    <row r="111" ht="15.75" customHeight="1">
      <c r="A111" s="69" t="s">
        <v>5736</v>
      </c>
      <c r="B111" s="69" t="s">
        <v>5473</v>
      </c>
      <c r="C111" s="112" t="s">
        <v>5733</v>
      </c>
      <c r="D111" s="69"/>
      <c r="E111" s="69" t="s">
        <v>5737</v>
      </c>
      <c r="F111" s="69" t="s">
        <v>5738</v>
      </c>
      <c r="G111" s="69" t="s">
        <v>481</v>
      </c>
      <c r="H111" s="113" t="s">
        <v>1547</v>
      </c>
      <c r="I111" s="114">
        <f t="array" ref="I111">XLOOKUP(G111,KLUS!$A$2:$A$2010,KLUS!$E$2:$E$2010)+XLOOKUP(H111,KLUS!$A$2:$A$2010,KLUS!$E$2:$E$2010)</f>
        <v>236.9</v>
      </c>
      <c r="J111" s="114">
        <f t="shared" si="1"/>
        <v>213.21</v>
      </c>
      <c r="K111" s="115">
        <f t="shared" si="2"/>
        <v>170.568</v>
      </c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</row>
    <row r="112" ht="15.75" customHeight="1">
      <c r="A112" s="69" t="s">
        <v>5739</v>
      </c>
      <c r="B112" s="69" t="s">
        <v>5473</v>
      </c>
      <c r="C112" s="112" t="s">
        <v>5740</v>
      </c>
      <c r="D112" s="69"/>
      <c r="E112" s="69" t="s">
        <v>3957</v>
      </c>
      <c r="F112" s="69" t="s">
        <v>5741</v>
      </c>
      <c r="G112" s="69" t="s">
        <v>778</v>
      </c>
      <c r="H112" s="116" t="s">
        <v>1567</v>
      </c>
      <c r="I112" s="114">
        <f t="array" ref="I112">XLOOKUP(G112,KLUS!$A$2:$A$2010,KLUS!$E$2:$E$2010)+XLOOKUP(H112,KLUS!$A$2:$A$2010,KLUS!$E$2:$E$2010)</f>
        <v>68.8</v>
      </c>
      <c r="J112" s="114">
        <f t="shared" si="1"/>
        <v>61.92</v>
      </c>
      <c r="K112" s="115">
        <f t="shared" si="2"/>
        <v>49.536</v>
      </c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</row>
    <row r="113" ht="15.75" customHeight="1">
      <c r="A113" s="69" t="s">
        <v>5742</v>
      </c>
      <c r="B113" s="69" t="s">
        <v>5473</v>
      </c>
      <c r="C113" s="112" t="s">
        <v>5743</v>
      </c>
      <c r="D113" s="69"/>
      <c r="E113" s="69" t="s">
        <v>3959</v>
      </c>
      <c r="F113" s="69" t="s">
        <v>5744</v>
      </c>
      <c r="G113" s="69" t="s">
        <v>778</v>
      </c>
      <c r="H113" s="113" t="s">
        <v>1543</v>
      </c>
      <c r="I113" s="114">
        <f t="array" ref="I113">XLOOKUP(G113,KLUS!$A$2:$A$2010,KLUS!$E$2:$E$2010)+XLOOKUP(H113,KLUS!$A$2:$A$2010,KLUS!$E$2:$E$2010)</f>
        <v>63.6</v>
      </c>
      <c r="J113" s="114">
        <f t="shared" si="1"/>
        <v>57.24</v>
      </c>
      <c r="K113" s="115">
        <f t="shared" si="2"/>
        <v>45.792</v>
      </c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</row>
    <row r="114" ht="15.75" customHeight="1">
      <c r="A114" s="69" t="s">
        <v>5745</v>
      </c>
      <c r="B114" s="69" t="s">
        <v>5473</v>
      </c>
      <c r="C114" s="112" t="s">
        <v>5743</v>
      </c>
      <c r="D114" s="69"/>
      <c r="E114" s="69" t="s">
        <v>3962</v>
      </c>
      <c r="F114" s="69" t="s">
        <v>5746</v>
      </c>
      <c r="G114" s="69" t="s">
        <v>778</v>
      </c>
      <c r="H114" s="116" t="s">
        <v>1536</v>
      </c>
      <c r="I114" s="114">
        <f t="array" ref="I114">XLOOKUP(G114,KLUS!$A$2:$A$2010,KLUS!$E$2:$E$2010)+XLOOKUP(H114,KLUS!$A$2:$A$2010,KLUS!$E$2:$E$2010)</f>
        <v>63.6</v>
      </c>
      <c r="J114" s="114">
        <f t="shared" si="1"/>
        <v>57.24</v>
      </c>
      <c r="K114" s="115">
        <f t="shared" si="2"/>
        <v>45.792</v>
      </c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</row>
    <row r="115" ht="15.75" customHeight="1">
      <c r="A115" s="69" t="s">
        <v>5747</v>
      </c>
      <c r="B115" s="69" t="s">
        <v>5473</v>
      </c>
      <c r="C115" s="112" t="s">
        <v>5748</v>
      </c>
      <c r="D115" s="69"/>
      <c r="E115" s="69" t="s">
        <v>3967</v>
      </c>
      <c r="F115" s="69" t="s">
        <v>5749</v>
      </c>
      <c r="G115" s="69" t="s">
        <v>781</v>
      </c>
      <c r="H115" s="113" t="s">
        <v>1539</v>
      </c>
      <c r="I115" s="114">
        <f t="array" ref="I115">XLOOKUP(G115,KLUS!$A$2:$A$2010,KLUS!$E$2:$E$2010)+XLOOKUP(H115,KLUS!$A$2:$A$2010,KLUS!$E$2:$E$2010)</f>
        <v>127.2</v>
      </c>
      <c r="J115" s="114">
        <f t="shared" si="1"/>
        <v>114.48</v>
      </c>
      <c r="K115" s="115">
        <f t="shared" si="2"/>
        <v>91.584</v>
      </c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</row>
    <row r="116" ht="15.75" customHeight="1">
      <c r="A116" s="69" t="s">
        <v>5750</v>
      </c>
      <c r="B116" s="69" t="s">
        <v>5473</v>
      </c>
      <c r="C116" s="112" t="s">
        <v>5751</v>
      </c>
      <c r="D116" s="69"/>
      <c r="E116" s="69" t="s">
        <v>3969</v>
      </c>
      <c r="F116" s="69" t="s">
        <v>5752</v>
      </c>
      <c r="G116" s="69" t="s">
        <v>781</v>
      </c>
      <c r="H116" s="113" t="s">
        <v>1569</v>
      </c>
      <c r="I116" s="114">
        <f t="array" ref="I116">XLOOKUP(G116,KLUS!$A$2:$A$2010,KLUS!$E$2:$E$2010)+XLOOKUP(H116,KLUS!$A$2:$A$2010,KLUS!$E$2:$E$2010)</f>
        <v>137.5</v>
      </c>
      <c r="J116" s="114">
        <f t="shared" si="1"/>
        <v>123.75</v>
      </c>
      <c r="K116" s="115">
        <f t="shared" si="2"/>
        <v>99</v>
      </c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</row>
    <row r="117" ht="15.75" customHeight="1">
      <c r="A117" s="69" t="s">
        <v>5753</v>
      </c>
      <c r="B117" s="69" t="s">
        <v>5473</v>
      </c>
      <c r="C117" s="112" t="s">
        <v>5748</v>
      </c>
      <c r="D117" s="69"/>
      <c r="E117" s="69" t="s">
        <v>3971</v>
      </c>
      <c r="F117" s="69" t="s">
        <v>5754</v>
      </c>
      <c r="G117" s="69" t="s">
        <v>781</v>
      </c>
      <c r="H117" s="113" t="s">
        <v>1545</v>
      </c>
      <c r="I117" s="114">
        <f t="array" ref="I117">XLOOKUP(G117,KLUS!$A$2:$A$2010,KLUS!$E$2:$E$2010)+XLOOKUP(H117,KLUS!$A$2:$A$2010,KLUS!$E$2:$E$2010)</f>
        <v>127.2</v>
      </c>
      <c r="J117" s="114">
        <f t="shared" si="1"/>
        <v>114.48</v>
      </c>
      <c r="K117" s="115">
        <f t="shared" si="2"/>
        <v>91.584</v>
      </c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</row>
    <row r="118" ht="15.75" customHeight="1">
      <c r="A118" s="69" t="s">
        <v>5755</v>
      </c>
      <c r="B118" s="69" t="s">
        <v>5473</v>
      </c>
      <c r="C118" s="112" t="s">
        <v>5756</v>
      </c>
      <c r="D118" s="69"/>
      <c r="E118" s="69" t="s">
        <v>3977</v>
      </c>
      <c r="F118" s="69" t="s">
        <v>5757</v>
      </c>
      <c r="G118" s="69" t="s">
        <v>783</v>
      </c>
      <c r="H118" s="113" t="s">
        <v>1541</v>
      </c>
      <c r="I118" s="114">
        <f t="array" ref="I118">XLOOKUP(G118,KLUS!$A$2:$A$2010,KLUS!$E$2:$E$2010)+XLOOKUP(H118,KLUS!$A$2:$A$2010,KLUS!$E$2:$E$2010)</f>
        <v>190.9</v>
      </c>
      <c r="J118" s="114">
        <f t="shared" si="1"/>
        <v>171.81</v>
      </c>
      <c r="K118" s="115">
        <f t="shared" si="2"/>
        <v>137.448</v>
      </c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</row>
    <row r="119" ht="15.75" customHeight="1">
      <c r="A119" s="69" t="s">
        <v>5758</v>
      </c>
      <c r="B119" s="69" t="s">
        <v>5473</v>
      </c>
      <c r="C119" s="112" t="s">
        <v>5759</v>
      </c>
      <c r="D119" s="69"/>
      <c r="E119" s="69" t="s">
        <v>5760</v>
      </c>
      <c r="F119" s="69" t="s">
        <v>5761</v>
      </c>
      <c r="G119" s="69" t="s">
        <v>79</v>
      </c>
      <c r="H119" s="113" t="s">
        <v>1394</v>
      </c>
      <c r="I119" s="114">
        <f t="array" ref="I119">XLOOKUP(G119,KLUS!$A$2:$A$2010,KLUS!$E$2:$E$2010)+XLOOKUP(H119,KLUS!$A$2:$A$2010,KLUS!$E$2:$E$2010)</f>
        <v>29</v>
      </c>
      <c r="J119" s="114">
        <f t="shared" si="1"/>
        <v>26.1</v>
      </c>
      <c r="K119" s="115">
        <f t="shared" si="2"/>
        <v>20.88</v>
      </c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</row>
    <row r="120" ht="15.75" customHeight="1">
      <c r="A120" s="69" t="s">
        <v>5762</v>
      </c>
      <c r="B120" s="69" t="s">
        <v>5473</v>
      </c>
      <c r="C120" s="112" t="s">
        <v>5763</v>
      </c>
      <c r="D120" s="69"/>
      <c r="E120" s="69" t="s">
        <v>5764</v>
      </c>
      <c r="F120" s="69" t="s">
        <v>5765</v>
      </c>
      <c r="G120" s="69" t="s">
        <v>79</v>
      </c>
      <c r="H120" s="113" t="s">
        <v>1369</v>
      </c>
      <c r="I120" s="114">
        <f t="array" ref="I120">XLOOKUP(G120,KLUS!$A$2:$A$2010,KLUS!$E$2:$E$2010)+XLOOKUP(H120,KLUS!$A$2:$A$2010,KLUS!$E$2:$E$2010)</f>
        <v>27.7</v>
      </c>
      <c r="J120" s="114">
        <f t="shared" si="1"/>
        <v>24.93</v>
      </c>
      <c r="K120" s="115">
        <f t="shared" si="2"/>
        <v>19.944</v>
      </c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</row>
    <row r="121" ht="15.75" customHeight="1">
      <c r="A121" s="69" t="s">
        <v>5766</v>
      </c>
      <c r="B121" s="69" t="s">
        <v>5486</v>
      </c>
      <c r="C121" s="112" t="s">
        <v>5767</v>
      </c>
      <c r="D121" s="69"/>
      <c r="E121" s="69" t="s">
        <v>3992</v>
      </c>
      <c r="F121" s="69" t="s">
        <v>5768</v>
      </c>
      <c r="G121" s="69" t="s">
        <v>79</v>
      </c>
      <c r="H121" s="113" t="s">
        <v>1356</v>
      </c>
      <c r="I121" s="114">
        <f t="array" ref="I121">XLOOKUP(G121,KLUS!$A$2:$A$2010,KLUS!$E$2:$E$2010)+XLOOKUP(H121,KLUS!$A$2:$A$2010,KLUS!$E$2:$E$2010)</f>
        <v>21.9</v>
      </c>
      <c r="J121" s="114">
        <f t="shared" si="1"/>
        <v>19.71</v>
      </c>
      <c r="K121" s="115">
        <f t="shared" si="2"/>
        <v>15.768</v>
      </c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</row>
    <row r="122" ht="15.75" customHeight="1">
      <c r="A122" s="69" t="s">
        <v>5769</v>
      </c>
      <c r="B122" s="69" t="s">
        <v>5473</v>
      </c>
      <c r="C122" s="112" t="s">
        <v>5759</v>
      </c>
      <c r="D122" s="69"/>
      <c r="E122" s="69" t="s">
        <v>5770</v>
      </c>
      <c r="F122" s="69" t="s">
        <v>5771</v>
      </c>
      <c r="G122" s="69" t="s">
        <v>79</v>
      </c>
      <c r="H122" s="113" t="s">
        <v>1400</v>
      </c>
      <c r="I122" s="114">
        <f t="array" ref="I122">XLOOKUP(G122,KLUS!$A$2:$A$2010,KLUS!$E$2:$E$2010)+XLOOKUP(H122,KLUS!$A$2:$A$2010,KLUS!$E$2:$E$2010)</f>
        <v>29</v>
      </c>
      <c r="J122" s="114">
        <f t="shared" si="1"/>
        <v>26.1</v>
      </c>
      <c r="K122" s="115">
        <f t="shared" si="2"/>
        <v>20.88</v>
      </c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</row>
    <row r="123" ht="15.75" customHeight="1">
      <c r="A123" s="69" t="s">
        <v>5772</v>
      </c>
      <c r="B123" s="69" t="s">
        <v>5473</v>
      </c>
      <c r="C123" s="112" t="s">
        <v>5763</v>
      </c>
      <c r="D123" s="69"/>
      <c r="E123" s="69" t="s">
        <v>5773</v>
      </c>
      <c r="F123" s="69" t="s">
        <v>5774</v>
      </c>
      <c r="G123" s="69" t="s">
        <v>79</v>
      </c>
      <c r="H123" s="113" t="s">
        <v>1376</v>
      </c>
      <c r="I123" s="114">
        <f t="array" ref="I123">XLOOKUP(G123,KLUS!$A$2:$A$2010,KLUS!$E$2:$E$2010)+XLOOKUP(H123,KLUS!$A$2:$A$2010,KLUS!$E$2:$E$2010)</f>
        <v>27.7</v>
      </c>
      <c r="J123" s="114">
        <f t="shared" si="1"/>
        <v>24.93</v>
      </c>
      <c r="K123" s="115">
        <f t="shared" si="2"/>
        <v>19.944</v>
      </c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</row>
    <row r="124" ht="15.75" customHeight="1">
      <c r="A124" s="69" t="s">
        <v>5775</v>
      </c>
      <c r="B124" s="69" t="s">
        <v>5486</v>
      </c>
      <c r="C124" s="112" t="s">
        <v>5767</v>
      </c>
      <c r="D124" s="69"/>
      <c r="E124" s="69" t="s">
        <v>3998</v>
      </c>
      <c r="F124" s="69" t="s">
        <v>5776</v>
      </c>
      <c r="G124" s="69" t="s">
        <v>79</v>
      </c>
      <c r="H124" s="113" t="s">
        <v>1363</v>
      </c>
      <c r="I124" s="114">
        <f t="array" ref="I124">XLOOKUP(G124,KLUS!$A$2:$A$2010,KLUS!$E$2:$E$2010)+XLOOKUP(H124,KLUS!$A$2:$A$2010,KLUS!$E$2:$E$2010)</f>
        <v>21.9</v>
      </c>
      <c r="J124" s="114">
        <f t="shared" si="1"/>
        <v>19.71</v>
      </c>
      <c r="K124" s="115">
        <f t="shared" si="2"/>
        <v>15.768</v>
      </c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</row>
    <row r="125" ht="15.75" customHeight="1">
      <c r="A125" s="69" t="s">
        <v>5777</v>
      </c>
      <c r="B125" s="69" t="s">
        <v>5473</v>
      </c>
      <c r="C125" s="112" t="s">
        <v>5778</v>
      </c>
      <c r="D125" s="69"/>
      <c r="E125" s="69" t="s">
        <v>5779</v>
      </c>
      <c r="F125" s="69" t="s">
        <v>5780</v>
      </c>
      <c r="G125" s="69" t="s">
        <v>91</v>
      </c>
      <c r="H125" s="113" t="s">
        <v>1369</v>
      </c>
      <c r="I125" s="114">
        <f t="array" ref="I125">XLOOKUP(G125,KLUS!$A$2:$A$2010,KLUS!$E$2:$E$2010)+XLOOKUP(H125,KLUS!$A$2:$A$2010,KLUS!$E$2:$E$2010)</f>
        <v>30.8</v>
      </c>
      <c r="J125" s="114">
        <f t="shared" si="1"/>
        <v>27.72</v>
      </c>
      <c r="K125" s="115">
        <f t="shared" si="2"/>
        <v>22.176</v>
      </c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</row>
    <row r="126" ht="15.75" customHeight="1">
      <c r="A126" s="69" t="s">
        <v>5781</v>
      </c>
      <c r="B126" s="69" t="s">
        <v>5473</v>
      </c>
      <c r="C126" s="112" t="s">
        <v>5782</v>
      </c>
      <c r="D126" s="69"/>
      <c r="E126" s="69" t="s">
        <v>5783</v>
      </c>
      <c r="F126" s="69" t="s">
        <v>5784</v>
      </c>
      <c r="G126" s="69" t="s">
        <v>91</v>
      </c>
      <c r="H126" s="113" t="s">
        <v>1356</v>
      </c>
      <c r="I126" s="114">
        <f t="array" ref="I126">XLOOKUP(G126,KLUS!$A$2:$A$2010,KLUS!$E$2:$E$2010)+XLOOKUP(H126,KLUS!$A$2:$A$2010,KLUS!$E$2:$E$2010)</f>
        <v>25</v>
      </c>
      <c r="J126" s="114">
        <f t="shared" si="1"/>
        <v>22.5</v>
      </c>
      <c r="K126" s="115">
        <f t="shared" si="2"/>
        <v>18</v>
      </c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</row>
    <row r="127" ht="15.75" customHeight="1">
      <c r="A127" s="69" t="s">
        <v>5785</v>
      </c>
      <c r="B127" s="69" t="s">
        <v>5473</v>
      </c>
      <c r="C127" s="112" t="s">
        <v>5778</v>
      </c>
      <c r="D127" s="69"/>
      <c r="E127" s="69" t="s">
        <v>5786</v>
      </c>
      <c r="F127" s="69" t="s">
        <v>5787</v>
      </c>
      <c r="G127" s="69" t="s">
        <v>91</v>
      </c>
      <c r="H127" s="113" t="s">
        <v>1376</v>
      </c>
      <c r="I127" s="114">
        <f t="array" ref="I127">XLOOKUP(G127,KLUS!$A$2:$A$2010,KLUS!$E$2:$E$2010)+XLOOKUP(H127,KLUS!$A$2:$A$2010,KLUS!$E$2:$E$2010)</f>
        <v>30.8</v>
      </c>
      <c r="J127" s="114">
        <f t="shared" si="1"/>
        <v>27.72</v>
      </c>
      <c r="K127" s="115">
        <f t="shared" si="2"/>
        <v>22.176</v>
      </c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</row>
    <row r="128" ht="15.75" customHeight="1">
      <c r="A128" s="69" t="s">
        <v>5788</v>
      </c>
      <c r="B128" s="69" t="s">
        <v>5473</v>
      </c>
      <c r="C128" s="112" t="s">
        <v>5789</v>
      </c>
      <c r="D128" s="69"/>
      <c r="E128" s="69" t="s">
        <v>5790</v>
      </c>
      <c r="F128" s="69" t="s">
        <v>5791</v>
      </c>
      <c r="G128" s="69" t="s">
        <v>85</v>
      </c>
      <c r="H128" s="113" t="s">
        <v>1369</v>
      </c>
      <c r="I128" s="114">
        <f t="array" ref="I128">XLOOKUP(G128,KLUS!$A$2:$A$2010,KLUS!$E$2:$E$2010)+XLOOKUP(H128,KLUS!$A$2:$A$2010,KLUS!$E$2:$E$2010)</f>
        <v>30.2</v>
      </c>
      <c r="J128" s="114">
        <f t="shared" si="1"/>
        <v>27.18</v>
      </c>
      <c r="K128" s="115">
        <f t="shared" si="2"/>
        <v>21.744</v>
      </c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</row>
    <row r="129" ht="15.75" customHeight="1">
      <c r="A129" s="69" t="s">
        <v>5792</v>
      </c>
      <c r="B129" s="69" t="s">
        <v>5473</v>
      </c>
      <c r="C129" s="112" t="s">
        <v>5793</v>
      </c>
      <c r="D129" s="69"/>
      <c r="E129" s="69" t="s">
        <v>5794</v>
      </c>
      <c r="F129" s="69" t="s">
        <v>5795</v>
      </c>
      <c r="G129" s="69" t="s">
        <v>85</v>
      </c>
      <c r="H129" s="113" t="s">
        <v>1356</v>
      </c>
      <c r="I129" s="114">
        <f t="array" ref="I129">XLOOKUP(G129,KLUS!$A$2:$A$2010,KLUS!$E$2:$E$2010)+XLOOKUP(H129,KLUS!$A$2:$A$2010,KLUS!$E$2:$E$2010)</f>
        <v>24.4</v>
      </c>
      <c r="J129" s="114">
        <f t="shared" si="1"/>
        <v>21.96</v>
      </c>
      <c r="K129" s="115">
        <f t="shared" si="2"/>
        <v>17.568</v>
      </c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</row>
    <row r="130" ht="15.75" customHeight="1">
      <c r="A130" s="69" t="s">
        <v>5796</v>
      </c>
      <c r="B130" s="69" t="s">
        <v>5473</v>
      </c>
      <c r="C130" s="112" t="s">
        <v>5797</v>
      </c>
      <c r="D130" s="69"/>
      <c r="E130" s="69" t="s">
        <v>5798</v>
      </c>
      <c r="F130" s="69" t="s">
        <v>5799</v>
      </c>
      <c r="G130" s="69" t="s">
        <v>72</v>
      </c>
      <c r="H130" s="113" t="s">
        <v>1394</v>
      </c>
      <c r="I130" s="114">
        <f t="array" ref="I130">XLOOKUP(G130,KLUS!$A$2:$A$2010,KLUS!$E$2:$E$2010)+XLOOKUP(H130,KLUS!$A$2:$A$2010,KLUS!$E$2:$E$2010)</f>
        <v>25.9</v>
      </c>
      <c r="J130" s="114">
        <f t="shared" si="1"/>
        <v>23.31</v>
      </c>
      <c r="K130" s="115">
        <f t="shared" si="2"/>
        <v>18.648</v>
      </c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</row>
    <row r="131" ht="15.75" customHeight="1">
      <c r="A131" s="69" t="s">
        <v>5800</v>
      </c>
      <c r="B131" s="69" t="s">
        <v>5473</v>
      </c>
      <c r="C131" s="112" t="s">
        <v>5801</v>
      </c>
      <c r="D131" s="69"/>
      <c r="E131" s="69" t="s">
        <v>4018</v>
      </c>
      <c r="F131" s="69" t="s">
        <v>5802</v>
      </c>
      <c r="G131" s="69" t="s">
        <v>72</v>
      </c>
      <c r="H131" s="113" t="s">
        <v>1369</v>
      </c>
      <c r="I131" s="114">
        <f t="array" ref="I131">XLOOKUP(G131,KLUS!$A$2:$A$2010,KLUS!$E$2:$E$2010)+XLOOKUP(H131,KLUS!$A$2:$A$2010,KLUS!$E$2:$E$2010)</f>
        <v>24.6</v>
      </c>
      <c r="J131" s="114">
        <f t="shared" si="1"/>
        <v>22.14</v>
      </c>
      <c r="K131" s="115">
        <f t="shared" si="2"/>
        <v>17.712</v>
      </c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</row>
    <row r="132" ht="15.75" customHeight="1">
      <c r="A132" s="69" t="s">
        <v>5803</v>
      </c>
      <c r="B132" s="69" t="s">
        <v>5486</v>
      </c>
      <c r="C132" s="112" t="s">
        <v>5804</v>
      </c>
      <c r="D132" s="69"/>
      <c r="E132" s="69" t="s">
        <v>4020</v>
      </c>
      <c r="F132" s="69" t="s">
        <v>5805</v>
      </c>
      <c r="G132" s="69" t="s">
        <v>72</v>
      </c>
      <c r="H132" s="113" t="s">
        <v>1356</v>
      </c>
      <c r="I132" s="114">
        <f t="array" ref="I132">XLOOKUP(G132,KLUS!$A$2:$A$2010,KLUS!$E$2:$E$2010)+XLOOKUP(H132,KLUS!$A$2:$A$2010,KLUS!$E$2:$E$2010)</f>
        <v>18.8</v>
      </c>
      <c r="J132" s="114">
        <f t="shared" si="1"/>
        <v>16.92</v>
      </c>
      <c r="K132" s="115">
        <f t="shared" si="2"/>
        <v>13.536</v>
      </c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</row>
    <row r="133" ht="15.75" customHeight="1">
      <c r="A133" s="69" t="s">
        <v>5806</v>
      </c>
      <c r="B133" s="69" t="s">
        <v>5473</v>
      </c>
      <c r="C133" s="112" t="s">
        <v>5797</v>
      </c>
      <c r="D133" s="69"/>
      <c r="E133" s="69" t="s">
        <v>5807</v>
      </c>
      <c r="F133" s="69" t="s">
        <v>5808</v>
      </c>
      <c r="G133" s="69" t="s">
        <v>72</v>
      </c>
      <c r="H133" s="113" t="s">
        <v>1400</v>
      </c>
      <c r="I133" s="114">
        <f t="array" ref="I133">XLOOKUP(G133,KLUS!$A$2:$A$2010,KLUS!$E$2:$E$2010)+XLOOKUP(H133,KLUS!$A$2:$A$2010,KLUS!$E$2:$E$2010)</f>
        <v>25.9</v>
      </c>
      <c r="J133" s="114">
        <f t="shared" si="1"/>
        <v>23.31</v>
      </c>
      <c r="K133" s="115">
        <f t="shared" si="2"/>
        <v>18.648</v>
      </c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</row>
    <row r="134" ht="15.75" customHeight="1">
      <c r="A134" s="69" t="s">
        <v>5809</v>
      </c>
      <c r="B134" s="69" t="s">
        <v>5473</v>
      </c>
      <c r="C134" s="112" t="s">
        <v>5801</v>
      </c>
      <c r="D134" s="69"/>
      <c r="E134" s="69" t="s">
        <v>4024</v>
      </c>
      <c r="F134" s="69" t="s">
        <v>5810</v>
      </c>
      <c r="G134" s="69" t="s">
        <v>72</v>
      </c>
      <c r="H134" s="113" t="s">
        <v>1376</v>
      </c>
      <c r="I134" s="114">
        <f t="array" ref="I134">XLOOKUP(G134,KLUS!$A$2:$A$2010,KLUS!$E$2:$E$2010)+XLOOKUP(H134,KLUS!$A$2:$A$2010,KLUS!$E$2:$E$2010)</f>
        <v>24.6</v>
      </c>
      <c r="J134" s="114">
        <f t="shared" si="1"/>
        <v>22.14</v>
      </c>
      <c r="K134" s="115">
        <f t="shared" si="2"/>
        <v>17.712</v>
      </c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</row>
    <row r="135" ht="15.75" customHeight="1">
      <c r="A135" s="69" t="s">
        <v>5811</v>
      </c>
      <c r="B135" s="69" t="s">
        <v>5486</v>
      </c>
      <c r="C135" s="112" t="s">
        <v>5804</v>
      </c>
      <c r="D135" s="69"/>
      <c r="E135" s="69" t="s">
        <v>4026</v>
      </c>
      <c r="F135" s="69" t="s">
        <v>5812</v>
      </c>
      <c r="G135" s="69" t="s">
        <v>72</v>
      </c>
      <c r="H135" s="113" t="s">
        <v>1363</v>
      </c>
      <c r="I135" s="114">
        <f t="array" ref="I135">XLOOKUP(G135,KLUS!$A$2:$A$2010,KLUS!$E$2:$E$2010)+XLOOKUP(H135,KLUS!$A$2:$A$2010,KLUS!$E$2:$E$2010)</f>
        <v>18.8</v>
      </c>
      <c r="J135" s="114">
        <f t="shared" si="1"/>
        <v>16.92</v>
      </c>
      <c r="K135" s="115">
        <f t="shared" si="2"/>
        <v>13.536</v>
      </c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</row>
    <row r="136" ht="15.75" customHeight="1">
      <c r="A136" s="69" t="s">
        <v>5813</v>
      </c>
      <c r="B136" s="69" t="s">
        <v>5473</v>
      </c>
      <c r="C136" s="112" t="s">
        <v>5814</v>
      </c>
      <c r="D136" s="69"/>
      <c r="E136" s="69" t="s">
        <v>5815</v>
      </c>
      <c r="F136" s="69" t="s">
        <v>5816</v>
      </c>
      <c r="G136" s="69" t="s">
        <v>81</v>
      </c>
      <c r="H136" s="113" t="s">
        <v>1396</v>
      </c>
      <c r="I136" s="114">
        <f t="array" ref="I136">XLOOKUP(G136,KLUS!$A$2:$A$2010,KLUS!$E$2:$E$2010)+XLOOKUP(H136,KLUS!$A$2:$A$2010,KLUS!$E$2:$E$2010)</f>
        <v>57.9</v>
      </c>
      <c r="J136" s="114">
        <f t="shared" si="1"/>
        <v>52.11</v>
      </c>
      <c r="K136" s="115">
        <f t="shared" si="2"/>
        <v>41.688</v>
      </c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</row>
    <row r="137" ht="15.75" customHeight="1">
      <c r="A137" s="69" t="s">
        <v>5817</v>
      </c>
      <c r="B137" s="69" t="s">
        <v>5473</v>
      </c>
      <c r="C137" s="112" t="s">
        <v>5818</v>
      </c>
      <c r="D137" s="69"/>
      <c r="E137" s="69" t="s">
        <v>5819</v>
      </c>
      <c r="F137" s="69" t="s">
        <v>5820</v>
      </c>
      <c r="G137" s="69" t="s">
        <v>81</v>
      </c>
      <c r="H137" s="113" t="s">
        <v>1372</v>
      </c>
      <c r="I137" s="114">
        <f t="array" ref="I137">XLOOKUP(G137,KLUS!$A$2:$A$2010,KLUS!$E$2:$E$2010)+XLOOKUP(H137,KLUS!$A$2:$A$2010,KLUS!$E$2:$E$2010)</f>
        <v>55.3</v>
      </c>
      <c r="J137" s="114">
        <f t="shared" si="1"/>
        <v>49.77</v>
      </c>
      <c r="K137" s="115">
        <f t="shared" si="2"/>
        <v>39.816</v>
      </c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</row>
    <row r="138" ht="15.75" customHeight="1">
      <c r="A138" s="69" t="s">
        <v>5821</v>
      </c>
      <c r="B138" s="69" t="s">
        <v>5486</v>
      </c>
      <c r="C138" s="112" t="s">
        <v>5822</v>
      </c>
      <c r="D138" s="69"/>
      <c r="E138" s="69" t="s">
        <v>4036</v>
      </c>
      <c r="F138" s="69" t="s">
        <v>5823</v>
      </c>
      <c r="G138" s="69" t="s">
        <v>81</v>
      </c>
      <c r="H138" s="116" t="s">
        <v>1359</v>
      </c>
      <c r="I138" s="114">
        <f t="array" ref="I138">XLOOKUP(G138,KLUS!$A$2:$A$2010,KLUS!$E$2:$E$2010)+XLOOKUP(H138,KLUS!$A$2:$A$2010,KLUS!$E$2:$E$2010)</f>
        <v>43.8</v>
      </c>
      <c r="J138" s="114">
        <f t="shared" si="1"/>
        <v>39.42</v>
      </c>
      <c r="K138" s="115">
        <f t="shared" si="2"/>
        <v>31.536</v>
      </c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</row>
    <row r="139" ht="15.75" customHeight="1">
      <c r="A139" s="69" t="s">
        <v>5824</v>
      </c>
      <c r="B139" s="69" t="s">
        <v>5473</v>
      </c>
      <c r="C139" s="112" t="s">
        <v>5814</v>
      </c>
      <c r="D139" s="69"/>
      <c r="E139" s="69" t="s">
        <v>5825</v>
      </c>
      <c r="F139" s="69" t="s">
        <v>5826</v>
      </c>
      <c r="G139" s="69" t="s">
        <v>81</v>
      </c>
      <c r="H139" s="113" t="s">
        <v>1402</v>
      </c>
      <c r="I139" s="114">
        <f t="array" ref="I139">XLOOKUP(G139,KLUS!$A$2:$A$2010,KLUS!$E$2:$E$2010)+XLOOKUP(H139,KLUS!$A$2:$A$2010,KLUS!$E$2:$E$2010)</f>
        <v>57.9</v>
      </c>
      <c r="J139" s="114">
        <f t="shared" si="1"/>
        <v>52.11</v>
      </c>
      <c r="K139" s="115">
        <f t="shared" si="2"/>
        <v>41.688</v>
      </c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</row>
    <row r="140" ht="15.75" customHeight="1">
      <c r="A140" s="69" t="s">
        <v>5827</v>
      </c>
      <c r="B140" s="69" t="s">
        <v>5486</v>
      </c>
      <c r="C140" s="112" t="s">
        <v>5828</v>
      </c>
      <c r="D140" s="69"/>
      <c r="E140" s="69" t="s">
        <v>5829</v>
      </c>
      <c r="F140" s="69" t="s">
        <v>5830</v>
      </c>
      <c r="G140" s="69" t="s">
        <v>81</v>
      </c>
      <c r="H140" s="113" t="s">
        <v>1378</v>
      </c>
      <c r="I140" s="114">
        <f t="array" ref="I140">XLOOKUP(G140,KLUS!$A$2:$A$2010,KLUS!$E$2:$E$2010)+XLOOKUP(H140,KLUS!$A$2:$A$2010,KLUS!$E$2:$E$2010)</f>
        <v>55.3</v>
      </c>
      <c r="J140" s="114">
        <f t="shared" si="1"/>
        <v>49.77</v>
      </c>
      <c r="K140" s="115">
        <f t="shared" si="2"/>
        <v>39.816</v>
      </c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</row>
    <row r="141" ht="15.75" customHeight="1">
      <c r="A141" s="69" t="s">
        <v>5831</v>
      </c>
      <c r="B141" s="69" t="s">
        <v>5486</v>
      </c>
      <c r="C141" s="112" t="s">
        <v>5832</v>
      </c>
      <c r="D141" s="69"/>
      <c r="E141" s="69" t="s">
        <v>4042</v>
      </c>
      <c r="F141" s="69" t="s">
        <v>5833</v>
      </c>
      <c r="G141" s="69" t="s">
        <v>81</v>
      </c>
      <c r="H141" s="113" t="s">
        <v>1365</v>
      </c>
      <c r="I141" s="114">
        <f t="array" ref="I141">XLOOKUP(G141,KLUS!$A$2:$A$2010,KLUS!$E$2:$E$2010)+XLOOKUP(H141,KLUS!$A$2:$A$2010,KLUS!$E$2:$E$2010)</f>
        <v>43.8</v>
      </c>
      <c r="J141" s="114">
        <f t="shared" si="1"/>
        <v>39.42</v>
      </c>
      <c r="K141" s="115">
        <f t="shared" si="2"/>
        <v>31.536</v>
      </c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</row>
    <row r="142" ht="15.75" customHeight="1">
      <c r="A142" s="69" t="s">
        <v>5834</v>
      </c>
      <c r="B142" s="69" t="s">
        <v>5473</v>
      </c>
      <c r="C142" s="112" t="s">
        <v>5835</v>
      </c>
      <c r="D142" s="69"/>
      <c r="E142" s="69" t="s">
        <v>5836</v>
      </c>
      <c r="F142" s="69" t="s">
        <v>5837</v>
      </c>
      <c r="G142" s="69" t="s">
        <v>93</v>
      </c>
      <c r="H142" s="116" t="s">
        <v>1372</v>
      </c>
      <c r="I142" s="114">
        <f t="array" ref="I142">XLOOKUP(G142,KLUS!$A$2:$A$2010,KLUS!$E$2:$E$2010)+XLOOKUP(H142,KLUS!$A$2:$A$2010,KLUS!$E$2:$E$2010)</f>
        <v>61.5</v>
      </c>
      <c r="J142" s="114">
        <f t="shared" si="1"/>
        <v>55.35</v>
      </c>
      <c r="K142" s="115">
        <f t="shared" si="2"/>
        <v>44.28</v>
      </c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</row>
    <row r="143" ht="15.75" customHeight="1">
      <c r="A143" s="69" t="s">
        <v>5838</v>
      </c>
      <c r="B143" s="69" t="s">
        <v>5473</v>
      </c>
      <c r="C143" s="112" t="s">
        <v>5839</v>
      </c>
      <c r="D143" s="69"/>
      <c r="E143" s="69" t="s">
        <v>5840</v>
      </c>
      <c r="F143" s="69" t="s">
        <v>5841</v>
      </c>
      <c r="G143" s="69" t="s">
        <v>93</v>
      </c>
      <c r="H143" s="113" t="s">
        <v>1359</v>
      </c>
      <c r="I143" s="114">
        <f t="array" ref="I143">XLOOKUP(G143,KLUS!$A$2:$A$2010,KLUS!$E$2:$E$2010)+XLOOKUP(H143,KLUS!$A$2:$A$2010,KLUS!$E$2:$E$2010)</f>
        <v>50</v>
      </c>
      <c r="J143" s="114">
        <f t="shared" si="1"/>
        <v>45</v>
      </c>
      <c r="K143" s="115">
        <f t="shared" si="2"/>
        <v>36</v>
      </c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</row>
    <row r="144" ht="15.75" customHeight="1">
      <c r="A144" s="69" t="s">
        <v>5842</v>
      </c>
      <c r="B144" s="69" t="s">
        <v>5473</v>
      </c>
      <c r="C144" s="112" t="s">
        <v>5835</v>
      </c>
      <c r="D144" s="69"/>
      <c r="E144" s="69" t="s">
        <v>5843</v>
      </c>
      <c r="F144" s="69" t="s">
        <v>5844</v>
      </c>
      <c r="G144" s="69" t="s">
        <v>93</v>
      </c>
      <c r="H144" s="113" t="s">
        <v>1378</v>
      </c>
      <c r="I144" s="114">
        <f t="array" ref="I144">XLOOKUP(G144,KLUS!$A$2:$A$2010,KLUS!$E$2:$E$2010)+XLOOKUP(H144,KLUS!$A$2:$A$2010,KLUS!$E$2:$E$2010)</f>
        <v>61.5</v>
      </c>
      <c r="J144" s="114">
        <f t="shared" si="1"/>
        <v>55.35</v>
      </c>
      <c r="K144" s="115">
        <f t="shared" si="2"/>
        <v>44.28</v>
      </c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</row>
    <row r="145" ht="15.75" customHeight="1">
      <c r="A145" s="69" t="s">
        <v>5845</v>
      </c>
      <c r="B145" s="69" t="s">
        <v>5473</v>
      </c>
      <c r="C145" s="112" t="s">
        <v>5839</v>
      </c>
      <c r="D145" s="69"/>
      <c r="E145" s="69" t="s">
        <v>5846</v>
      </c>
      <c r="F145" s="69" t="s">
        <v>5847</v>
      </c>
      <c r="G145" s="69" t="s">
        <v>93</v>
      </c>
      <c r="H145" s="113" t="s">
        <v>1365</v>
      </c>
      <c r="I145" s="114">
        <f t="array" ref="I145">XLOOKUP(G145,KLUS!$A$2:$A$2010,KLUS!$E$2:$E$2010)+XLOOKUP(H145,KLUS!$A$2:$A$2010,KLUS!$E$2:$E$2010)</f>
        <v>50</v>
      </c>
      <c r="J145" s="114">
        <f t="shared" si="1"/>
        <v>45</v>
      </c>
      <c r="K145" s="115">
        <f t="shared" si="2"/>
        <v>36</v>
      </c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</row>
    <row r="146" ht="15.75" customHeight="1">
      <c r="A146" s="69" t="s">
        <v>5848</v>
      </c>
      <c r="B146" s="69" t="s">
        <v>5473</v>
      </c>
      <c r="C146" s="112" t="s">
        <v>5849</v>
      </c>
      <c r="D146" s="69"/>
      <c r="E146" s="69" t="s">
        <v>5850</v>
      </c>
      <c r="F146" s="69" t="s">
        <v>5851</v>
      </c>
      <c r="G146" s="69" t="s">
        <v>87</v>
      </c>
      <c r="H146" s="116" t="s">
        <v>1372</v>
      </c>
      <c r="I146" s="114">
        <f t="array" ref="I146">XLOOKUP(G146,KLUS!$A$2:$A$2010,KLUS!$E$2:$E$2010)+XLOOKUP(H146,KLUS!$A$2:$A$2010,KLUS!$E$2:$E$2010)</f>
        <v>60.4</v>
      </c>
      <c r="J146" s="114">
        <f t="shared" si="1"/>
        <v>54.36</v>
      </c>
      <c r="K146" s="115">
        <f t="shared" si="2"/>
        <v>43.488</v>
      </c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</row>
    <row r="147" ht="15.75" customHeight="1">
      <c r="A147" s="69" t="s">
        <v>5852</v>
      </c>
      <c r="B147" s="69" t="s">
        <v>5486</v>
      </c>
      <c r="C147" s="112" t="s">
        <v>5484</v>
      </c>
      <c r="D147" s="69"/>
      <c r="E147" s="69" t="s">
        <v>5853</v>
      </c>
      <c r="F147" s="69" t="s">
        <v>5854</v>
      </c>
      <c r="G147" s="69" t="s">
        <v>87</v>
      </c>
      <c r="H147" s="113" t="s">
        <v>1359</v>
      </c>
      <c r="I147" s="114">
        <f t="array" ref="I147">XLOOKUP(G147,KLUS!$A$2:$A$2010,KLUS!$E$2:$E$2010)+XLOOKUP(H147,KLUS!$A$2:$A$2010,KLUS!$E$2:$E$2010)</f>
        <v>48.9</v>
      </c>
      <c r="J147" s="114">
        <f t="shared" si="1"/>
        <v>44.01</v>
      </c>
      <c r="K147" s="115">
        <f t="shared" si="2"/>
        <v>35.208</v>
      </c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</row>
    <row r="148" ht="15.75" customHeight="1">
      <c r="A148" s="69" t="s">
        <v>5855</v>
      </c>
      <c r="B148" s="69" t="s">
        <v>5473</v>
      </c>
      <c r="C148" s="112" t="s">
        <v>5484</v>
      </c>
      <c r="D148" s="69"/>
      <c r="E148" s="69" t="s">
        <v>5856</v>
      </c>
      <c r="F148" s="69" t="s">
        <v>5857</v>
      </c>
      <c r="G148" s="69" t="s">
        <v>87</v>
      </c>
      <c r="H148" s="113" t="s">
        <v>1365</v>
      </c>
      <c r="I148" s="114">
        <f t="array" ref="I148">XLOOKUP(G148,KLUS!$A$2:$A$2010,KLUS!$E$2:$E$2010)+XLOOKUP(H148,KLUS!$A$2:$A$2010,KLUS!$E$2:$E$2010)</f>
        <v>48.9</v>
      </c>
      <c r="J148" s="114">
        <f t="shared" si="1"/>
        <v>44.01</v>
      </c>
      <c r="K148" s="115">
        <f t="shared" si="2"/>
        <v>35.208</v>
      </c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</row>
    <row r="149" ht="15.75" customHeight="1">
      <c r="A149" s="69" t="s">
        <v>5858</v>
      </c>
      <c r="B149" s="69" t="s">
        <v>5473</v>
      </c>
      <c r="C149" s="112" t="s">
        <v>5859</v>
      </c>
      <c r="D149" s="69"/>
      <c r="E149" s="69" t="s">
        <v>5860</v>
      </c>
      <c r="F149" s="69" t="s">
        <v>5861</v>
      </c>
      <c r="G149" s="69" t="s">
        <v>75</v>
      </c>
      <c r="H149" s="113" t="s">
        <v>1396</v>
      </c>
      <c r="I149" s="114">
        <f t="array" ref="I149">XLOOKUP(G149,KLUS!$A$2:$A$2010,KLUS!$E$2:$E$2010)+XLOOKUP(H149,KLUS!$A$2:$A$2010,KLUS!$E$2:$E$2010)</f>
        <v>51.6</v>
      </c>
      <c r="J149" s="114">
        <f t="shared" si="1"/>
        <v>46.44</v>
      </c>
      <c r="K149" s="115">
        <f t="shared" si="2"/>
        <v>37.152</v>
      </c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</row>
    <row r="150" ht="15.75" customHeight="1">
      <c r="A150" s="69" t="s">
        <v>5862</v>
      </c>
      <c r="B150" s="69" t="s">
        <v>5473</v>
      </c>
      <c r="C150" s="112" t="s">
        <v>5863</v>
      </c>
      <c r="D150" s="69"/>
      <c r="E150" s="69" t="s">
        <v>4072</v>
      </c>
      <c r="F150" s="69" t="s">
        <v>5864</v>
      </c>
      <c r="G150" s="69" t="s">
        <v>75</v>
      </c>
      <c r="H150" s="113" t="s">
        <v>1372</v>
      </c>
      <c r="I150" s="114">
        <f t="array" ref="I150">XLOOKUP(G150,KLUS!$A$2:$A$2010,KLUS!$E$2:$E$2010)+XLOOKUP(H150,KLUS!$A$2:$A$2010,KLUS!$E$2:$E$2010)</f>
        <v>49</v>
      </c>
      <c r="J150" s="114">
        <f t="shared" si="1"/>
        <v>44.1</v>
      </c>
      <c r="K150" s="115">
        <f t="shared" si="2"/>
        <v>35.28</v>
      </c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</row>
    <row r="151" ht="15.75" customHeight="1">
      <c r="A151" s="69" t="s">
        <v>5865</v>
      </c>
      <c r="B151" s="69" t="s">
        <v>5486</v>
      </c>
      <c r="C151" s="112" t="s">
        <v>5866</v>
      </c>
      <c r="D151" s="69"/>
      <c r="E151" s="69" t="s">
        <v>4074</v>
      </c>
      <c r="F151" s="69" t="s">
        <v>5867</v>
      </c>
      <c r="G151" s="69" t="s">
        <v>75</v>
      </c>
      <c r="H151" s="116" t="s">
        <v>1359</v>
      </c>
      <c r="I151" s="114">
        <f t="array" ref="I151">XLOOKUP(G151,KLUS!$A$2:$A$2010,KLUS!$E$2:$E$2010)+XLOOKUP(H151,KLUS!$A$2:$A$2010,KLUS!$E$2:$E$2010)</f>
        <v>37.5</v>
      </c>
      <c r="J151" s="114">
        <f t="shared" si="1"/>
        <v>33.75</v>
      </c>
      <c r="K151" s="115">
        <f t="shared" si="2"/>
        <v>27</v>
      </c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</row>
    <row r="152" ht="15.75" customHeight="1">
      <c r="A152" s="69" t="s">
        <v>5868</v>
      </c>
      <c r="B152" s="69" t="s">
        <v>5473</v>
      </c>
      <c r="C152" s="112" t="s">
        <v>5839</v>
      </c>
      <c r="D152" s="69"/>
      <c r="E152" s="69" t="s">
        <v>5869</v>
      </c>
      <c r="F152" s="69" t="s">
        <v>5870</v>
      </c>
      <c r="G152" s="69" t="s">
        <v>75</v>
      </c>
      <c r="H152" s="113" t="s">
        <v>1402</v>
      </c>
      <c r="I152" s="114">
        <f t="array" ref="I152">XLOOKUP(G152,KLUS!$A$2:$A$2010,KLUS!$E$2:$E$2010)+XLOOKUP(H152,KLUS!$A$2:$A$2010,KLUS!$E$2:$E$2010)</f>
        <v>51.6</v>
      </c>
      <c r="J152" s="114">
        <f t="shared" si="1"/>
        <v>46.44</v>
      </c>
      <c r="K152" s="115">
        <f t="shared" si="2"/>
        <v>37.152</v>
      </c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</row>
    <row r="153" ht="15.75" customHeight="1">
      <c r="A153" s="69" t="s">
        <v>5871</v>
      </c>
      <c r="B153" s="69" t="s">
        <v>5473</v>
      </c>
      <c r="C153" s="112" t="s">
        <v>5872</v>
      </c>
      <c r="D153" s="69"/>
      <c r="E153" s="69" t="s">
        <v>4078</v>
      </c>
      <c r="F153" s="69" t="s">
        <v>5873</v>
      </c>
      <c r="G153" s="69" t="s">
        <v>75</v>
      </c>
      <c r="H153" s="113" t="s">
        <v>1378</v>
      </c>
      <c r="I153" s="114">
        <f t="array" ref="I153">XLOOKUP(G153,KLUS!$A$2:$A$2010,KLUS!$E$2:$E$2010)+XLOOKUP(H153,KLUS!$A$2:$A$2010,KLUS!$E$2:$E$2010)</f>
        <v>49</v>
      </c>
      <c r="J153" s="114">
        <f t="shared" si="1"/>
        <v>44.1</v>
      </c>
      <c r="K153" s="115">
        <f t="shared" si="2"/>
        <v>35.28</v>
      </c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</row>
    <row r="154" ht="15.75" customHeight="1">
      <c r="A154" s="69" t="s">
        <v>5874</v>
      </c>
      <c r="B154" s="69" t="s">
        <v>5486</v>
      </c>
      <c r="C154" s="112" t="s">
        <v>5818</v>
      </c>
      <c r="D154" s="69"/>
      <c r="E154" s="69" t="s">
        <v>4080</v>
      </c>
      <c r="F154" s="69" t="s">
        <v>5875</v>
      </c>
      <c r="G154" s="69" t="s">
        <v>75</v>
      </c>
      <c r="H154" s="113" t="s">
        <v>1365</v>
      </c>
      <c r="I154" s="114">
        <f t="array" ref="I154">XLOOKUP(G154,KLUS!$A$2:$A$2010,KLUS!$E$2:$E$2010)+XLOOKUP(H154,KLUS!$A$2:$A$2010,KLUS!$E$2:$E$2010)</f>
        <v>37.5</v>
      </c>
      <c r="J154" s="114">
        <f t="shared" si="1"/>
        <v>33.75</v>
      </c>
      <c r="K154" s="115">
        <f t="shared" si="2"/>
        <v>27</v>
      </c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</row>
    <row r="155" ht="15.75" customHeight="1">
      <c r="A155" s="69" t="s">
        <v>5876</v>
      </c>
      <c r="B155" s="69" t="s">
        <v>5486</v>
      </c>
      <c r="C155" s="112" t="s">
        <v>5877</v>
      </c>
      <c r="D155" s="69"/>
      <c r="E155" s="69" t="s">
        <v>5878</v>
      </c>
      <c r="F155" s="69" t="s">
        <v>5879</v>
      </c>
      <c r="G155" s="69" t="s">
        <v>83</v>
      </c>
      <c r="H155" s="113" t="s">
        <v>1374</v>
      </c>
      <c r="I155" s="114">
        <f t="array" ref="I155">XLOOKUP(G155,KLUS!$A$2:$A$2010,KLUS!$E$2:$E$2010)+XLOOKUP(H155,KLUS!$A$2:$A$2010,KLUS!$E$2:$E$2010)</f>
        <v>83</v>
      </c>
      <c r="J155" s="114">
        <f t="shared" si="1"/>
        <v>74.7</v>
      </c>
      <c r="K155" s="115">
        <f t="shared" si="2"/>
        <v>59.76</v>
      </c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</row>
    <row r="156" ht="15.75" customHeight="1">
      <c r="A156" s="69" t="s">
        <v>5880</v>
      </c>
      <c r="B156" s="69" t="s">
        <v>5473</v>
      </c>
      <c r="C156" s="112" t="s">
        <v>5881</v>
      </c>
      <c r="D156" s="69"/>
      <c r="E156" s="69" t="s">
        <v>4088</v>
      </c>
      <c r="F156" s="69" t="s">
        <v>5882</v>
      </c>
      <c r="G156" s="69" t="s">
        <v>83</v>
      </c>
      <c r="H156" s="113" t="s">
        <v>1361</v>
      </c>
      <c r="I156" s="114">
        <f t="array" ref="I156">XLOOKUP(G156,KLUS!$A$2:$A$2010,KLUS!$E$2:$E$2010)+XLOOKUP(H156,KLUS!$A$2:$A$2010,KLUS!$E$2:$E$2010)</f>
        <v>65.7</v>
      </c>
      <c r="J156" s="114">
        <f t="shared" si="1"/>
        <v>59.13</v>
      </c>
      <c r="K156" s="115">
        <f t="shared" si="2"/>
        <v>47.304</v>
      </c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</row>
    <row r="157" ht="15.75" customHeight="1">
      <c r="A157" s="69" t="s">
        <v>5883</v>
      </c>
      <c r="B157" s="69" t="s">
        <v>5473</v>
      </c>
      <c r="C157" s="112" t="s">
        <v>5877</v>
      </c>
      <c r="D157" s="69"/>
      <c r="E157" s="69" t="s">
        <v>5884</v>
      </c>
      <c r="F157" s="69" t="s">
        <v>5885</v>
      </c>
      <c r="G157" s="69" t="s">
        <v>83</v>
      </c>
      <c r="H157" s="113" t="s">
        <v>1380</v>
      </c>
      <c r="I157" s="114">
        <f t="array" ref="I157">XLOOKUP(G157,KLUS!$A$2:$A$2010,KLUS!$E$2:$E$2010)+XLOOKUP(H157,KLUS!$A$2:$A$2010,KLUS!$E$2:$E$2010)</f>
        <v>83</v>
      </c>
      <c r="J157" s="114">
        <f t="shared" si="1"/>
        <v>74.7</v>
      </c>
      <c r="K157" s="115">
        <f t="shared" si="2"/>
        <v>59.76</v>
      </c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</row>
    <row r="158" ht="15.75" customHeight="1">
      <c r="A158" s="69" t="s">
        <v>5886</v>
      </c>
      <c r="B158" s="69" t="s">
        <v>5473</v>
      </c>
      <c r="C158" s="112" t="s">
        <v>5881</v>
      </c>
      <c r="D158" s="69"/>
      <c r="E158" s="69" t="s">
        <v>5887</v>
      </c>
      <c r="F158" s="69" t="s">
        <v>5888</v>
      </c>
      <c r="G158" s="69" t="s">
        <v>83</v>
      </c>
      <c r="H158" s="116" t="s">
        <v>1367</v>
      </c>
      <c r="I158" s="114">
        <f t="array" ref="I158">XLOOKUP(G158,KLUS!$A$2:$A$2010,KLUS!$E$2:$E$2010)+XLOOKUP(H158,KLUS!$A$2:$A$2010,KLUS!$E$2:$E$2010)</f>
        <v>65.7</v>
      </c>
      <c r="J158" s="114">
        <f t="shared" si="1"/>
        <v>59.13</v>
      </c>
      <c r="K158" s="115">
        <f t="shared" si="2"/>
        <v>47.304</v>
      </c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</row>
    <row r="159" ht="15.75" customHeight="1">
      <c r="A159" s="69" t="s">
        <v>5889</v>
      </c>
      <c r="B159" s="69" t="s">
        <v>5473</v>
      </c>
      <c r="C159" s="112" t="s">
        <v>5890</v>
      </c>
      <c r="D159" s="69"/>
      <c r="E159" s="69" t="s">
        <v>4099</v>
      </c>
      <c r="F159" s="69" t="s">
        <v>5891</v>
      </c>
      <c r="G159" s="69" t="s">
        <v>75</v>
      </c>
      <c r="H159" s="113" t="s">
        <v>1374</v>
      </c>
      <c r="I159" s="114">
        <f t="array" ref="I159">XLOOKUP(G159,KLUS!$A$2:$A$2010,KLUS!$E$2:$E$2010)+XLOOKUP(H159,KLUS!$A$2:$A$2010,KLUS!$E$2:$E$2010)</f>
        <v>59.8</v>
      </c>
      <c r="J159" s="114">
        <f t="shared" si="1"/>
        <v>53.82</v>
      </c>
      <c r="K159" s="115">
        <f t="shared" si="2"/>
        <v>43.056</v>
      </c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</row>
    <row r="160" ht="15.75" customHeight="1">
      <c r="A160" s="69" t="s">
        <v>5892</v>
      </c>
      <c r="B160" s="69" t="s">
        <v>5473</v>
      </c>
      <c r="C160" s="112" t="s">
        <v>5893</v>
      </c>
      <c r="D160" s="69"/>
      <c r="E160" s="69" t="s">
        <v>4101</v>
      </c>
      <c r="F160" s="69" t="s">
        <v>5894</v>
      </c>
      <c r="G160" s="69" t="s">
        <v>77</v>
      </c>
      <c r="H160" s="113" t="s">
        <v>1361</v>
      </c>
      <c r="I160" s="114">
        <f t="array" ref="I160">XLOOKUP(G160,KLUS!$A$2:$A$2010,KLUS!$E$2:$E$2010)+XLOOKUP(H160,KLUS!$A$2:$A$2010,KLUS!$E$2:$E$2010)</f>
        <v>56.3</v>
      </c>
      <c r="J160" s="114">
        <f t="shared" si="1"/>
        <v>50.67</v>
      </c>
      <c r="K160" s="115">
        <f t="shared" si="2"/>
        <v>40.536</v>
      </c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</row>
    <row r="161" ht="15.75" customHeight="1">
      <c r="A161" s="69" t="s">
        <v>5895</v>
      </c>
      <c r="B161" s="69" t="s">
        <v>5473</v>
      </c>
      <c r="C161" s="112" t="s">
        <v>5890</v>
      </c>
      <c r="D161" s="69"/>
      <c r="E161" s="69" t="s">
        <v>4103</v>
      </c>
      <c r="F161" s="69" t="s">
        <v>5896</v>
      </c>
      <c r="G161" s="69" t="s">
        <v>77</v>
      </c>
      <c r="H161" s="116" t="s">
        <v>1380</v>
      </c>
      <c r="I161" s="114">
        <f t="array" ref="I161">XLOOKUP(G161,KLUS!$A$2:$A$2010,KLUS!$E$2:$E$2010)+XLOOKUP(H161,KLUS!$A$2:$A$2010,KLUS!$E$2:$E$2010)</f>
        <v>73.6</v>
      </c>
      <c r="J161" s="114">
        <f t="shared" si="1"/>
        <v>66.24</v>
      </c>
      <c r="K161" s="115">
        <f t="shared" si="2"/>
        <v>52.992</v>
      </c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</row>
    <row r="162" ht="15.75" customHeight="1">
      <c r="A162" s="69" t="s">
        <v>5897</v>
      </c>
      <c r="B162" s="69" t="s">
        <v>5473</v>
      </c>
      <c r="C162" s="112" t="s">
        <v>5893</v>
      </c>
      <c r="D162" s="69"/>
      <c r="E162" s="69" t="s">
        <v>4105</v>
      </c>
      <c r="F162" s="69" t="s">
        <v>5898</v>
      </c>
      <c r="G162" s="69" t="s">
        <v>77</v>
      </c>
      <c r="H162" s="113" t="s">
        <v>1367</v>
      </c>
      <c r="I162" s="114">
        <f t="array" ref="I162">XLOOKUP(G162,KLUS!$A$2:$A$2010,KLUS!$E$2:$E$2010)+XLOOKUP(H162,KLUS!$A$2:$A$2010,KLUS!$E$2:$E$2010)</f>
        <v>56.3</v>
      </c>
      <c r="J162" s="114">
        <f t="shared" si="1"/>
        <v>50.67</v>
      </c>
      <c r="K162" s="115">
        <f t="shared" si="2"/>
        <v>40.536</v>
      </c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</row>
    <row r="163" ht="15.75" customHeight="1">
      <c r="A163" s="69" t="s">
        <v>5899</v>
      </c>
      <c r="B163" s="69" t="s">
        <v>5473</v>
      </c>
      <c r="C163" s="112" t="s">
        <v>5900</v>
      </c>
      <c r="D163" s="69"/>
      <c r="E163" s="69" t="s">
        <v>5901</v>
      </c>
      <c r="F163" s="118"/>
      <c r="G163" s="69" t="s">
        <v>5902</v>
      </c>
      <c r="H163" s="113" t="s">
        <v>1394</v>
      </c>
      <c r="I163" s="114" t="str">
        <f t="array" ref="I163">XLOOKUP(G163,KLUS!$A$2:$A$2010,KLUS!$E$2:$E$2010)+XLOOKUP(H163,KLUS!$A$2:$A$2010,KLUS!$E$2:$E$2010)</f>
        <v>#N/A</v>
      </c>
      <c r="J163" s="114" t="str">
        <f t="shared" si="1"/>
        <v>#N/A</v>
      </c>
      <c r="K163" s="115" t="str">
        <f t="shared" si="2"/>
        <v>#N/A</v>
      </c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</row>
    <row r="164" ht="15.75" customHeight="1">
      <c r="A164" s="69" t="s">
        <v>5903</v>
      </c>
      <c r="B164" s="69" t="s">
        <v>5486</v>
      </c>
      <c r="C164" s="112" t="s">
        <v>5866</v>
      </c>
      <c r="D164" s="69"/>
      <c r="E164" s="69" t="s">
        <v>5904</v>
      </c>
      <c r="F164" s="69" t="s">
        <v>5905</v>
      </c>
      <c r="G164" s="69" t="s">
        <v>5902</v>
      </c>
      <c r="H164" s="116" t="s">
        <v>1369</v>
      </c>
      <c r="I164" s="114" t="str">
        <f t="array" ref="I164">XLOOKUP(G164,KLUS!$A$2:$A$2010,KLUS!$E$2:$E$2010)+XLOOKUP(H164,KLUS!$A$2:$A$2010,KLUS!$E$2:$E$2010)</f>
        <v>#N/A</v>
      </c>
      <c r="J164" s="114" t="str">
        <f t="shared" si="1"/>
        <v>#N/A</v>
      </c>
      <c r="K164" s="115" t="str">
        <f t="shared" si="2"/>
        <v>#N/A</v>
      </c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</row>
    <row r="165" ht="15.75" customHeight="1">
      <c r="A165" s="69" t="s">
        <v>5906</v>
      </c>
      <c r="B165" s="69" t="s">
        <v>5486</v>
      </c>
      <c r="C165" s="112" t="s">
        <v>5907</v>
      </c>
      <c r="D165" s="69"/>
      <c r="E165" s="69" t="s">
        <v>5908</v>
      </c>
      <c r="F165" s="69" t="s">
        <v>5909</v>
      </c>
      <c r="G165" s="69" t="s">
        <v>5902</v>
      </c>
      <c r="H165" s="113" t="s">
        <v>1356</v>
      </c>
      <c r="I165" s="114" t="str">
        <f t="array" ref="I165">XLOOKUP(G165,KLUS!$A$2:$A$2010,KLUS!$E$2:$E$2010)+XLOOKUP(H165,KLUS!$A$2:$A$2010,KLUS!$E$2:$E$2010)</f>
        <v>#N/A</v>
      </c>
      <c r="J165" s="114" t="str">
        <f t="shared" si="1"/>
        <v>#N/A</v>
      </c>
      <c r="K165" s="115" t="str">
        <f t="shared" si="2"/>
        <v>#N/A</v>
      </c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</row>
    <row r="166" ht="15.75" customHeight="1">
      <c r="A166" s="69" t="s">
        <v>5910</v>
      </c>
      <c r="B166" s="69" t="s">
        <v>5486</v>
      </c>
      <c r="C166" s="112" t="s">
        <v>5866</v>
      </c>
      <c r="D166" s="69"/>
      <c r="E166" s="69" t="s">
        <v>5911</v>
      </c>
      <c r="F166" s="69" t="s">
        <v>5912</v>
      </c>
      <c r="G166" s="69" t="s">
        <v>5902</v>
      </c>
      <c r="H166" s="113" t="s">
        <v>1376</v>
      </c>
      <c r="I166" s="114" t="str">
        <f t="array" ref="I166">XLOOKUP(G166,KLUS!$A$2:$A$2010,KLUS!$E$2:$E$2010)+XLOOKUP(H166,KLUS!$A$2:$A$2010,KLUS!$E$2:$E$2010)</f>
        <v>#N/A</v>
      </c>
      <c r="J166" s="114" t="str">
        <f t="shared" si="1"/>
        <v>#N/A</v>
      </c>
      <c r="K166" s="115" t="str">
        <f t="shared" si="2"/>
        <v>#N/A</v>
      </c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</row>
    <row r="167" ht="15.75" customHeight="1">
      <c r="A167" s="69" t="s">
        <v>5913</v>
      </c>
      <c r="B167" s="69" t="s">
        <v>5473</v>
      </c>
      <c r="C167" s="112" t="s">
        <v>5914</v>
      </c>
      <c r="D167" s="69"/>
      <c r="E167" s="69" t="s">
        <v>5915</v>
      </c>
      <c r="F167" s="69" t="s">
        <v>5916</v>
      </c>
      <c r="G167" s="69" t="s">
        <v>5902</v>
      </c>
      <c r="H167" s="113" t="s">
        <v>1363</v>
      </c>
      <c r="I167" s="114" t="str">
        <f t="array" ref="I167">XLOOKUP(G167,KLUS!$A$2:$A$2010,KLUS!$E$2:$E$2010)+XLOOKUP(H167,KLUS!$A$2:$A$2010,KLUS!$E$2:$E$2010)</f>
        <v>#N/A</v>
      </c>
      <c r="J167" s="114" t="str">
        <f t="shared" si="1"/>
        <v>#N/A</v>
      </c>
      <c r="K167" s="115" t="str">
        <f t="shared" si="2"/>
        <v>#N/A</v>
      </c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</row>
    <row r="168" ht="15.75" customHeight="1">
      <c r="A168" s="69" t="s">
        <v>5917</v>
      </c>
      <c r="B168" s="69" t="s">
        <v>5473</v>
      </c>
      <c r="C168" s="112" t="s">
        <v>5918</v>
      </c>
      <c r="D168" s="69"/>
      <c r="E168" s="69" t="s">
        <v>5919</v>
      </c>
      <c r="F168" s="69" t="s">
        <v>5920</v>
      </c>
      <c r="G168" s="69" t="s">
        <v>5921</v>
      </c>
      <c r="H168" s="119"/>
      <c r="I168" s="114" t="str">
        <f t="array" ref="I168">XLOOKUP(G168,KLUS!$A$2:$A$2010,KLUS!$E$2:$E$2010)+XLOOKUP(H168,KLUS!$A$2:$A$2010,KLUS!$E$2:$E$2010)</f>
        <v>#N/A</v>
      </c>
      <c r="J168" s="114" t="str">
        <f t="shared" si="1"/>
        <v>#N/A</v>
      </c>
      <c r="K168" s="115" t="str">
        <f t="shared" si="2"/>
        <v>#N/A</v>
      </c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</row>
    <row r="169" ht="15.75" customHeight="1">
      <c r="A169" s="69" t="s">
        <v>5922</v>
      </c>
      <c r="B169" s="69" t="s">
        <v>5473</v>
      </c>
      <c r="C169" s="112" t="s">
        <v>5923</v>
      </c>
      <c r="D169" s="69"/>
      <c r="E169" s="69" t="s">
        <v>5924</v>
      </c>
      <c r="F169" s="69" t="s">
        <v>5925</v>
      </c>
      <c r="G169" s="69" t="s">
        <v>5921</v>
      </c>
      <c r="H169" s="116" t="s">
        <v>1369</v>
      </c>
      <c r="I169" s="114" t="str">
        <f t="array" ref="I169">XLOOKUP(G169,KLUS!$A$2:$A$2010,KLUS!$E$2:$E$2010)+XLOOKUP(H169,KLUS!$A$2:$A$2010,KLUS!$E$2:$E$2010)</f>
        <v>#N/A</v>
      </c>
      <c r="J169" s="114" t="str">
        <f t="shared" si="1"/>
        <v>#N/A</v>
      </c>
      <c r="K169" s="115" t="str">
        <f t="shared" si="2"/>
        <v>#N/A</v>
      </c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</row>
    <row r="170" ht="15.75" customHeight="1">
      <c r="A170" s="69" t="s">
        <v>5926</v>
      </c>
      <c r="B170" s="69" t="s">
        <v>5473</v>
      </c>
      <c r="C170" s="112" t="s">
        <v>5927</v>
      </c>
      <c r="D170" s="69"/>
      <c r="E170" s="69" t="s">
        <v>4155</v>
      </c>
      <c r="F170" s="69" t="s">
        <v>5928</v>
      </c>
      <c r="G170" s="69" t="s">
        <v>5929</v>
      </c>
      <c r="H170" s="119"/>
      <c r="I170" s="114" t="str">
        <f t="array" ref="I170">XLOOKUP(G170,KLUS!$A$2:$A$2010,KLUS!$E$2:$E$2010)+XLOOKUP(H170,KLUS!$A$2:$A$2010,KLUS!$E$2:$E$2010)</f>
        <v>#N/A</v>
      </c>
      <c r="J170" s="114" t="str">
        <f t="shared" si="1"/>
        <v>#N/A</v>
      </c>
      <c r="K170" s="115" t="str">
        <f t="shared" si="2"/>
        <v>#N/A</v>
      </c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</row>
    <row r="171" ht="15.75" customHeight="1">
      <c r="A171" s="69" t="s">
        <v>5930</v>
      </c>
      <c r="B171" s="69" t="s">
        <v>5473</v>
      </c>
      <c r="C171" s="112" t="s">
        <v>5931</v>
      </c>
      <c r="D171" s="69"/>
      <c r="E171" s="69" t="s">
        <v>5932</v>
      </c>
      <c r="F171" s="118"/>
      <c r="G171" s="69" t="s">
        <v>5933</v>
      </c>
      <c r="H171" s="116" t="s">
        <v>1396</v>
      </c>
      <c r="I171" s="114" t="str">
        <f t="array" ref="I171">XLOOKUP(G171,KLUS!$A$2:$A$2010,KLUS!$E$2:$E$2010)+XLOOKUP(H171,KLUS!$A$2:$A$2010,KLUS!$E$2:$E$2010)</f>
        <v>#N/A</v>
      </c>
      <c r="J171" s="114" t="str">
        <f t="shared" si="1"/>
        <v>#N/A</v>
      </c>
      <c r="K171" s="115" t="str">
        <f t="shared" si="2"/>
        <v>#N/A</v>
      </c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</row>
    <row r="172" ht="15.75" customHeight="1">
      <c r="A172" s="69" t="s">
        <v>5934</v>
      </c>
      <c r="B172" s="69" t="s">
        <v>5473</v>
      </c>
      <c r="C172" s="112" t="s">
        <v>5935</v>
      </c>
      <c r="D172" s="69"/>
      <c r="E172" s="69" t="s">
        <v>5936</v>
      </c>
      <c r="F172" s="69" t="s">
        <v>5937</v>
      </c>
      <c r="G172" s="69" t="s">
        <v>5929</v>
      </c>
      <c r="H172" s="113" t="s">
        <v>1372</v>
      </c>
      <c r="I172" s="114" t="str">
        <f t="array" ref="I172">XLOOKUP(G172,KLUS!$A$2:$A$2010,KLUS!$E$2:$E$2010)+XLOOKUP(H172,KLUS!$A$2:$A$2010,KLUS!$E$2:$E$2010)</f>
        <v>#N/A</v>
      </c>
      <c r="J172" s="114" t="str">
        <f t="shared" si="1"/>
        <v>#N/A</v>
      </c>
      <c r="K172" s="115" t="str">
        <f t="shared" si="2"/>
        <v>#N/A</v>
      </c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</row>
    <row r="173" ht="15.75" customHeight="1">
      <c r="A173" s="69" t="s">
        <v>5938</v>
      </c>
      <c r="B173" s="69" t="s">
        <v>5486</v>
      </c>
      <c r="C173" s="112" t="s">
        <v>5939</v>
      </c>
      <c r="D173" s="69"/>
      <c r="E173" s="69" t="s">
        <v>5940</v>
      </c>
      <c r="F173" s="69" t="s">
        <v>5941</v>
      </c>
      <c r="G173" s="69" t="s">
        <v>5929</v>
      </c>
      <c r="H173" s="113" t="s">
        <v>1359</v>
      </c>
      <c r="I173" s="114" t="str">
        <f t="array" ref="I173">XLOOKUP(G173,KLUS!$A$2:$A$2010,KLUS!$E$2:$E$2010)+XLOOKUP(H173,KLUS!$A$2:$A$2010,KLUS!$E$2:$E$2010)</f>
        <v>#N/A</v>
      </c>
      <c r="J173" s="114" t="str">
        <f t="shared" si="1"/>
        <v>#N/A</v>
      </c>
      <c r="K173" s="115" t="str">
        <f t="shared" si="2"/>
        <v>#N/A</v>
      </c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</row>
    <row r="174" ht="15.75" customHeight="1">
      <c r="A174" s="69" t="s">
        <v>5942</v>
      </c>
      <c r="B174" s="69" t="s">
        <v>5473</v>
      </c>
      <c r="C174" s="112" t="s">
        <v>5943</v>
      </c>
      <c r="D174" s="69"/>
      <c r="E174" s="69" t="s">
        <v>5944</v>
      </c>
      <c r="F174" s="118"/>
      <c r="G174" s="69" t="s">
        <v>5929</v>
      </c>
      <c r="H174" s="116" t="s">
        <v>1408</v>
      </c>
      <c r="I174" s="114" t="str">
        <f t="array" ref="I174">XLOOKUP(G174,KLUS!$A$2:$A$2010,KLUS!$E$2:$E$2010)+XLOOKUP(H174,KLUS!$A$2:$A$2010,KLUS!$E$2:$E$2010)</f>
        <v>#N/A</v>
      </c>
      <c r="J174" s="114" t="str">
        <f t="shared" si="1"/>
        <v>#N/A</v>
      </c>
      <c r="K174" s="115" t="str">
        <f t="shared" si="2"/>
        <v>#N/A</v>
      </c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</row>
    <row r="175" ht="15.75" customHeight="1">
      <c r="A175" s="69" t="s">
        <v>5945</v>
      </c>
      <c r="B175" s="69" t="s">
        <v>5473</v>
      </c>
      <c r="C175" s="112" t="s">
        <v>5935</v>
      </c>
      <c r="D175" s="69"/>
      <c r="E175" s="69" t="s">
        <v>5946</v>
      </c>
      <c r="F175" s="69" t="s">
        <v>5947</v>
      </c>
      <c r="G175" s="69" t="s">
        <v>5933</v>
      </c>
      <c r="H175" s="113" t="s">
        <v>1378</v>
      </c>
      <c r="I175" s="114" t="str">
        <f t="array" ref="I175">XLOOKUP(G175,KLUS!$A$2:$A$2010,KLUS!$E$2:$E$2010)+XLOOKUP(H175,KLUS!$A$2:$A$2010,KLUS!$E$2:$E$2010)</f>
        <v>#N/A</v>
      </c>
      <c r="J175" s="114" t="str">
        <f t="shared" si="1"/>
        <v>#N/A</v>
      </c>
      <c r="K175" s="115" t="str">
        <f t="shared" si="2"/>
        <v>#N/A</v>
      </c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</row>
    <row r="176" ht="15.75" customHeight="1">
      <c r="A176" s="69" t="s">
        <v>5948</v>
      </c>
      <c r="B176" s="69" t="s">
        <v>5486</v>
      </c>
      <c r="C176" s="112" t="s">
        <v>5939</v>
      </c>
      <c r="D176" s="69"/>
      <c r="E176" s="69" t="s">
        <v>5949</v>
      </c>
      <c r="F176" s="69" t="s">
        <v>5950</v>
      </c>
      <c r="G176" s="69" t="s">
        <v>5929</v>
      </c>
      <c r="H176" s="116" t="s">
        <v>1365</v>
      </c>
      <c r="I176" s="114" t="str">
        <f t="array" ref="I176">XLOOKUP(G176,KLUS!$A$2:$A$2010,KLUS!$E$2:$E$2010)+XLOOKUP(H176,KLUS!$A$2:$A$2010,KLUS!$E$2:$E$2010)</f>
        <v>#N/A</v>
      </c>
      <c r="J176" s="114" t="str">
        <f t="shared" si="1"/>
        <v>#N/A</v>
      </c>
      <c r="K176" s="115" t="str">
        <f t="shared" si="2"/>
        <v>#N/A</v>
      </c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</row>
    <row r="177" ht="15.75" customHeight="1">
      <c r="A177" s="69" t="s">
        <v>5951</v>
      </c>
      <c r="B177" s="69" t="s">
        <v>5473</v>
      </c>
      <c r="C177" s="112" t="s">
        <v>5952</v>
      </c>
      <c r="D177" s="69"/>
      <c r="E177" s="69" t="s">
        <v>5953</v>
      </c>
      <c r="F177" s="118"/>
      <c r="G177" s="69" t="s">
        <v>5954</v>
      </c>
      <c r="H177" s="119"/>
      <c r="I177" s="114" t="str">
        <f t="array" ref="I177">XLOOKUP(G177,KLUS!$A$2:$A$2010,KLUS!$E$2:$E$2010)+XLOOKUP(H177,KLUS!$A$2:$A$2010,KLUS!$E$2:$E$2010)</f>
        <v>#N/A</v>
      </c>
      <c r="J177" s="114" t="str">
        <f t="shared" si="1"/>
        <v>#N/A</v>
      </c>
      <c r="K177" s="115" t="str">
        <f t="shared" si="2"/>
        <v>#N/A</v>
      </c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</row>
    <row r="178" ht="15.75" customHeight="1">
      <c r="A178" s="69" t="s">
        <v>5955</v>
      </c>
      <c r="B178" s="69" t="s">
        <v>5473</v>
      </c>
      <c r="C178" s="112" t="s">
        <v>5956</v>
      </c>
      <c r="D178" s="69"/>
      <c r="E178" s="69" t="s">
        <v>5957</v>
      </c>
      <c r="F178" s="69" t="s">
        <v>5958</v>
      </c>
      <c r="G178" s="69" t="s">
        <v>5959</v>
      </c>
      <c r="H178" s="119"/>
      <c r="I178" s="114" t="str">
        <f t="array" ref="I178">XLOOKUP(G178,KLUS!$A$2:$A$2010,KLUS!$E$2:$E$2010)+XLOOKUP(H178,KLUS!$A$2:$A$2010,KLUS!$E$2:$E$2010)</f>
        <v>#N/A</v>
      </c>
      <c r="J178" s="114" t="str">
        <f t="shared" si="1"/>
        <v>#N/A</v>
      </c>
      <c r="K178" s="115" t="str">
        <f t="shared" si="2"/>
        <v>#N/A</v>
      </c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</row>
    <row r="179" ht="15.75" customHeight="1">
      <c r="A179" s="69" t="s">
        <v>5960</v>
      </c>
      <c r="B179" s="69" t="s">
        <v>5473</v>
      </c>
      <c r="C179" s="112" t="s">
        <v>5961</v>
      </c>
      <c r="D179" s="69"/>
      <c r="E179" s="69" t="s">
        <v>5962</v>
      </c>
      <c r="F179" s="118"/>
      <c r="G179" s="69" t="s">
        <v>5959</v>
      </c>
      <c r="H179" s="113" t="s">
        <v>1372</v>
      </c>
      <c r="I179" s="114" t="str">
        <f t="array" ref="I179">XLOOKUP(G179,KLUS!$A$2:$A$2010,KLUS!$E$2:$E$2010)+XLOOKUP(H179,KLUS!$A$2:$A$2010,KLUS!$E$2:$E$2010)</f>
        <v>#N/A</v>
      </c>
      <c r="J179" s="114" t="str">
        <f t="shared" si="1"/>
        <v>#N/A</v>
      </c>
      <c r="K179" s="115" t="str">
        <f t="shared" si="2"/>
        <v>#N/A</v>
      </c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</row>
    <row r="180" ht="15.75" customHeight="1">
      <c r="A180" s="69" t="s">
        <v>5963</v>
      </c>
      <c r="B180" s="69" t="s">
        <v>5473</v>
      </c>
      <c r="C180" s="112" t="s">
        <v>5939</v>
      </c>
      <c r="D180" s="69"/>
      <c r="E180" s="69" t="s">
        <v>5964</v>
      </c>
      <c r="F180" s="69" t="s">
        <v>5965</v>
      </c>
      <c r="G180" s="69" t="s">
        <v>5959</v>
      </c>
      <c r="H180" s="116" t="s">
        <v>1359</v>
      </c>
      <c r="I180" s="114" t="str">
        <f t="array" ref="I180">XLOOKUP(G180,KLUS!$A$2:$A$2010,KLUS!$E$2:$E$2010)+XLOOKUP(H180,KLUS!$A$2:$A$2010,KLUS!$E$2:$E$2010)</f>
        <v>#N/A</v>
      </c>
      <c r="J180" s="114" t="str">
        <f t="shared" si="1"/>
        <v>#N/A</v>
      </c>
      <c r="K180" s="115" t="str">
        <f t="shared" si="2"/>
        <v>#N/A</v>
      </c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</row>
    <row r="181" ht="15.75" customHeight="1">
      <c r="A181" s="69" t="s">
        <v>5966</v>
      </c>
      <c r="B181" s="69" t="s">
        <v>5473</v>
      </c>
      <c r="C181" s="112" t="s">
        <v>5967</v>
      </c>
      <c r="D181" s="69"/>
      <c r="E181" s="69" t="s">
        <v>5968</v>
      </c>
      <c r="F181" s="69" t="s">
        <v>5969</v>
      </c>
      <c r="G181" s="69" t="s">
        <v>5970</v>
      </c>
      <c r="H181" s="119"/>
      <c r="I181" s="114" t="str">
        <f t="array" ref="I181">XLOOKUP(G181,KLUS!$A$2:$A$2010,KLUS!$E$2:$E$2010)+XLOOKUP(H181,KLUS!$A$2:$A$2010,KLUS!$E$2:$E$2010)</f>
        <v>#N/A</v>
      </c>
      <c r="J181" s="114" t="str">
        <f t="shared" si="1"/>
        <v>#N/A</v>
      </c>
      <c r="K181" s="115" t="str">
        <f t="shared" si="2"/>
        <v>#N/A</v>
      </c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</row>
    <row r="182" ht="15.75" customHeight="1">
      <c r="A182" s="69" t="s">
        <v>5971</v>
      </c>
      <c r="B182" s="69" t="s">
        <v>5473</v>
      </c>
      <c r="C182" s="112" t="s">
        <v>5972</v>
      </c>
      <c r="D182" s="69"/>
      <c r="E182" s="69" t="s">
        <v>4175</v>
      </c>
      <c r="F182" s="69" t="s">
        <v>5973</v>
      </c>
      <c r="G182" s="69" t="s">
        <v>5974</v>
      </c>
      <c r="H182" s="119"/>
      <c r="I182" s="114" t="str">
        <f t="array" ref="I182">XLOOKUP(G182,KLUS!$A$2:$A$2010,KLUS!$E$2:$E$2010)+XLOOKUP(H182,KLUS!$A$2:$A$2010,KLUS!$E$2:$E$2010)</f>
        <v>#N/A</v>
      </c>
      <c r="J182" s="114" t="str">
        <f t="shared" si="1"/>
        <v>#N/A</v>
      </c>
      <c r="K182" s="115" t="str">
        <f t="shared" si="2"/>
        <v>#N/A</v>
      </c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</row>
    <row r="183" ht="15.75" customHeight="1">
      <c r="A183" s="69" t="s">
        <v>5975</v>
      </c>
      <c r="B183" s="69" t="s">
        <v>5473</v>
      </c>
      <c r="C183" s="112" t="s">
        <v>5976</v>
      </c>
      <c r="D183" s="69"/>
      <c r="E183" s="69" t="s">
        <v>5977</v>
      </c>
      <c r="F183" s="118"/>
      <c r="G183" s="69" t="s">
        <v>5974</v>
      </c>
      <c r="H183" s="113" t="s">
        <v>1374</v>
      </c>
      <c r="I183" s="114" t="str">
        <f t="array" ref="I183">XLOOKUP(G183,KLUS!$A$2:$A$2010,KLUS!$E$2:$E$2010)+XLOOKUP(H183,KLUS!$A$2:$A$2010,KLUS!$E$2:$E$2010)</f>
        <v>#N/A</v>
      </c>
      <c r="J183" s="114" t="str">
        <f t="shared" si="1"/>
        <v>#N/A</v>
      </c>
      <c r="K183" s="115" t="str">
        <f t="shared" si="2"/>
        <v>#N/A</v>
      </c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</row>
    <row r="184" ht="15.75" customHeight="1">
      <c r="A184" s="69" t="s">
        <v>5978</v>
      </c>
      <c r="B184" s="69" t="s">
        <v>5486</v>
      </c>
      <c r="C184" s="112" t="s">
        <v>5979</v>
      </c>
      <c r="D184" s="69"/>
      <c r="E184" s="69" t="s">
        <v>5980</v>
      </c>
      <c r="F184" s="69" t="s">
        <v>5981</v>
      </c>
      <c r="G184" s="69" t="s">
        <v>5974</v>
      </c>
      <c r="H184" s="113" t="s">
        <v>1361</v>
      </c>
      <c r="I184" s="114" t="str">
        <f t="array" ref="I184">XLOOKUP(G184,KLUS!$A$2:$A$2010,KLUS!$E$2:$E$2010)+XLOOKUP(H184,KLUS!$A$2:$A$2010,KLUS!$E$2:$E$2010)</f>
        <v>#N/A</v>
      </c>
      <c r="J184" s="114" t="str">
        <f t="shared" si="1"/>
        <v>#N/A</v>
      </c>
      <c r="K184" s="115" t="str">
        <f t="shared" si="2"/>
        <v>#N/A</v>
      </c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</row>
    <row r="185" ht="15.75" customHeight="1">
      <c r="A185" s="69" t="s">
        <v>5982</v>
      </c>
      <c r="B185" s="69" t="s">
        <v>5473</v>
      </c>
      <c r="C185" s="112" t="s">
        <v>5976</v>
      </c>
      <c r="D185" s="69"/>
      <c r="E185" s="69" t="s">
        <v>5983</v>
      </c>
      <c r="F185" s="118"/>
      <c r="G185" s="69" t="s">
        <v>5974</v>
      </c>
      <c r="H185" s="113" t="s">
        <v>1380</v>
      </c>
      <c r="I185" s="114" t="str">
        <f t="array" ref="I185">XLOOKUP(G185,KLUS!$A$2:$A$2010,KLUS!$E$2:$E$2010)+XLOOKUP(H185,KLUS!$A$2:$A$2010,KLUS!$E$2:$E$2010)</f>
        <v>#N/A</v>
      </c>
      <c r="J185" s="114" t="str">
        <f t="shared" si="1"/>
        <v>#N/A</v>
      </c>
      <c r="K185" s="115" t="str">
        <f t="shared" si="2"/>
        <v>#N/A</v>
      </c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</row>
    <row r="186" ht="15.75" customHeight="1">
      <c r="A186" s="69" t="s">
        <v>5984</v>
      </c>
      <c r="B186" s="69" t="s">
        <v>5473</v>
      </c>
      <c r="C186" s="112" t="s">
        <v>5985</v>
      </c>
      <c r="D186" s="69"/>
      <c r="E186" s="69" t="s">
        <v>5986</v>
      </c>
      <c r="F186" s="69" t="s">
        <v>5987</v>
      </c>
      <c r="G186" s="69" t="s">
        <v>5986</v>
      </c>
      <c r="H186" s="119"/>
      <c r="I186" s="114" t="str">
        <f t="array" ref="I186">XLOOKUP(G186,KLUS!$A$2:$A$2010,KLUS!$E$2:$E$2010)+XLOOKUP(H186,KLUS!$A$2:$A$2010,KLUS!$E$2:$E$2010)</f>
        <v>#N/A</v>
      </c>
      <c r="J186" s="114" t="str">
        <f t="shared" si="1"/>
        <v>#N/A</v>
      </c>
      <c r="K186" s="115" t="str">
        <f t="shared" si="2"/>
        <v>#N/A</v>
      </c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</row>
    <row r="187" ht="15.75" customHeight="1">
      <c r="A187" s="69" t="s">
        <v>4183</v>
      </c>
      <c r="B187" s="69" t="s">
        <v>5486</v>
      </c>
      <c r="C187" s="112" t="s">
        <v>5988</v>
      </c>
      <c r="D187" s="69"/>
      <c r="E187" s="69" t="s">
        <v>5989</v>
      </c>
      <c r="F187" s="69" t="s">
        <v>5990</v>
      </c>
      <c r="G187" s="69" t="s">
        <v>251</v>
      </c>
      <c r="H187" s="119"/>
      <c r="I187" s="114" t="str">
        <f t="array" ref="I187">XLOOKUP(G187,KLUS!$A$2:$A$2010,KLUS!$E$2:$E$2010)+XLOOKUP(H187,KLUS!$A$2:$A$2010,KLUS!$E$2:$E$2010)</f>
        <v>#N/A</v>
      </c>
      <c r="J187" s="114" t="str">
        <f t="shared" si="1"/>
        <v>#N/A</v>
      </c>
      <c r="K187" s="115" t="str">
        <f t="shared" si="2"/>
        <v>#N/A</v>
      </c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</row>
    <row r="188" ht="15.75" customHeight="1">
      <c r="A188" s="69" t="s">
        <v>5991</v>
      </c>
      <c r="B188" s="69" t="s">
        <v>5473</v>
      </c>
      <c r="C188" s="112" t="s">
        <v>5992</v>
      </c>
      <c r="D188" s="69"/>
      <c r="E188" s="69" t="s">
        <v>5993</v>
      </c>
      <c r="F188" s="69" t="s">
        <v>5994</v>
      </c>
      <c r="G188" s="69" t="s">
        <v>258</v>
      </c>
      <c r="H188" s="119"/>
      <c r="I188" s="114" t="str">
        <f t="array" ref="I188">XLOOKUP(G188,KLUS!$A$2:$A$2010,KLUS!$E$2:$E$2010)+XLOOKUP(H188,KLUS!$A$2:$A$2010,KLUS!$E$2:$E$2010)</f>
        <v>#N/A</v>
      </c>
      <c r="J188" s="114" t="str">
        <f t="shared" si="1"/>
        <v>#N/A</v>
      </c>
      <c r="K188" s="115" t="str">
        <f t="shared" si="2"/>
        <v>#N/A</v>
      </c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</row>
    <row r="189" ht="15.75" customHeight="1">
      <c r="A189" s="69" t="s">
        <v>5995</v>
      </c>
      <c r="B189" s="69" t="s">
        <v>5473</v>
      </c>
      <c r="C189" s="112" t="s">
        <v>5996</v>
      </c>
      <c r="D189" s="69"/>
      <c r="E189" s="69" t="s">
        <v>5997</v>
      </c>
      <c r="F189" s="69" t="s">
        <v>5998</v>
      </c>
      <c r="G189" s="69" t="s">
        <v>254</v>
      </c>
      <c r="H189" s="119"/>
      <c r="I189" s="114" t="str">
        <f t="array" ref="I189">XLOOKUP(G189,KLUS!$A$2:$A$2010,KLUS!$E$2:$E$2010)+XLOOKUP(H189,KLUS!$A$2:$A$2010,KLUS!$E$2:$E$2010)</f>
        <v>#N/A</v>
      </c>
      <c r="J189" s="114" t="str">
        <f t="shared" si="1"/>
        <v>#N/A</v>
      </c>
      <c r="K189" s="115" t="str">
        <f t="shared" si="2"/>
        <v>#N/A</v>
      </c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</row>
    <row r="190" ht="15.75" customHeight="1">
      <c r="A190" s="69" t="s">
        <v>5999</v>
      </c>
      <c r="B190" s="69" t="s">
        <v>5486</v>
      </c>
      <c r="C190" s="112" t="s">
        <v>6000</v>
      </c>
      <c r="D190" s="69"/>
      <c r="E190" s="69" t="s">
        <v>6001</v>
      </c>
      <c r="F190" s="69" t="s">
        <v>6002</v>
      </c>
      <c r="G190" s="69" t="s">
        <v>6003</v>
      </c>
      <c r="H190" s="116" t="s">
        <v>1359</v>
      </c>
      <c r="I190" s="114" t="str">
        <f t="array" ref="I190">XLOOKUP(G190,KLUS!$A$2:$A$2010,KLUS!$E$2:$E$2010)+XLOOKUP(H190,KLUS!$A$2:$A$2010,KLUS!$E$2:$E$2010)</f>
        <v>#N/A</v>
      </c>
      <c r="J190" s="114" t="str">
        <f t="shared" si="1"/>
        <v>#N/A</v>
      </c>
      <c r="K190" s="115" t="str">
        <f t="shared" si="2"/>
        <v>#N/A</v>
      </c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</row>
    <row r="191" ht="15.75" customHeight="1">
      <c r="A191" s="69" t="s">
        <v>6004</v>
      </c>
      <c r="B191" s="69" t="s">
        <v>5473</v>
      </c>
      <c r="C191" s="112" t="s">
        <v>6005</v>
      </c>
      <c r="D191" s="69"/>
      <c r="E191" s="69" t="s">
        <v>6006</v>
      </c>
      <c r="F191" s="69" t="s">
        <v>6007</v>
      </c>
      <c r="G191" s="69" t="s">
        <v>6006</v>
      </c>
      <c r="H191" s="119"/>
      <c r="I191" s="114" t="str">
        <f t="array" ref="I191">XLOOKUP(G191,KLUS!$A$2:$A$2010,KLUS!$E$2:$E$2010)+XLOOKUP(H191,KLUS!$A$2:$A$2010,KLUS!$E$2:$E$2010)</f>
        <v>#N/A</v>
      </c>
      <c r="J191" s="114" t="str">
        <f t="shared" si="1"/>
        <v>#N/A</v>
      </c>
      <c r="K191" s="115" t="str">
        <f t="shared" si="2"/>
        <v>#N/A</v>
      </c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</row>
    <row r="192" ht="15.75" customHeight="1">
      <c r="A192" s="69" t="s">
        <v>6008</v>
      </c>
      <c r="B192" s="69" t="s">
        <v>5473</v>
      </c>
      <c r="C192" s="112" t="s">
        <v>6009</v>
      </c>
      <c r="D192" s="69"/>
      <c r="E192" s="69" t="s">
        <v>6010</v>
      </c>
      <c r="F192" s="69" t="s">
        <v>6011</v>
      </c>
      <c r="G192" s="69" t="s">
        <v>261</v>
      </c>
      <c r="H192" s="119"/>
      <c r="I192" s="114" t="str">
        <f t="array" ref="I192">XLOOKUP(G192,KLUS!$A$2:$A$2010,KLUS!$E$2:$E$2010)+XLOOKUP(H192,KLUS!$A$2:$A$2010,KLUS!$E$2:$E$2010)</f>
        <v>#N/A</v>
      </c>
      <c r="J192" s="114" t="str">
        <f t="shared" si="1"/>
        <v>#N/A</v>
      </c>
      <c r="K192" s="115" t="str">
        <f t="shared" si="2"/>
        <v>#N/A</v>
      </c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</row>
    <row r="193" ht="15.75" customHeight="1">
      <c r="A193" s="69" t="s">
        <v>6012</v>
      </c>
      <c r="B193" s="69" t="s">
        <v>5473</v>
      </c>
      <c r="C193" s="112" t="s">
        <v>6013</v>
      </c>
      <c r="D193" s="69"/>
      <c r="E193" s="69" t="s">
        <v>6014</v>
      </c>
      <c r="F193" s="69" t="s">
        <v>6015</v>
      </c>
      <c r="G193" s="69" t="s">
        <v>256</v>
      </c>
      <c r="H193" s="119"/>
      <c r="I193" s="114" t="str">
        <f t="array" ref="I193">XLOOKUP(G193,KLUS!$A$2:$A$2010,KLUS!$E$2:$E$2010)+XLOOKUP(H193,KLUS!$A$2:$A$2010,KLUS!$E$2:$E$2010)</f>
        <v>#N/A</v>
      </c>
      <c r="J193" s="114" t="str">
        <f t="shared" si="1"/>
        <v>#N/A</v>
      </c>
      <c r="K193" s="115" t="str">
        <f t="shared" si="2"/>
        <v>#N/A</v>
      </c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</row>
    <row r="194" ht="15.75" customHeight="1">
      <c r="A194" s="69" t="s">
        <v>6016</v>
      </c>
      <c r="B194" s="69" t="s">
        <v>5473</v>
      </c>
      <c r="C194" s="112" t="s">
        <v>6017</v>
      </c>
      <c r="D194" s="69"/>
      <c r="E194" s="69" t="s">
        <v>6018</v>
      </c>
      <c r="F194" s="69" t="s">
        <v>6019</v>
      </c>
      <c r="G194" s="69" t="s">
        <v>263</v>
      </c>
      <c r="H194" s="119"/>
      <c r="I194" s="114" t="str">
        <f t="array" ref="I194">XLOOKUP(G194,KLUS!$A$2:$A$2010,KLUS!$E$2:$E$2010)+XLOOKUP(H194,KLUS!$A$2:$A$2010,KLUS!$E$2:$E$2010)</f>
        <v>#N/A</v>
      </c>
      <c r="J194" s="114" t="str">
        <f t="shared" si="1"/>
        <v>#N/A</v>
      </c>
      <c r="K194" s="115" t="str">
        <f t="shared" si="2"/>
        <v>#N/A</v>
      </c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</row>
    <row r="195" ht="15.75" customHeight="1">
      <c r="A195" s="69" t="s">
        <v>4199</v>
      </c>
      <c r="B195" s="69" t="s">
        <v>5473</v>
      </c>
      <c r="C195" s="112" t="s">
        <v>5797</v>
      </c>
      <c r="D195" s="69"/>
      <c r="E195" s="69" t="s">
        <v>95</v>
      </c>
      <c r="F195" s="69" t="s">
        <v>6020</v>
      </c>
      <c r="G195" s="69" t="s">
        <v>95</v>
      </c>
      <c r="H195" s="119"/>
      <c r="I195" s="114" t="str">
        <f t="array" ref="I195">XLOOKUP(G195,KLUS!$A$2:$A$2010,KLUS!$E$2:$E$2010)+XLOOKUP(H195,KLUS!$A$2:$A$2010,KLUS!$E$2:$E$2010)</f>
        <v>#N/A</v>
      </c>
      <c r="J195" s="114" t="str">
        <f t="shared" si="1"/>
        <v>#N/A</v>
      </c>
      <c r="K195" s="115" t="str">
        <f t="shared" si="2"/>
        <v>#N/A</v>
      </c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</row>
    <row r="196" ht="15.75" customHeight="1">
      <c r="A196" s="69" t="s">
        <v>6021</v>
      </c>
      <c r="B196" s="69" t="s">
        <v>5473</v>
      </c>
      <c r="C196" s="112" t="s">
        <v>6022</v>
      </c>
      <c r="D196" s="69"/>
      <c r="E196" s="69" t="s">
        <v>6023</v>
      </c>
      <c r="F196" s="69" t="s">
        <v>6024</v>
      </c>
      <c r="G196" s="69" t="s">
        <v>102</v>
      </c>
      <c r="H196" s="119"/>
      <c r="I196" s="114" t="str">
        <f t="array" ref="I196">XLOOKUP(G196,KLUS!$A$2:$A$2010,KLUS!$E$2:$E$2010)+XLOOKUP(H196,KLUS!$A$2:$A$2010,KLUS!$E$2:$E$2010)</f>
        <v>#N/A</v>
      </c>
      <c r="J196" s="114" t="str">
        <f t="shared" si="1"/>
        <v>#N/A</v>
      </c>
      <c r="K196" s="115" t="str">
        <f t="shared" si="2"/>
        <v>#N/A</v>
      </c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</row>
    <row r="197" ht="15.75" customHeight="1">
      <c r="A197" s="69" t="s">
        <v>4201</v>
      </c>
      <c r="B197" s="69" t="s">
        <v>5473</v>
      </c>
      <c r="C197" s="112" t="s">
        <v>6025</v>
      </c>
      <c r="D197" s="69"/>
      <c r="E197" s="69" t="s">
        <v>98</v>
      </c>
      <c r="F197" s="69" t="s">
        <v>6026</v>
      </c>
      <c r="G197" s="69" t="s">
        <v>98</v>
      </c>
      <c r="H197" s="119"/>
      <c r="I197" s="114" t="str">
        <f t="array" ref="I197">XLOOKUP(G197,KLUS!$A$2:$A$2010,KLUS!$E$2:$E$2010)+XLOOKUP(H197,KLUS!$A$2:$A$2010,KLUS!$E$2:$E$2010)</f>
        <v>#N/A</v>
      </c>
      <c r="J197" s="114" t="str">
        <f t="shared" si="1"/>
        <v>#N/A</v>
      </c>
      <c r="K197" s="115" t="str">
        <f t="shared" si="2"/>
        <v>#N/A</v>
      </c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</row>
    <row r="198" ht="15.75" customHeight="1">
      <c r="A198" s="69" t="s">
        <v>6027</v>
      </c>
      <c r="B198" s="69" t="s">
        <v>5473</v>
      </c>
      <c r="C198" s="112" t="s">
        <v>6028</v>
      </c>
      <c r="D198" s="69"/>
      <c r="E198" s="69" t="s">
        <v>6029</v>
      </c>
      <c r="F198" s="69" t="s">
        <v>6030</v>
      </c>
      <c r="G198" s="69" t="s">
        <v>105</v>
      </c>
      <c r="H198" s="119"/>
      <c r="I198" s="114" t="str">
        <f t="array" ref="I198">XLOOKUP(G198,KLUS!$A$2:$A$2010,KLUS!$E$2:$E$2010)+XLOOKUP(H198,KLUS!$A$2:$A$2010,KLUS!$E$2:$E$2010)</f>
        <v>#N/A</v>
      </c>
      <c r="J198" s="114" t="str">
        <f t="shared" si="1"/>
        <v>#N/A</v>
      </c>
      <c r="K198" s="115" t="str">
        <f t="shared" si="2"/>
        <v>#N/A</v>
      </c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</row>
    <row r="199" ht="15.75" customHeight="1">
      <c r="A199" s="69" t="s">
        <v>4203</v>
      </c>
      <c r="B199" s="69" t="s">
        <v>5473</v>
      </c>
      <c r="C199" s="112" t="s">
        <v>6031</v>
      </c>
      <c r="D199" s="69"/>
      <c r="E199" s="69" t="s">
        <v>100</v>
      </c>
      <c r="F199" s="69" t="s">
        <v>6032</v>
      </c>
      <c r="G199" s="69" t="s">
        <v>100</v>
      </c>
      <c r="H199" s="119"/>
      <c r="I199" s="114" t="str">
        <f t="array" ref="I199">XLOOKUP(G199,KLUS!$A$2:$A$2010,KLUS!$E$2:$E$2010)+XLOOKUP(H199,KLUS!$A$2:$A$2010,KLUS!$E$2:$E$2010)</f>
        <v>#N/A</v>
      </c>
      <c r="J199" s="114" t="str">
        <f t="shared" si="1"/>
        <v>#N/A</v>
      </c>
      <c r="K199" s="115" t="str">
        <f t="shared" si="2"/>
        <v>#N/A</v>
      </c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</row>
    <row r="200" ht="15.75" customHeight="1">
      <c r="A200" s="69" t="s">
        <v>6033</v>
      </c>
      <c r="B200" s="69" t="s">
        <v>5473</v>
      </c>
      <c r="C200" s="112" t="s">
        <v>6034</v>
      </c>
      <c r="D200" s="69"/>
      <c r="E200" s="69" t="s">
        <v>6035</v>
      </c>
      <c r="F200" s="69" t="s">
        <v>6036</v>
      </c>
      <c r="G200" s="69" t="s">
        <v>107</v>
      </c>
      <c r="H200" s="119"/>
      <c r="I200" s="114" t="str">
        <f t="array" ref="I200">XLOOKUP(G200,KLUS!$A$2:$A$2010,KLUS!$E$2:$E$2010)+XLOOKUP(H200,KLUS!$A$2:$A$2010,KLUS!$E$2:$E$2010)</f>
        <v>#N/A</v>
      </c>
      <c r="J200" s="114" t="str">
        <f t="shared" si="1"/>
        <v>#N/A</v>
      </c>
      <c r="K200" s="115" t="str">
        <f t="shared" si="2"/>
        <v>#N/A</v>
      </c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</row>
    <row r="201" ht="15.75" customHeight="1">
      <c r="A201" s="69" t="s">
        <v>6037</v>
      </c>
      <c r="B201" s="69" t="s">
        <v>5473</v>
      </c>
      <c r="C201" s="112" t="s">
        <v>5893</v>
      </c>
      <c r="D201" s="69"/>
      <c r="E201" s="69" t="s">
        <v>4268</v>
      </c>
      <c r="F201" s="69" t="s">
        <v>6038</v>
      </c>
      <c r="G201" s="69" t="s">
        <v>888</v>
      </c>
      <c r="H201" s="113" t="s">
        <v>1536</v>
      </c>
      <c r="I201" s="114">
        <f t="array" ref="I201">XLOOKUP(G201,KLUS!$A$2:$A$2010,KLUS!$E$2:$E$2010)+XLOOKUP(H201,KLUS!$A$2:$A$2010,KLUS!$E$2:$E$2010)</f>
        <v>44.8</v>
      </c>
      <c r="J201" s="114">
        <f t="shared" si="1"/>
        <v>40.32</v>
      </c>
      <c r="K201" s="115">
        <f t="shared" si="2"/>
        <v>32.256</v>
      </c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</row>
    <row r="202" ht="15.75" customHeight="1">
      <c r="A202" s="69" t="s">
        <v>6039</v>
      </c>
      <c r="B202" s="69" t="s">
        <v>5473</v>
      </c>
      <c r="C202" s="112" t="s">
        <v>6040</v>
      </c>
      <c r="D202" s="69"/>
      <c r="E202" s="69" t="s">
        <v>4272</v>
      </c>
      <c r="F202" s="69" t="s">
        <v>6041</v>
      </c>
      <c r="G202" s="69" t="s">
        <v>890</v>
      </c>
      <c r="H202" s="113" t="s">
        <v>1539</v>
      </c>
      <c r="I202" s="114">
        <f t="array" ref="I202">XLOOKUP(G202,KLUS!$A$2:$A$2010,KLUS!$E$2:$E$2010)+XLOOKUP(H202,KLUS!$A$2:$A$2010,KLUS!$E$2:$E$2010)</f>
        <v>89.6</v>
      </c>
      <c r="J202" s="114">
        <f t="shared" si="1"/>
        <v>80.64</v>
      </c>
      <c r="K202" s="115">
        <f t="shared" si="2"/>
        <v>64.512</v>
      </c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</row>
    <row r="203" ht="15.75" customHeight="1">
      <c r="A203" s="69" t="s">
        <v>6042</v>
      </c>
      <c r="B203" s="69" t="s">
        <v>5473</v>
      </c>
      <c r="C203" s="112" t="s">
        <v>6043</v>
      </c>
      <c r="D203" s="69"/>
      <c r="E203" s="69" t="s">
        <v>4276</v>
      </c>
      <c r="F203" s="118"/>
      <c r="G203" s="69" t="s">
        <v>892</v>
      </c>
      <c r="H203" s="113" t="s">
        <v>1541</v>
      </c>
      <c r="I203" s="114">
        <f t="array" ref="I203">XLOOKUP(G203,KLUS!$A$2:$A$2010,KLUS!$E$2:$E$2010)+XLOOKUP(H203,KLUS!$A$2:$A$2010,KLUS!$E$2:$E$2010)</f>
        <v>134.4</v>
      </c>
      <c r="J203" s="114">
        <f t="shared" si="1"/>
        <v>120.96</v>
      </c>
      <c r="K203" s="115">
        <f t="shared" si="2"/>
        <v>96.768</v>
      </c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</row>
    <row r="204" ht="15.75" customHeight="1">
      <c r="A204" s="69" t="s">
        <v>6044</v>
      </c>
      <c r="B204" s="69" t="s">
        <v>5473</v>
      </c>
      <c r="C204" s="112" t="s">
        <v>6045</v>
      </c>
      <c r="D204" s="69"/>
      <c r="E204" s="69" t="s">
        <v>4292</v>
      </c>
      <c r="F204" s="69" t="s">
        <v>6046</v>
      </c>
      <c r="G204" s="69" t="s">
        <v>456</v>
      </c>
      <c r="H204" s="116" t="s">
        <v>1460</v>
      </c>
      <c r="I204" s="114">
        <f t="array" ref="I204">XLOOKUP(G204,KLUS!$A$2:$A$2010,KLUS!$E$2:$E$2010)+XLOOKUP(H204,KLUS!$A$2:$A$2010,KLUS!$E$2:$E$2010)</f>
        <v>39</v>
      </c>
      <c r="J204" s="114">
        <f t="shared" si="1"/>
        <v>35.1</v>
      </c>
      <c r="K204" s="115">
        <f t="shared" si="2"/>
        <v>28.08</v>
      </c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</row>
    <row r="205" ht="15.75" customHeight="1">
      <c r="A205" s="69" t="s">
        <v>6047</v>
      </c>
      <c r="B205" s="69" t="s">
        <v>5473</v>
      </c>
      <c r="C205" s="112" t="s">
        <v>6045</v>
      </c>
      <c r="D205" s="69"/>
      <c r="E205" s="69" t="s">
        <v>4294</v>
      </c>
      <c r="F205" s="118"/>
      <c r="G205" s="69" t="s">
        <v>456</v>
      </c>
      <c r="H205" s="116" t="s">
        <v>1466</v>
      </c>
      <c r="I205" s="114">
        <f t="array" ref="I205">XLOOKUP(G205,KLUS!$A$2:$A$2010,KLUS!$E$2:$E$2010)+XLOOKUP(H205,KLUS!$A$2:$A$2010,KLUS!$E$2:$E$2010)</f>
        <v>39</v>
      </c>
      <c r="J205" s="114">
        <f t="shared" si="1"/>
        <v>35.1</v>
      </c>
      <c r="K205" s="115">
        <f t="shared" si="2"/>
        <v>28.08</v>
      </c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</row>
    <row r="206" ht="15.75" customHeight="1">
      <c r="A206" s="69" t="s">
        <v>6048</v>
      </c>
      <c r="B206" s="69" t="s">
        <v>5473</v>
      </c>
      <c r="C206" s="112" t="s">
        <v>6049</v>
      </c>
      <c r="D206" s="69"/>
      <c r="E206" s="69" t="s">
        <v>4298</v>
      </c>
      <c r="F206" s="69" t="s">
        <v>6050</v>
      </c>
      <c r="G206" s="69" t="s">
        <v>459</v>
      </c>
      <c r="H206" s="113" t="s">
        <v>1462</v>
      </c>
      <c r="I206" s="114">
        <f t="array" ref="I206">XLOOKUP(G206,KLUS!$A$2:$A$2010,KLUS!$E$2:$E$2010)+XLOOKUP(H206,KLUS!$A$2:$A$2010,KLUS!$E$2:$E$2010)</f>
        <v>78</v>
      </c>
      <c r="J206" s="114">
        <f t="shared" si="1"/>
        <v>70.2</v>
      </c>
      <c r="K206" s="115">
        <f t="shared" si="2"/>
        <v>56.16</v>
      </c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</row>
    <row r="207" ht="15.75" customHeight="1">
      <c r="A207" s="69" t="s">
        <v>6051</v>
      </c>
      <c r="B207" s="69" t="s">
        <v>5473</v>
      </c>
      <c r="C207" s="112" t="s">
        <v>6049</v>
      </c>
      <c r="D207" s="69"/>
      <c r="E207" s="69" t="s">
        <v>4300</v>
      </c>
      <c r="F207" s="118"/>
      <c r="G207" s="69" t="s">
        <v>459</v>
      </c>
      <c r="H207" s="113" t="s">
        <v>1468</v>
      </c>
      <c r="I207" s="114">
        <f t="array" ref="I207">XLOOKUP(G207,KLUS!$A$2:$A$2010,KLUS!$E$2:$E$2010)+XLOOKUP(H207,KLUS!$A$2:$A$2010,KLUS!$E$2:$E$2010)</f>
        <v>78</v>
      </c>
      <c r="J207" s="114">
        <f t="shared" si="1"/>
        <v>70.2</v>
      </c>
      <c r="K207" s="115">
        <f t="shared" si="2"/>
        <v>56.16</v>
      </c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</row>
    <row r="208" ht="15.75" customHeight="1">
      <c r="A208" s="69" t="s">
        <v>6052</v>
      </c>
      <c r="B208" s="69" t="s">
        <v>5473</v>
      </c>
      <c r="C208" s="112" t="s">
        <v>6053</v>
      </c>
      <c r="D208" s="69"/>
      <c r="E208" s="69" t="s">
        <v>4304</v>
      </c>
      <c r="F208" s="118"/>
      <c r="G208" s="69" t="s">
        <v>461</v>
      </c>
      <c r="H208" s="113" t="s">
        <v>1464</v>
      </c>
      <c r="I208" s="114">
        <f t="array" ref="I208">XLOOKUP(G208,KLUS!$A$2:$A$2010,KLUS!$E$2:$E$2010)+XLOOKUP(H208,KLUS!$A$2:$A$2010,KLUS!$E$2:$E$2010)</f>
        <v>117</v>
      </c>
      <c r="J208" s="114">
        <f t="shared" si="1"/>
        <v>105.3</v>
      </c>
      <c r="K208" s="115">
        <f t="shared" si="2"/>
        <v>84.24</v>
      </c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</row>
    <row r="209" ht="15.75" customHeight="1">
      <c r="A209" s="69" t="s">
        <v>6054</v>
      </c>
      <c r="B209" s="69" t="s">
        <v>5473</v>
      </c>
      <c r="C209" s="112" t="s">
        <v>6053</v>
      </c>
      <c r="D209" s="69"/>
      <c r="E209" s="69" t="s">
        <v>4306</v>
      </c>
      <c r="F209" s="118"/>
      <c r="G209" s="69" t="s">
        <v>461</v>
      </c>
      <c r="H209" s="113" t="s">
        <v>1470</v>
      </c>
      <c r="I209" s="114">
        <f t="array" ref="I209">XLOOKUP(G209,KLUS!$A$2:$A$2010,KLUS!$E$2:$E$2010)+XLOOKUP(H209,KLUS!$A$2:$A$2010,KLUS!$E$2:$E$2010)</f>
        <v>117</v>
      </c>
      <c r="J209" s="114">
        <f t="shared" si="1"/>
        <v>105.3</v>
      </c>
      <c r="K209" s="115">
        <f t="shared" si="2"/>
        <v>84.24</v>
      </c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</row>
    <row r="210" ht="15.75" customHeight="1">
      <c r="A210" s="69" t="s">
        <v>6055</v>
      </c>
      <c r="B210" s="69" t="s">
        <v>5473</v>
      </c>
      <c r="C210" s="112" t="s">
        <v>5487</v>
      </c>
      <c r="D210" s="69"/>
      <c r="E210" s="69" t="s">
        <v>6056</v>
      </c>
      <c r="F210" s="118"/>
      <c r="G210" s="69" t="s">
        <v>149</v>
      </c>
      <c r="H210" s="116" t="s">
        <v>1369</v>
      </c>
      <c r="I210" s="114">
        <f t="array" ref="I210">XLOOKUP(G210,KLUS!$A$2:$A$2010,KLUS!$E$2:$E$2010)+XLOOKUP(H210,KLUS!$A$2:$A$2010,KLUS!$E$2:$E$2010)</f>
        <v>33.9</v>
      </c>
      <c r="J210" s="114">
        <f t="shared" si="1"/>
        <v>30.51</v>
      </c>
      <c r="K210" s="115">
        <f t="shared" si="2"/>
        <v>24.408</v>
      </c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</row>
    <row r="211" ht="15.75" customHeight="1">
      <c r="A211" s="69" t="s">
        <v>6057</v>
      </c>
      <c r="B211" s="69" t="s">
        <v>5473</v>
      </c>
      <c r="C211" s="112" t="s">
        <v>6058</v>
      </c>
      <c r="D211" s="69"/>
      <c r="E211" s="69" t="s">
        <v>6059</v>
      </c>
      <c r="F211" s="118"/>
      <c r="G211" s="69" t="s">
        <v>152</v>
      </c>
      <c r="H211" s="113" t="s">
        <v>1372</v>
      </c>
      <c r="I211" s="114">
        <f t="array" ref="I211">XLOOKUP(G211,KLUS!$A$2:$A$2010,KLUS!$E$2:$E$2010)+XLOOKUP(H211,KLUS!$A$2:$A$2010,KLUS!$E$2:$E$2010)</f>
        <v>67.8</v>
      </c>
      <c r="J211" s="114">
        <f t="shared" si="1"/>
        <v>61.02</v>
      </c>
      <c r="K211" s="115">
        <f t="shared" si="2"/>
        <v>48.816</v>
      </c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</row>
    <row r="212" ht="15.75" customHeight="1">
      <c r="A212" s="69" t="s">
        <v>6060</v>
      </c>
      <c r="B212" s="69" t="s">
        <v>5473</v>
      </c>
      <c r="C212" s="112" t="s">
        <v>6061</v>
      </c>
      <c r="D212" s="69"/>
      <c r="E212" s="69" t="s">
        <v>6062</v>
      </c>
      <c r="F212" s="118"/>
      <c r="G212" s="69" t="s">
        <v>152</v>
      </c>
      <c r="H212" s="116" t="s">
        <v>1359</v>
      </c>
      <c r="I212" s="114">
        <f t="array" ref="I212">XLOOKUP(G212,KLUS!$A$2:$A$2010,KLUS!$E$2:$E$2010)+XLOOKUP(H212,KLUS!$A$2:$A$2010,KLUS!$E$2:$E$2010)</f>
        <v>56.3</v>
      </c>
      <c r="J212" s="114">
        <f t="shared" si="1"/>
        <v>50.67</v>
      </c>
      <c r="K212" s="115">
        <f t="shared" si="2"/>
        <v>40.536</v>
      </c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</row>
    <row r="213" ht="15.75" customHeight="1">
      <c r="A213" s="69" t="s">
        <v>4376</v>
      </c>
      <c r="B213" s="69" t="s">
        <v>5473</v>
      </c>
      <c r="C213" s="112" t="s">
        <v>6063</v>
      </c>
      <c r="D213" s="69"/>
      <c r="E213" s="69" t="s">
        <v>4377</v>
      </c>
      <c r="F213" s="69" t="s">
        <v>6064</v>
      </c>
      <c r="G213" s="69" t="s">
        <v>6065</v>
      </c>
      <c r="H213" s="119"/>
      <c r="I213" s="114" t="str">
        <f t="array" ref="I213">XLOOKUP(G213,KLUS!$A$2:$A$2010,KLUS!$E$2:$E$2010)+XLOOKUP(H213,KLUS!$A$2:$A$2010,KLUS!$E$2:$E$2010)</f>
        <v>#N/A</v>
      </c>
      <c r="J213" s="114" t="str">
        <f t="shared" si="1"/>
        <v>#N/A</v>
      </c>
      <c r="K213" s="115" t="str">
        <f t="shared" si="2"/>
        <v>#N/A</v>
      </c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</row>
    <row r="214" ht="15.75" customHeight="1">
      <c r="A214" s="69" t="s">
        <v>4378</v>
      </c>
      <c r="B214" s="69" t="s">
        <v>5486</v>
      </c>
      <c r="C214" s="112" t="s">
        <v>6066</v>
      </c>
      <c r="D214" s="69"/>
      <c r="E214" s="69" t="s">
        <v>4379</v>
      </c>
      <c r="F214" s="69" t="s">
        <v>6067</v>
      </c>
      <c r="G214" s="69" t="s">
        <v>6068</v>
      </c>
      <c r="H214" s="119"/>
      <c r="I214" s="114" t="str">
        <f t="array" ref="I214">XLOOKUP(G214,KLUS!$A$2:$A$2010,KLUS!$E$2:$E$2010)+XLOOKUP(H214,KLUS!$A$2:$A$2010,KLUS!$E$2:$E$2010)</f>
        <v>#N/A</v>
      </c>
      <c r="J214" s="114" t="str">
        <f t="shared" si="1"/>
        <v>#N/A</v>
      </c>
      <c r="K214" s="115" t="str">
        <f t="shared" si="2"/>
        <v>#N/A</v>
      </c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</row>
    <row r="215" ht="15.75" customHeight="1">
      <c r="A215" s="69" t="s">
        <v>4380</v>
      </c>
      <c r="B215" s="69" t="s">
        <v>5473</v>
      </c>
      <c r="C215" s="112" t="s">
        <v>6069</v>
      </c>
      <c r="D215" s="69"/>
      <c r="E215" s="69" t="s">
        <v>6070</v>
      </c>
      <c r="F215" s="118"/>
      <c r="G215" s="69" t="s">
        <v>6068</v>
      </c>
      <c r="H215" s="116" t="s">
        <v>1394</v>
      </c>
      <c r="I215" s="114" t="str">
        <f t="array" ref="I215">XLOOKUP(G215,KLUS!$A$2:$A$2010,KLUS!$E$2:$E$2010)+XLOOKUP(H215,KLUS!$A$2:$A$2010,KLUS!$E$2:$E$2010)</f>
        <v>#N/A</v>
      </c>
      <c r="J215" s="114" t="str">
        <f t="shared" si="1"/>
        <v>#N/A</v>
      </c>
      <c r="K215" s="115" t="str">
        <f t="shared" si="2"/>
        <v>#N/A</v>
      </c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</row>
    <row r="216" ht="15.75" customHeight="1">
      <c r="A216" s="69" t="s">
        <v>4382</v>
      </c>
      <c r="B216" s="69" t="s">
        <v>5473</v>
      </c>
      <c r="C216" s="112" t="s">
        <v>6071</v>
      </c>
      <c r="D216" s="69"/>
      <c r="E216" s="69" t="s">
        <v>4383</v>
      </c>
      <c r="F216" s="69" t="s">
        <v>6072</v>
      </c>
      <c r="G216" s="69" t="s">
        <v>6068</v>
      </c>
      <c r="H216" s="116" t="s">
        <v>1369</v>
      </c>
      <c r="I216" s="114" t="str">
        <f t="array" ref="I216">XLOOKUP(G216,KLUS!$A$2:$A$2010,KLUS!$E$2:$E$2010)+XLOOKUP(H216,KLUS!$A$2:$A$2010,KLUS!$E$2:$E$2010)</f>
        <v>#N/A</v>
      </c>
      <c r="J216" s="114" t="str">
        <f t="shared" si="1"/>
        <v>#N/A</v>
      </c>
      <c r="K216" s="115" t="str">
        <f t="shared" si="2"/>
        <v>#N/A</v>
      </c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</row>
    <row r="217" ht="15.75" customHeight="1">
      <c r="A217" s="69" t="s">
        <v>4384</v>
      </c>
      <c r="B217" s="69" t="s">
        <v>5486</v>
      </c>
      <c r="C217" s="112" t="s">
        <v>6073</v>
      </c>
      <c r="D217" s="69"/>
      <c r="E217" s="69" t="s">
        <v>6074</v>
      </c>
      <c r="F217" s="69" t="s">
        <v>6075</v>
      </c>
      <c r="G217" s="69" t="s">
        <v>6068</v>
      </c>
      <c r="H217" s="113" t="s">
        <v>1356</v>
      </c>
      <c r="I217" s="114" t="str">
        <f t="array" ref="I217">XLOOKUP(G217,KLUS!$A$2:$A$2010,KLUS!$E$2:$E$2010)+XLOOKUP(H217,KLUS!$A$2:$A$2010,KLUS!$E$2:$E$2010)</f>
        <v>#N/A</v>
      </c>
      <c r="J217" s="114" t="str">
        <f t="shared" si="1"/>
        <v>#N/A</v>
      </c>
      <c r="K217" s="115" t="str">
        <f t="shared" si="2"/>
        <v>#N/A</v>
      </c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</row>
    <row r="218" ht="15.75" customHeight="1">
      <c r="A218" s="69" t="s">
        <v>4386</v>
      </c>
      <c r="B218" s="69" t="s">
        <v>5473</v>
      </c>
      <c r="C218" s="112" t="s">
        <v>6071</v>
      </c>
      <c r="D218" s="69"/>
      <c r="E218" s="69" t="s">
        <v>4387</v>
      </c>
      <c r="F218" s="69" t="s">
        <v>6076</v>
      </c>
      <c r="G218" s="69" t="s">
        <v>6068</v>
      </c>
      <c r="H218" s="113" t="s">
        <v>6077</v>
      </c>
      <c r="I218" s="114" t="str">
        <f t="array" ref="I218">XLOOKUP(G218,KLUS!$A$2:$A$2010,KLUS!$E$2:$E$2010)+XLOOKUP(H218,KLUS!$A$2:$A$2010,KLUS!$E$2:$E$2010)</f>
        <v>#N/A</v>
      </c>
      <c r="J218" s="114" t="str">
        <f t="shared" si="1"/>
        <v>#N/A</v>
      </c>
      <c r="K218" s="115" t="str">
        <f t="shared" si="2"/>
        <v>#N/A</v>
      </c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</row>
    <row r="219" ht="15.75" customHeight="1">
      <c r="A219" s="69" t="s">
        <v>4388</v>
      </c>
      <c r="B219" s="69" t="s">
        <v>5473</v>
      </c>
      <c r="C219" s="112" t="s">
        <v>6073</v>
      </c>
      <c r="D219" s="69"/>
      <c r="E219" s="69" t="s">
        <v>6078</v>
      </c>
      <c r="F219" s="69" t="s">
        <v>6079</v>
      </c>
      <c r="G219" s="69" t="s">
        <v>6068</v>
      </c>
      <c r="H219" s="113" t="s">
        <v>1363</v>
      </c>
      <c r="I219" s="114" t="str">
        <f t="array" ref="I219">XLOOKUP(G219,KLUS!$A$2:$A$2010,KLUS!$E$2:$E$2010)+XLOOKUP(H219,KLUS!$A$2:$A$2010,KLUS!$E$2:$E$2010)</f>
        <v>#N/A</v>
      </c>
      <c r="J219" s="114" t="str">
        <f t="shared" si="1"/>
        <v>#N/A</v>
      </c>
      <c r="K219" s="115" t="str">
        <f t="shared" si="2"/>
        <v>#N/A</v>
      </c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</row>
    <row r="220" ht="15.75" customHeight="1">
      <c r="A220" s="69" t="s">
        <v>4390</v>
      </c>
      <c r="B220" s="69" t="s">
        <v>5473</v>
      </c>
      <c r="C220" s="112" t="s">
        <v>6066</v>
      </c>
      <c r="D220" s="69"/>
      <c r="E220" s="69" t="s">
        <v>4391</v>
      </c>
      <c r="F220" s="69" t="s">
        <v>6080</v>
      </c>
      <c r="G220" s="69" t="s">
        <v>6081</v>
      </c>
      <c r="H220" s="119"/>
      <c r="I220" s="114" t="str">
        <f t="array" ref="I220">XLOOKUP(G220,KLUS!$A$2:$A$2010,KLUS!$E$2:$E$2010)+XLOOKUP(H220,KLUS!$A$2:$A$2010,KLUS!$E$2:$E$2010)</f>
        <v>#N/A</v>
      </c>
      <c r="J220" s="114" t="str">
        <f t="shared" si="1"/>
        <v>#N/A</v>
      </c>
      <c r="K220" s="115" t="str">
        <f t="shared" si="2"/>
        <v>#N/A</v>
      </c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</row>
    <row r="221" ht="15.75" customHeight="1">
      <c r="A221" s="69" t="s">
        <v>4392</v>
      </c>
      <c r="B221" s="69" t="s">
        <v>5473</v>
      </c>
      <c r="C221" s="112" t="s">
        <v>6082</v>
      </c>
      <c r="D221" s="69"/>
      <c r="E221" s="69" t="s">
        <v>4393</v>
      </c>
      <c r="F221" s="118"/>
      <c r="G221" s="69" t="s">
        <v>6083</v>
      </c>
      <c r="H221" s="116" t="s">
        <v>1369</v>
      </c>
      <c r="I221" s="114" t="str">
        <f t="array" ref="I221">XLOOKUP(G221,KLUS!$A$2:$A$2010,KLUS!$E$2:$E$2010)+XLOOKUP(H221,KLUS!$A$2:$A$2010,KLUS!$E$2:$E$2010)</f>
        <v>#N/A</v>
      </c>
      <c r="J221" s="114" t="str">
        <f t="shared" si="1"/>
        <v>#N/A</v>
      </c>
      <c r="K221" s="115" t="str">
        <f t="shared" si="2"/>
        <v>#N/A</v>
      </c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</row>
    <row r="222" ht="15.75" customHeight="1">
      <c r="A222" s="69" t="s">
        <v>4394</v>
      </c>
      <c r="B222" s="69" t="s">
        <v>5473</v>
      </c>
      <c r="C222" s="112" t="s">
        <v>6084</v>
      </c>
      <c r="D222" s="69"/>
      <c r="E222" s="69" t="s">
        <v>4395</v>
      </c>
      <c r="F222" s="69" t="s">
        <v>6085</v>
      </c>
      <c r="G222" s="69" t="s">
        <v>6086</v>
      </c>
      <c r="H222" s="119"/>
      <c r="I222" s="114" t="str">
        <f t="array" ref="I222">XLOOKUP(G222,KLUS!$A$2:$A$2010,KLUS!$E$2:$E$2010)+XLOOKUP(H222,KLUS!$A$2:$A$2010,KLUS!$E$2:$E$2010)</f>
        <v>#N/A</v>
      </c>
      <c r="J222" s="114" t="str">
        <f t="shared" si="1"/>
        <v>#N/A</v>
      </c>
      <c r="K222" s="115" t="str">
        <f t="shared" si="2"/>
        <v>#N/A</v>
      </c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</row>
    <row r="223" ht="15.75" customHeight="1">
      <c r="A223" s="69" t="s">
        <v>4396</v>
      </c>
      <c r="B223" s="69" t="s">
        <v>5473</v>
      </c>
      <c r="C223" s="112" t="s">
        <v>6087</v>
      </c>
      <c r="D223" s="69"/>
      <c r="E223" s="69" t="s">
        <v>6088</v>
      </c>
      <c r="F223" s="118"/>
      <c r="G223" s="69" t="s">
        <v>6086</v>
      </c>
      <c r="H223" s="116" t="s">
        <v>1369</v>
      </c>
      <c r="I223" s="114" t="str">
        <f t="array" ref="I223">XLOOKUP(G223,KLUS!$A$2:$A$2010,KLUS!$E$2:$E$2010)+XLOOKUP(H223,KLUS!$A$2:$A$2010,KLUS!$E$2:$E$2010)</f>
        <v>#N/A</v>
      </c>
      <c r="J223" s="114" t="str">
        <f t="shared" si="1"/>
        <v>#N/A</v>
      </c>
      <c r="K223" s="115" t="str">
        <f t="shared" si="2"/>
        <v>#N/A</v>
      </c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</row>
    <row r="224" ht="15.75" customHeight="1">
      <c r="A224" s="69" t="s">
        <v>4398</v>
      </c>
      <c r="B224" s="69" t="s">
        <v>5473</v>
      </c>
      <c r="C224" s="112" t="s">
        <v>6089</v>
      </c>
      <c r="D224" s="69"/>
      <c r="E224" s="69" t="s">
        <v>4399</v>
      </c>
      <c r="F224" s="69" t="s">
        <v>6090</v>
      </c>
      <c r="G224" s="69" t="s">
        <v>6091</v>
      </c>
      <c r="H224" s="119"/>
      <c r="I224" s="114" t="str">
        <f t="array" ref="I224">XLOOKUP(G224,KLUS!$A$2:$A$2010,KLUS!$E$2:$E$2010)+XLOOKUP(H224,KLUS!$A$2:$A$2010,KLUS!$E$2:$E$2010)</f>
        <v>#N/A</v>
      </c>
      <c r="J224" s="114" t="str">
        <f t="shared" si="1"/>
        <v>#N/A</v>
      </c>
      <c r="K224" s="115" t="str">
        <f t="shared" si="2"/>
        <v>#N/A</v>
      </c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</row>
    <row r="225" ht="15.75" customHeight="1">
      <c r="A225" s="69" t="s">
        <v>4400</v>
      </c>
      <c r="B225" s="69" t="s">
        <v>5473</v>
      </c>
      <c r="C225" s="112" t="s">
        <v>6082</v>
      </c>
      <c r="D225" s="69"/>
      <c r="E225" s="69" t="s">
        <v>6092</v>
      </c>
      <c r="F225" s="118"/>
      <c r="G225" s="69" t="s">
        <v>6093</v>
      </c>
      <c r="H225" s="116" t="s">
        <v>1369</v>
      </c>
      <c r="I225" s="114" t="str">
        <f t="array" ref="I225">XLOOKUP(G225,KLUS!$A$2:$A$2010,KLUS!$E$2:$E$2010)+XLOOKUP(H225,KLUS!$A$2:$A$2010,KLUS!$E$2:$E$2010)</f>
        <v>#N/A</v>
      </c>
      <c r="J225" s="114" t="str">
        <f t="shared" si="1"/>
        <v>#N/A</v>
      </c>
      <c r="K225" s="115" t="str">
        <f t="shared" si="2"/>
        <v>#N/A</v>
      </c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</row>
    <row r="226" ht="15.75" customHeight="1">
      <c r="A226" s="69" t="s">
        <v>4402</v>
      </c>
      <c r="B226" s="69" t="s">
        <v>5473</v>
      </c>
      <c r="C226" s="112" t="s">
        <v>6094</v>
      </c>
      <c r="D226" s="69"/>
      <c r="E226" s="69" t="s">
        <v>4403</v>
      </c>
      <c r="F226" s="69" t="s">
        <v>6095</v>
      </c>
      <c r="G226" s="69" t="s">
        <v>6096</v>
      </c>
      <c r="H226" s="116" t="s">
        <v>1369</v>
      </c>
      <c r="I226" s="114" t="str">
        <f t="array" ref="I226">XLOOKUP(G226,KLUS!$A$2:$A$2010,KLUS!$E$2:$E$2010)+XLOOKUP(H226,KLUS!$A$2:$A$2010,KLUS!$E$2:$E$2010)</f>
        <v>#N/A</v>
      </c>
      <c r="J226" s="114" t="str">
        <f t="shared" si="1"/>
        <v>#N/A</v>
      </c>
      <c r="K226" s="115" t="str">
        <f t="shared" si="2"/>
        <v>#N/A</v>
      </c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</row>
    <row r="227" ht="15.75" customHeight="1">
      <c r="A227" s="69" t="s">
        <v>4404</v>
      </c>
      <c r="B227" s="69" t="s">
        <v>5473</v>
      </c>
      <c r="C227" s="112" t="s">
        <v>6097</v>
      </c>
      <c r="D227" s="69"/>
      <c r="E227" s="69" t="s">
        <v>4405</v>
      </c>
      <c r="F227" s="69" t="s">
        <v>6098</v>
      </c>
      <c r="G227" s="69" t="s">
        <v>6096</v>
      </c>
      <c r="H227" s="116" t="s">
        <v>1356</v>
      </c>
      <c r="I227" s="114" t="str">
        <f t="array" ref="I227">XLOOKUP(G227,KLUS!$A$2:$A$2010,KLUS!$E$2:$E$2010)+XLOOKUP(H227,KLUS!$A$2:$A$2010,KLUS!$E$2:$E$2010)</f>
        <v>#N/A</v>
      </c>
      <c r="J227" s="114" t="str">
        <f t="shared" si="1"/>
        <v>#N/A</v>
      </c>
      <c r="K227" s="115" t="str">
        <f t="shared" si="2"/>
        <v>#N/A</v>
      </c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</row>
    <row r="228" ht="15.75" customHeight="1">
      <c r="A228" s="69" t="s">
        <v>4406</v>
      </c>
      <c r="B228" s="69" t="s">
        <v>5473</v>
      </c>
      <c r="C228" s="112" t="s">
        <v>6099</v>
      </c>
      <c r="D228" s="69"/>
      <c r="E228" s="69" t="s">
        <v>6100</v>
      </c>
      <c r="F228" s="118"/>
      <c r="G228" s="69" t="s">
        <v>6096</v>
      </c>
      <c r="H228" s="113" t="s">
        <v>1406</v>
      </c>
      <c r="I228" s="114" t="str">
        <f t="array" ref="I228">XLOOKUP(G228,KLUS!$A$2:$A$2010,KLUS!$E$2:$E$2010)+XLOOKUP(H228,KLUS!$A$2:$A$2010,KLUS!$E$2:$E$2010)</f>
        <v>#N/A</v>
      </c>
      <c r="J228" s="114" t="str">
        <f t="shared" si="1"/>
        <v>#N/A</v>
      </c>
      <c r="K228" s="115" t="str">
        <f t="shared" si="2"/>
        <v>#N/A</v>
      </c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</row>
    <row r="229" ht="15.75" customHeight="1">
      <c r="A229" s="69" t="s">
        <v>4408</v>
      </c>
      <c r="B229" s="69" t="s">
        <v>5473</v>
      </c>
      <c r="C229" s="112" t="s">
        <v>6101</v>
      </c>
      <c r="D229" s="69"/>
      <c r="E229" s="69" t="s">
        <v>4409</v>
      </c>
      <c r="F229" s="69" t="s">
        <v>6102</v>
      </c>
      <c r="G229" s="69" t="s">
        <v>6096</v>
      </c>
      <c r="H229" s="113" t="s">
        <v>1376</v>
      </c>
      <c r="I229" s="114" t="str">
        <f t="array" ref="I229">XLOOKUP(G229,KLUS!$A$2:$A$2010,KLUS!$E$2:$E$2010)+XLOOKUP(H229,KLUS!$A$2:$A$2010,KLUS!$E$2:$E$2010)</f>
        <v>#N/A</v>
      </c>
      <c r="J229" s="114" t="str">
        <f t="shared" si="1"/>
        <v>#N/A</v>
      </c>
      <c r="K229" s="115" t="str">
        <f t="shared" si="2"/>
        <v>#N/A</v>
      </c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</row>
    <row r="230" ht="15.75" customHeight="1">
      <c r="A230" s="69" t="s">
        <v>4410</v>
      </c>
      <c r="B230" s="69" t="s">
        <v>5473</v>
      </c>
      <c r="C230" s="112" t="s">
        <v>6097</v>
      </c>
      <c r="D230" s="69"/>
      <c r="E230" s="69" t="s">
        <v>4411</v>
      </c>
      <c r="F230" s="69" t="s">
        <v>6103</v>
      </c>
      <c r="G230" s="69" t="s">
        <v>6096</v>
      </c>
      <c r="H230" s="113" t="s">
        <v>1363</v>
      </c>
      <c r="I230" s="114" t="str">
        <f t="array" ref="I230">XLOOKUP(G230,KLUS!$A$2:$A$2010,KLUS!$E$2:$E$2010)+XLOOKUP(H230,KLUS!$A$2:$A$2010,KLUS!$E$2:$E$2010)</f>
        <v>#N/A</v>
      </c>
      <c r="J230" s="114" t="str">
        <f t="shared" si="1"/>
        <v>#N/A</v>
      </c>
      <c r="K230" s="115" t="str">
        <f t="shared" si="2"/>
        <v>#N/A</v>
      </c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</row>
    <row r="231" ht="15.75" customHeight="1">
      <c r="A231" s="69" t="s">
        <v>250</v>
      </c>
      <c r="B231" s="69" t="s">
        <v>5473</v>
      </c>
      <c r="C231" s="112" t="s">
        <v>6104</v>
      </c>
      <c r="D231" s="69"/>
      <c r="E231" s="69" t="s">
        <v>4412</v>
      </c>
      <c r="F231" s="69" t="s">
        <v>6105</v>
      </c>
      <c r="G231" s="69" t="s">
        <v>249</v>
      </c>
      <c r="H231" s="119"/>
      <c r="I231" s="114" t="str">
        <f t="array" ref="I231">XLOOKUP(G231,KLUS!$A$2:$A$2010,KLUS!$E$2:$E$2010)+XLOOKUP(H231,KLUS!$A$2:$A$2010,KLUS!$E$2:$E$2010)</f>
        <v>#N/A</v>
      </c>
      <c r="J231" s="114" t="str">
        <f t="shared" si="1"/>
        <v>#N/A</v>
      </c>
      <c r="K231" s="115" t="str">
        <f t="shared" si="2"/>
        <v>#N/A</v>
      </c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</row>
    <row r="232" ht="15.75" customHeight="1">
      <c r="A232" s="69" t="s">
        <v>4413</v>
      </c>
      <c r="B232" s="69" t="s">
        <v>5473</v>
      </c>
      <c r="C232" s="112" t="s">
        <v>6106</v>
      </c>
      <c r="D232" s="69"/>
      <c r="E232" s="69" t="s">
        <v>4414</v>
      </c>
      <c r="F232" s="69" t="s">
        <v>6107</v>
      </c>
      <c r="G232" s="69" t="s">
        <v>6108</v>
      </c>
      <c r="H232" s="119"/>
      <c r="I232" s="114" t="str">
        <f t="array" ref="I232">XLOOKUP(G232,KLUS!$A$2:$A$2010,KLUS!$E$2:$E$2010)+XLOOKUP(H232,KLUS!$A$2:$A$2010,KLUS!$E$2:$E$2010)</f>
        <v>#N/A</v>
      </c>
      <c r="J232" s="114" t="str">
        <f t="shared" si="1"/>
        <v>#N/A</v>
      </c>
      <c r="K232" s="115" t="str">
        <f t="shared" si="2"/>
        <v>#N/A</v>
      </c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</row>
    <row r="233" ht="15.75" customHeight="1">
      <c r="A233" s="69" t="s">
        <v>4415</v>
      </c>
      <c r="B233" s="69" t="s">
        <v>5486</v>
      </c>
      <c r="C233" s="112" t="s">
        <v>6109</v>
      </c>
      <c r="D233" s="69"/>
      <c r="E233" s="69" t="s">
        <v>6110</v>
      </c>
      <c r="F233" s="69" t="s">
        <v>6111</v>
      </c>
      <c r="G233" s="69" t="s">
        <v>6108</v>
      </c>
      <c r="H233" s="113" t="s">
        <v>1396</v>
      </c>
      <c r="I233" s="114" t="str">
        <f t="array" ref="I233">XLOOKUP(G233,KLUS!$A$2:$A$2010,KLUS!$E$2:$E$2010)+XLOOKUP(H233,KLUS!$A$2:$A$2010,KLUS!$E$2:$E$2010)</f>
        <v>#N/A</v>
      </c>
      <c r="J233" s="114" t="str">
        <f t="shared" si="1"/>
        <v>#N/A</v>
      </c>
      <c r="K233" s="115" t="str">
        <f t="shared" si="2"/>
        <v>#N/A</v>
      </c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</row>
    <row r="234" ht="15.75" customHeight="1">
      <c r="A234" s="69" t="s">
        <v>4417</v>
      </c>
      <c r="B234" s="69" t="s">
        <v>5473</v>
      </c>
      <c r="C234" s="112" t="s">
        <v>6112</v>
      </c>
      <c r="D234" s="69"/>
      <c r="E234" s="69" t="s">
        <v>4418</v>
      </c>
      <c r="F234" s="69" t="s">
        <v>6113</v>
      </c>
      <c r="G234" s="69" t="s">
        <v>6108</v>
      </c>
      <c r="H234" s="113" t="s">
        <v>1372</v>
      </c>
      <c r="I234" s="114" t="str">
        <f t="array" ref="I234">XLOOKUP(G234,KLUS!$A$2:$A$2010,KLUS!$E$2:$E$2010)+XLOOKUP(H234,KLUS!$A$2:$A$2010,KLUS!$E$2:$E$2010)</f>
        <v>#N/A</v>
      </c>
      <c r="J234" s="114" t="str">
        <f t="shared" si="1"/>
        <v>#N/A</v>
      </c>
      <c r="K234" s="115" t="str">
        <f t="shared" si="2"/>
        <v>#N/A</v>
      </c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</row>
    <row r="235" ht="15.75" customHeight="1">
      <c r="A235" s="69" t="s">
        <v>4419</v>
      </c>
      <c r="B235" s="69" t="s">
        <v>5486</v>
      </c>
      <c r="C235" s="112" t="s">
        <v>6114</v>
      </c>
      <c r="D235" s="69"/>
      <c r="E235" s="69" t="s">
        <v>6115</v>
      </c>
      <c r="F235" s="69" t="s">
        <v>6116</v>
      </c>
      <c r="G235" s="69" t="s">
        <v>6108</v>
      </c>
      <c r="H235" s="116" t="s">
        <v>1359</v>
      </c>
      <c r="I235" s="114" t="str">
        <f t="array" ref="I235">XLOOKUP(G235,KLUS!$A$2:$A$2010,KLUS!$E$2:$E$2010)+XLOOKUP(H235,KLUS!$A$2:$A$2010,KLUS!$E$2:$E$2010)</f>
        <v>#N/A</v>
      </c>
      <c r="J235" s="114" t="str">
        <f t="shared" si="1"/>
        <v>#N/A</v>
      </c>
      <c r="K235" s="115" t="str">
        <f t="shared" si="2"/>
        <v>#N/A</v>
      </c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</row>
    <row r="236" ht="15.75" customHeight="1">
      <c r="A236" s="69" t="s">
        <v>4421</v>
      </c>
      <c r="B236" s="69" t="s">
        <v>5473</v>
      </c>
      <c r="C236" s="112" t="s">
        <v>6109</v>
      </c>
      <c r="D236" s="69"/>
      <c r="E236" s="69" t="s">
        <v>6117</v>
      </c>
      <c r="F236" s="118"/>
      <c r="G236" s="69" t="s">
        <v>6108</v>
      </c>
      <c r="H236" s="116" t="s">
        <v>1402</v>
      </c>
      <c r="I236" s="114" t="str">
        <f t="array" ref="I236">XLOOKUP(G236,KLUS!$A$2:$A$2010,KLUS!$E$2:$E$2010)+XLOOKUP(H236,KLUS!$A$2:$A$2010,KLUS!$E$2:$E$2010)</f>
        <v>#N/A</v>
      </c>
      <c r="J236" s="114" t="str">
        <f t="shared" si="1"/>
        <v>#N/A</v>
      </c>
      <c r="K236" s="115" t="str">
        <f t="shared" si="2"/>
        <v>#N/A</v>
      </c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</row>
    <row r="237" ht="15.75" customHeight="1">
      <c r="A237" s="69" t="s">
        <v>4423</v>
      </c>
      <c r="B237" s="69" t="s">
        <v>5473</v>
      </c>
      <c r="C237" s="112" t="s">
        <v>6112</v>
      </c>
      <c r="D237" s="69"/>
      <c r="E237" s="69" t="s">
        <v>4424</v>
      </c>
      <c r="F237" s="69" t="s">
        <v>6118</v>
      </c>
      <c r="G237" s="69" t="s">
        <v>6108</v>
      </c>
      <c r="H237" s="116" t="s">
        <v>1378</v>
      </c>
      <c r="I237" s="114" t="str">
        <f t="array" ref="I237">XLOOKUP(G237,KLUS!$A$2:$A$2010,KLUS!$E$2:$E$2010)+XLOOKUP(H237,KLUS!$A$2:$A$2010,KLUS!$E$2:$E$2010)</f>
        <v>#N/A</v>
      </c>
      <c r="J237" s="114" t="str">
        <f t="shared" si="1"/>
        <v>#N/A</v>
      </c>
      <c r="K237" s="115" t="str">
        <f t="shared" si="2"/>
        <v>#N/A</v>
      </c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</row>
    <row r="238" ht="15.75" customHeight="1">
      <c r="A238" s="69" t="s">
        <v>4425</v>
      </c>
      <c r="B238" s="69" t="s">
        <v>5473</v>
      </c>
      <c r="C238" s="112" t="s">
        <v>6119</v>
      </c>
      <c r="D238" s="69"/>
      <c r="E238" s="69" t="s">
        <v>6120</v>
      </c>
      <c r="F238" s="69" t="s">
        <v>6121</v>
      </c>
      <c r="G238" s="69" t="s">
        <v>6108</v>
      </c>
      <c r="H238" s="113" t="s">
        <v>1365</v>
      </c>
      <c r="I238" s="114" t="str">
        <f t="array" ref="I238">XLOOKUP(G238,KLUS!$A$2:$A$2010,KLUS!$E$2:$E$2010)+XLOOKUP(H238,KLUS!$A$2:$A$2010,KLUS!$E$2:$E$2010)</f>
        <v>#N/A</v>
      </c>
      <c r="J238" s="114" t="str">
        <f t="shared" si="1"/>
        <v>#N/A</v>
      </c>
      <c r="K238" s="115" t="str">
        <f t="shared" si="2"/>
        <v>#N/A</v>
      </c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</row>
    <row r="239" ht="15.75" customHeight="1">
      <c r="A239" s="69" t="s">
        <v>4427</v>
      </c>
      <c r="B239" s="69" t="s">
        <v>5473</v>
      </c>
      <c r="C239" s="112" t="s">
        <v>6106</v>
      </c>
      <c r="D239" s="69"/>
      <c r="E239" s="69" t="s">
        <v>4428</v>
      </c>
      <c r="F239" s="69" t="s">
        <v>6122</v>
      </c>
      <c r="G239" s="69" t="s">
        <v>6123</v>
      </c>
      <c r="H239" s="119"/>
      <c r="I239" s="114" t="str">
        <f t="array" ref="I239">XLOOKUP(G239,KLUS!$A$2:$A$2010,KLUS!$E$2:$E$2010)+XLOOKUP(H239,KLUS!$A$2:$A$2010,KLUS!$E$2:$E$2010)</f>
        <v>#N/A</v>
      </c>
      <c r="J239" s="114" t="str">
        <f t="shared" si="1"/>
        <v>#N/A</v>
      </c>
      <c r="K239" s="115" t="str">
        <f t="shared" si="2"/>
        <v>#N/A</v>
      </c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</row>
    <row r="240" ht="15.75" customHeight="1">
      <c r="A240" s="69" t="s">
        <v>4429</v>
      </c>
      <c r="B240" s="69" t="s">
        <v>5473</v>
      </c>
      <c r="C240" s="112" t="s">
        <v>6124</v>
      </c>
      <c r="D240" s="69"/>
      <c r="E240" s="69" t="s">
        <v>4430</v>
      </c>
      <c r="F240" s="118"/>
      <c r="G240" s="69" t="s">
        <v>6125</v>
      </c>
      <c r="H240" s="116" t="s">
        <v>1372</v>
      </c>
      <c r="I240" s="114" t="str">
        <f t="array" ref="I240">XLOOKUP(G240,KLUS!$A$2:$A$2010,KLUS!$E$2:$E$2010)+XLOOKUP(H240,KLUS!$A$2:$A$2010,KLUS!$E$2:$E$2010)</f>
        <v>#N/A</v>
      </c>
      <c r="J240" s="114" t="str">
        <f t="shared" si="1"/>
        <v>#N/A</v>
      </c>
      <c r="K240" s="115" t="str">
        <f t="shared" si="2"/>
        <v>#N/A</v>
      </c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</row>
    <row r="241" ht="15.75" customHeight="1">
      <c r="A241" s="69" t="s">
        <v>4431</v>
      </c>
      <c r="B241" s="69" t="s">
        <v>5473</v>
      </c>
      <c r="C241" s="112" t="s">
        <v>6124</v>
      </c>
      <c r="D241" s="69"/>
      <c r="E241" s="69" t="s">
        <v>4432</v>
      </c>
      <c r="F241" s="118"/>
      <c r="G241" s="69" t="s">
        <v>6125</v>
      </c>
      <c r="H241" s="116" t="s">
        <v>1378</v>
      </c>
      <c r="I241" s="114" t="str">
        <f t="array" ref="I241">XLOOKUP(G241,KLUS!$A$2:$A$2010,KLUS!$E$2:$E$2010)+XLOOKUP(H241,KLUS!$A$2:$A$2010,KLUS!$E$2:$E$2010)</f>
        <v>#N/A</v>
      </c>
      <c r="J241" s="114" t="str">
        <f t="shared" si="1"/>
        <v>#N/A</v>
      </c>
      <c r="K241" s="115" t="str">
        <f t="shared" si="2"/>
        <v>#N/A</v>
      </c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</row>
    <row r="242" ht="15.75" customHeight="1">
      <c r="A242" s="69" t="s">
        <v>4433</v>
      </c>
      <c r="B242" s="69" t="s">
        <v>5473</v>
      </c>
      <c r="C242" s="112" t="s">
        <v>6126</v>
      </c>
      <c r="D242" s="69"/>
      <c r="E242" s="69" t="s">
        <v>4434</v>
      </c>
      <c r="F242" s="69" t="s">
        <v>6127</v>
      </c>
      <c r="G242" s="69" t="s">
        <v>6128</v>
      </c>
      <c r="H242" s="119"/>
      <c r="I242" s="114" t="str">
        <f t="array" ref="I242">XLOOKUP(G242,KLUS!$A$2:$A$2010,KLUS!$E$2:$E$2010)+XLOOKUP(H242,KLUS!$A$2:$A$2010,KLUS!$E$2:$E$2010)</f>
        <v>#N/A</v>
      </c>
      <c r="J242" s="114" t="str">
        <f t="shared" si="1"/>
        <v>#N/A</v>
      </c>
      <c r="K242" s="115" t="str">
        <f t="shared" si="2"/>
        <v>#N/A</v>
      </c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</row>
    <row r="243" ht="15.75" customHeight="1">
      <c r="A243" s="69" t="s">
        <v>4435</v>
      </c>
      <c r="B243" s="69" t="s">
        <v>5473</v>
      </c>
      <c r="C243" s="112" t="s">
        <v>6129</v>
      </c>
      <c r="D243" s="69"/>
      <c r="E243" s="69" t="s">
        <v>4436</v>
      </c>
      <c r="F243" s="69" t="s">
        <v>6130</v>
      </c>
      <c r="G243" s="69" t="s">
        <v>6131</v>
      </c>
      <c r="H243" s="119"/>
      <c r="I243" s="114" t="str">
        <f t="array" ref="I243">XLOOKUP(G243,KLUS!$A$2:$A$2010,KLUS!$E$2:$E$2010)+XLOOKUP(H243,KLUS!$A$2:$A$2010,KLUS!$E$2:$E$2010)</f>
        <v>#N/A</v>
      </c>
      <c r="J243" s="114" t="str">
        <f t="shared" si="1"/>
        <v>#N/A</v>
      </c>
      <c r="K243" s="115" t="str">
        <f t="shared" si="2"/>
        <v>#N/A</v>
      </c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</row>
    <row r="244" ht="15.75" customHeight="1">
      <c r="A244" s="69" t="s">
        <v>4437</v>
      </c>
      <c r="B244" s="69" t="s">
        <v>5473</v>
      </c>
      <c r="C244" s="112" t="s">
        <v>6132</v>
      </c>
      <c r="D244" s="69"/>
      <c r="E244" s="69" t="s">
        <v>6133</v>
      </c>
      <c r="F244" s="118"/>
      <c r="G244" s="69" t="s">
        <v>6131</v>
      </c>
      <c r="H244" s="113" t="s">
        <v>1372</v>
      </c>
      <c r="I244" s="114" t="str">
        <f t="array" ref="I244">XLOOKUP(G244,KLUS!$A$2:$A$2010,KLUS!$E$2:$E$2010)+XLOOKUP(H244,KLUS!$A$2:$A$2010,KLUS!$E$2:$E$2010)</f>
        <v>#N/A</v>
      </c>
      <c r="J244" s="114" t="str">
        <f t="shared" si="1"/>
        <v>#N/A</v>
      </c>
      <c r="K244" s="115" t="str">
        <f t="shared" si="2"/>
        <v>#N/A</v>
      </c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</row>
    <row r="245" ht="15.75" customHeight="1">
      <c r="A245" s="69" t="s">
        <v>4439</v>
      </c>
      <c r="B245" s="69" t="s">
        <v>5473</v>
      </c>
      <c r="C245" s="112" t="s">
        <v>6124</v>
      </c>
      <c r="D245" s="69"/>
      <c r="E245" s="69" t="s">
        <v>6134</v>
      </c>
      <c r="F245" s="118"/>
      <c r="G245" s="69" t="s">
        <v>6135</v>
      </c>
      <c r="H245" s="116" t="s">
        <v>1372</v>
      </c>
      <c r="I245" s="114" t="str">
        <f t="array" ref="I245">XLOOKUP(G245,KLUS!$A$2:$A$2010,KLUS!$E$2:$E$2010)+XLOOKUP(H245,KLUS!$A$2:$A$2010,KLUS!$E$2:$E$2010)</f>
        <v>#N/A</v>
      </c>
      <c r="J245" s="114" t="str">
        <f t="shared" si="1"/>
        <v>#N/A</v>
      </c>
      <c r="K245" s="115" t="str">
        <f t="shared" si="2"/>
        <v>#N/A</v>
      </c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</row>
    <row r="246" ht="15.75" customHeight="1">
      <c r="A246" s="69" t="s">
        <v>4441</v>
      </c>
      <c r="B246" s="69" t="s">
        <v>5473</v>
      </c>
      <c r="C246" s="112" t="s">
        <v>6136</v>
      </c>
      <c r="D246" s="69"/>
      <c r="E246" s="69" t="s">
        <v>6137</v>
      </c>
      <c r="F246" s="118"/>
      <c r="G246" s="69" t="s">
        <v>6138</v>
      </c>
      <c r="H246" s="116" t="s">
        <v>1396</v>
      </c>
      <c r="I246" s="114" t="str">
        <f t="array" ref="I246">XLOOKUP(G246,KLUS!$A$2:$A$2010,KLUS!$E$2:$E$2010)+XLOOKUP(H246,KLUS!$A$2:$A$2010,KLUS!$E$2:$E$2010)</f>
        <v>#N/A</v>
      </c>
      <c r="J246" s="114" t="str">
        <f t="shared" si="1"/>
        <v>#N/A</v>
      </c>
      <c r="K246" s="115" t="str">
        <f t="shared" si="2"/>
        <v>#N/A</v>
      </c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</row>
    <row r="247" ht="15.75" customHeight="1">
      <c r="A247" s="69" t="s">
        <v>4443</v>
      </c>
      <c r="B247" s="69" t="s">
        <v>5473</v>
      </c>
      <c r="C247" s="112" t="s">
        <v>6139</v>
      </c>
      <c r="D247" s="69"/>
      <c r="E247" s="69" t="s">
        <v>4444</v>
      </c>
      <c r="F247" s="69" t="s">
        <v>6140</v>
      </c>
      <c r="G247" s="69" t="s">
        <v>6138</v>
      </c>
      <c r="H247" s="116" t="s">
        <v>1372</v>
      </c>
      <c r="I247" s="114" t="str">
        <f t="array" ref="I247">XLOOKUP(G247,KLUS!$A$2:$A$2010,KLUS!$E$2:$E$2010)+XLOOKUP(H247,KLUS!$A$2:$A$2010,KLUS!$E$2:$E$2010)</f>
        <v>#N/A</v>
      </c>
      <c r="J247" s="114" t="str">
        <f t="shared" si="1"/>
        <v>#N/A</v>
      </c>
      <c r="K247" s="115" t="str">
        <f t="shared" si="2"/>
        <v>#N/A</v>
      </c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</row>
    <row r="248" ht="15.75" customHeight="1">
      <c r="A248" s="69" t="s">
        <v>4445</v>
      </c>
      <c r="B248" s="69" t="s">
        <v>5486</v>
      </c>
      <c r="C248" s="112" t="s">
        <v>6114</v>
      </c>
      <c r="D248" s="69"/>
      <c r="E248" s="69" t="s">
        <v>4446</v>
      </c>
      <c r="F248" s="69" t="s">
        <v>6141</v>
      </c>
      <c r="G248" s="69" t="s">
        <v>6138</v>
      </c>
      <c r="H248" s="113" t="s">
        <v>1359</v>
      </c>
      <c r="I248" s="114" t="str">
        <f t="array" ref="I248">XLOOKUP(G248,KLUS!$A$2:$A$2010,KLUS!$E$2:$E$2010)+XLOOKUP(H248,KLUS!$A$2:$A$2010,KLUS!$E$2:$E$2010)</f>
        <v>#N/A</v>
      </c>
      <c r="J248" s="114" t="str">
        <f t="shared" si="1"/>
        <v>#N/A</v>
      </c>
      <c r="K248" s="115" t="str">
        <f t="shared" si="2"/>
        <v>#N/A</v>
      </c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</row>
    <row r="249" ht="15.75" customHeight="1">
      <c r="A249" s="69" t="s">
        <v>4447</v>
      </c>
      <c r="B249" s="69" t="s">
        <v>5473</v>
      </c>
      <c r="C249" s="112" t="s">
        <v>6139</v>
      </c>
      <c r="D249" s="69"/>
      <c r="E249" s="69" t="s">
        <v>4448</v>
      </c>
      <c r="F249" s="69" t="s">
        <v>6142</v>
      </c>
      <c r="G249" s="69" t="s">
        <v>6138</v>
      </c>
      <c r="H249" s="113" t="s">
        <v>1378</v>
      </c>
      <c r="I249" s="114" t="str">
        <f t="array" ref="I249">XLOOKUP(G249,KLUS!$A$2:$A$2010,KLUS!$E$2:$E$2010)+XLOOKUP(H249,KLUS!$A$2:$A$2010,KLUS!$E$2:$E$2010)</f>
        <v>#N/A</v>
      </c>
      <c r="J249" s="114" t="str">
        <f t="shared" si="1"/>
        <v>#N/A</v>
      </c>
      <c r="K249" s="115" t="str">
        <f t="shared" si="2"/>
        <v>#N/A</v>
      </c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</row>
    <row r="250" ht="15.75" customHeight="1">
      <c r="A250" s="69" t="s">
        <v>4449</v>
      </c>
      <c r="B250" s="69" t="s">
        <v>5473</v>
      </c>
      <c r="C250" s="112" t="s">
        <v>6114</v>
      </c>
      <c r="D250" s="69"/>
      <c r="E250" s="69" t="s">
        <v>4450</v>
      </c>
      <c r="F250" s="69" t="s">
        <v>6143</v>
      </c>
      <c r="G250" s="69" t="s">
        <v>6138</v>
      </c>
      <c r="H250" s="116" t="s">
        <v>1365</v>
      </c>
      <c r="I250" s="114" t="str">
        <f t="array" ref="I250">XLOOKUP(G250,KLUS!$A$2:$A$2010,KLUS!$E$2:$E$2010)+XLOOKUP(H250,KLUS!$A$2:$A$2010,KLUS!$E$2:$E$2010)</f>
        <v>#N/A</v>
      </c>
      <c r="J250" s="114" t="str">
        <f t="shared" si="1"/>
        <v>#N/A</v>
      </c>
      <c r="K250" s="115" t="str">
        <f t="shared" si="2"/>
        <v>#N/A</v>
      </c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</row>
    <row r="251" ht="15.75" customHeight="1">
      <c r="A251" s="69" t="s">
        <v>4451</v>
      </c>
      <c r="B251" s="69" t="s">
        <v>5473</v>
      </c>
      <c r="C251" s="112" t="s">
        <v>6144</v>
      </c>
      <c r="D251" s="69"/>
      <c r="E251" s="69" t="s">
        <v>4452</v>
      </c>
      <c r="F251" s="69" t="s">
        <v>6145</v>
      </c>
      <c r="G251" s="69" t="s">
        <v>6146</v>
      </c>
      <c r="H251" s="119"/>
      <c r="I251" s="114" t="str">
        <f t="array" ref="I251">XLOOKUP(G251,KLUS!$A$2:$A$2010,KLUS!$E$2:$E$2010)+XLOOKUP(H251,KLUS!$A$2:$A$2010,KLUS!$E$2:$E$2010)</f>
        <v>#N/A</v>
      </c>
      <c r="J251" s="114" t="str">
        <f t="shared" si="1"/>
        <v>#N/A</v>
      </c>
      <c r="K251" s="115" t="str">
        <f t="shared" si="2"/>
        <v>#N/A</v>
      </c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</row>
    <row r="252" ht="15.75" customHeight="1">
      <c r="A252" s="69" t="s">
        <v>4453</v>
      </c>
      <c r="B252" s="69" t="s">
        <v>5473</v>
      </c>
      <c r="C252" s="112" t="s">
        <v>6147</v>
      </c>
      <c r="D252" s="69"/>
      <c r="E252" s="69" t="s">
        <v>4454</v>
      </c>
      <c r="F252" s="69" t="s">
        <v>6148</v>
      </c>
      <c r="G252" s="69" t="s">
        <v>6149</v>
      </c>
      <c r="H252" s="119"/>
      <c r="I252" s="114" t="str">
        <f t="array" ref="I252">XLOOKUP(G252,KLUS!$A$2:$A$2010,KLUS!$E$2:$E$2010)+XLOOKUP(H252,KLUS!$A$2:$A$2010,KLUS!$E$2:$E$2010)</f>
        <v>#N/A</v>
      </c>
      <c r="J252" s="114" t="str">
        <f t="shared" si="1"/>
        <v>#N/A</v>
      </c>
      <c r="K252" s="115" t="str">
        <f t="shared" si="2"/>
        <v>#N/A</v>
      </c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</row>
    <row r="253" ht="15.75" customHeight="1">
      <c r="A253" s="69" t="s">
        <v>4455</v>
      </c>
      <c r="B253" s="69" t="s">
        <v>5473</v>
      </c>
      <c r="C253" s="112" t="s">
        <v>6150</v>
      </c>
      <c r="D253" s="69"/>
      <c r="E253" s="69" t="s">
        <v>6151</v>
      </c>
      <c r="F253" s="69" t="s">
        <v>6152</v>
      </c>
      <c r="G253" s="69" t="s">
        <v>6149</v>
      </c>
      <c r="H253" s="116" t="s">
        <v>1398</v>
      </c>
      <c r="I253" s="114" t="str">
        <f t="array" ref="I253">XLOOKUP(G253,KLUS!$A$2:$A$2010,KLUS!$E$2:$E$2010)+XLOOKUP(H253,KLUS!$A$2:$A$2010,KLUS!$E$2:$E$2010)</f>
        <v>#N/A</v>
      </c>
      <c r="J253" s="114" t="str">
        <f t="shared" si="1"/>
        <v>#N/A</v>
      </c>
      <c r="K253" s="115" t="str">
        <f t="shared" si="2"/>
        <v>#N/A</v>
      </c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</row>
    <row r="254" ht="15.75" customHeight="1">
      <c r="A254" s="69" t="s">
        <v>4457</v>
      </c>
      <c r="B254" s="69" t="s">
        <v>5473</v>
      </c>
      <c r="C254" s="112" t="s">
        <v>6153</v>
      </c>
      <c r="D254" s="69"/>
      <c r="E254" s="69" t="s">
        <v>4458</v>
      </c>
      <c r="F254" s="69" t="s">
        <v>6154</v>
      </c>
      <c r="G254" s="69" t="s">
        <v>6149</v>
      </c>
      <c r="H254" s="113" t="s">
        <v>1374</v>
      </c>
      <c r="I254" s="114" t="str">
        <f t="array" ref="I254">XLOOKUP(G254,KLUS!$A$2:$A$2010,KLUS!$E$2:$E$2010)+XLOOKUP(H254,KLUS!$A$2:$A$2010,KLUS!$E$2:$E$2010)</f>
        <v>#N/A</v>
      </c>
      <c r="J254" s="114" t="str">
        <f t="shared" si="1"/>
        <v>#N/A</v>
      </c>
      <c r="K254" s="115" t="str">
        <f t="shared" si="2"/>
        <v>#N/A</v>
      </c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</row>
    <row r="255" ht="15.75" customHeight="1">
      <c r="A255" s="69" t="s">
        <v>4459</v>
      </c>
      <c r="B255" s="69" t="s">
        <v>5486</v>
      </c>
      <c r="C255" s="112" t="s">
        <v>6155</v>
      </c>
      <c r="D255" s="69"/>
      <c r="E255" s="69" t="s">
        <v>6156</v>
      </c>
      <c r="F255" s="69" t="s">
        <v>6157</v>
      </c>
      <c r="G255" s="69" t="s">
        <v>6149</v>
      </c>
      <c r="H255" s="113" t="s">
        <v>1361</v>
      </c>
      <c r="I255" s="114" t="str">
        <f t="array" ref="I255">XLOOKUP(G255,KLUS!$A$2:$A$2010,KLUS!$E$2:$E$2010)+XLOOKUP(H255,KLUS!$A$2:$A$2010,KLUS!$E$2:$E$2010)</f>
        <v>#N/A</v>
      </c>
      <c r="J255" s="114" t="str">
        <f t="shared" si="1"/>
        <v>#N/A</v>
      </c>
      <c r="K255" s="115" t="str">
        <f t="shared" si="2"/>
        <v>#N/A</v>
      </c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</row>
    <row r="256" ht="15.75" customHeight="1">
      <c r="A256" s="69" t="s">
        <v>4461</v>
      </c>
      <c r="B256" s="69" t="s">
        <v>5473</v>
      </c>
      <c r="C256" s="112" t="s">
        <v>6150</v>
      </c>
      <c r="D256" s="69"/>
      <c r="E256" s="69" t="s">
        <v>6158</v>
      </c>
      <c r="F256" s="118"/>
      <c r="G256" s="69" t="s">
        <v>6149</v>
      </c>
      <c r="H256" s="113" t="s">
        <v>1404</v>
      </c>
      <c r="I256" s="114" t="str">
        <f t="array" ref="I256">XLOOKUP(G256,KLUS!$A$2:$A$2010,KLUS!$E$2:$E$2010)+XLOOKUP(H256,KLUS!$A$2:$A$2010,KLUS!$E$2:$E$2010)</f>
        <v>#N/A</v>
      </c>
      <c r="J256" s="114" t="str">
        <f t="shared" si="1"/>
        <v>#N/A</v>
      </c>
      <c r="K256" s="115" t="str">
        <f t="shared" si="2"/>
        <v>#N/A</v>
      </c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</row>
    <row r="257" ht="15.75" customHeight="1">
      <c r="A257" s="69" t="s">
        <v>4463</v>
      </c>
      <c r="B257" s="69" t="s">
        <v>5473</v>
      </c>
      <c r="C257" s="112" t="s">
        <v>6155</v>
      </c>
      <c r="D257" s="69"/>
      <c r="E257" s="69" t="s">
        <v>6159</v>
      </c>
      <c r="F257" s="69" t="s">
        <v>6160</v>
      </c>
      <c r="G257" s="69" t="s">
        <v>6149</v>
      </c>
      <c r="H257" s="113" t="s">
        <v>1367</v>
      </c>
      <c r="I257" s="114" t="str">
        <f t="array" ref="I257">XLOOKUP(G257,KLUS!$A$2:$A$2010,KLUS!$E$2:$E$2010)+XLOOKUP(H257,KLUS!$A$2:$A$2010,KLUS!$E$2:$E$2010)</f>
        <v>#N/A</v>
      </c>
      <c r="J257" s="114" t="str">
        <f t="shared" si="1"/>
        <v>#N/A</v>
      </c>
      <c r="K257" s="115" t="str">
        <f t="shared" si="2"/>
        <v>#N/A</v>
      </c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</row>
    <row r="258" ht="15.75" customHeight="1">
      <c r="A258" s="69" t="s">
        <v>4465</v>
      </c>
      <c r="B258" s="69" t="s">
        <v>5473</v>
      </c>
      <c r="C258" s="112" t="s">
        <v>6161</v>
      </c>
      <c r="D258" s="69"/>
      <c r="E258" s="69" t="s">
        <v>4466</v>
      </c>
      <c r="F258" s="69" t="s">
        <v>6162</v>
      </c>
      <c r="G258" s="69" t="s">
        <v>6163</v>
      </c>
      <c r="H258" s="119"/>
      <c r="I258" s="114" t="str">
        <f t="array" ref="I258">XLOOKUP(G258,KLUS!$A$2:$A$2010,KLUS!$E$2:$E$2010)+XLOOKUP(H258,KLUS!$A$2:$A$2010,KLUS!$E$2:$E$2010)</f>
        <v>#N/A</v>
      </c>
      <c r="J258" s="114" t="str">
        <f t="shared" si="1"/>
        <v>#N/A</v>
      </c>
      <c r="K258" s="115" t="str">
        <f t="shared" si="2"/>
        <v>#N/A</v>
      </c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</row>
    <row r="259" ht="15.75" customHeight="1">
      <c r="A259" s="69" t="s">
        <v>4467</v>
      </c>
      <c r="B259" s="69" t="s">
        <v>5473</v>
      </c>
      <c r="C259" s="112" t="s">
        <v>6164</v>
      </c>
      <c r="D259" s="69"/>
      <c r="E259" s="69" t="s">
        <v>4468</v>
      </c>
      <c r="F259" s="69" t="s">
        <v>6165</v>
      </c>
      <c r="G259" s="69" t="s">
        <v>6166</v>
      </c>
      <c r="H259" s="119"/>
      <c r="I259" s="114" t="str">
        <f t="array" ref="I259">XLOOKUP(G259,KLUS!$A$2:$A$2010,KLUS!$E$2:$E$2010)+XLOOKUP(H259,KLUS!$A$2:$A$2010,KLUS!$E$2:$E$2010)</f>
        <v>#N/A</v>
      </c>
      <c r="J259" s="114" t="str">
        <f t="shared" si="1"/>
        <v>#N/A</v>
      </c>
      <c r="K259" s="115" t="str">
        <f t="shared" si="2"/>
        <v>#N/A</v>
      </c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</row>
    <row r="260" ht="15.75" customHeight="1">
      <c r="A260" s="69" t="s">
        <v>4469</v>
      </c>
      <c r="B260" s="69" t="s">
        <v>5473</v>
      </c>
      <c r="C260" s="112" t="s">
        <v>6167</v>
      </c>
      <c r="D260" s="69"/>
      <c r="E260" s="69" t="s">
        <v>4470</v>
      </c>
      <c r="F260" s="69" t="s">
        <v>6168</v>
      </c>
      <c r="G260" s="69" t="s">
        <v>6169</v>
      </c>
      <c r="H260" s="119"/>
      <c r="I260" s="114" t="str">
        <f t="array" ref="I260">XLOOKUP(G260,KLUS!$A$2:$A$2010,KLUS!$E$2:$E$2010)+XLOOKUP(H260,KLUS!$A$2:$A$2010,KLUS!$E$2:$E$2010)</f>
        <v>#N/A</v>
      </c>
      <c r="J260" s="114" t="str">
        <f t="shared" si="1"/>
        <v>#N/A</v>
      </c>
      <c r="K260" s="115" t="str">
        <f t="shared" si="2"/>
        <v>#N/A</v>
      </c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</row>
    <row r="261" ht="15.75" customHeight="1">
      <c r="A261" s="69" t="s">
        <v>4471</v>
      </c>
      <c r="B261" s="69" t="s">
        <v>5486</v>
      </c>
      <c r="C261" s="112" t="s">
        <v>6170</v>
      </c>
      <c r="D261" s="69"/>
      <c r="E261" s="69" t="s">
        <v>4472</v>
      </c>
      <c r="F261" s="69" t="s">
        <v>6171</v>
      </c>
      <c r="G261" s="69" t="s">
        <v>6172</v>
      </c>
      <c r="H261" s="116" t="s">
        <v>1374</v>
      </c>
      <c r="I261" s="114" t="str">
        <f t="array" ref="I261">XLOOKUP(G261,KLUS!$A$2:$A$2010,KLUS!$E$2:$E$2010)+XLOOKUP(H261,KLUS!$A$2:$A$2010,KLUS!$E$2:$E$2010)</f>
        <v>#N/A</v>
      </c>
      <c r="J261" s="114" t="str">
        <f t="shared" si="1"/>
        <v>#N/A</v>
      </c>
      <c r="K261" s="115" t="str">
        <f t="shared" si="2"/>
        <v>#N/A</v>
      </c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</row>
    <row r="262" ht="15.75" customHeight="1">
      <c r="A262" s="69" t="s">
        <v>4473</v>
      </c>
      <c r="B262" s="69" t="s">
        <v>5473</v>
      </c>
      <c r="C262" s="112" t="s">
        <v>6173</v>
      </c>
      <c r="D262" s="69"/>
      <c r="E262" s="69" t="s">
        <v>4474</v>
      </c>
      <c r="F262" s="69" t="s">
        <v>6174</v>
      </c>
      <c r="G262" s="69" t="s">
        <v>6172</v>
      </c>
      <c r="H262" s="113" t="s">
        <v>1361</v>
      </c>
      <c r="I262" s="114" t="str">
        <f t="array" ref="I262">XLOOKUP(G262,KLUS!$A$2:$A$2010,KLUS!$E$2:$E$2010)+XLOOKUP(H262,KLUS!$A$2:$A$2010,KLUS!$E$2:$E$2010)</f>
        <v>#N/A</v>
      </c>
      <c r="J262" s="114" t="str">
        <f t="shared" si="1"/>
        <v>#N/A</v>
      </c>
      <c r="K262" s="115" t="str">
        <f t="shared" si="2"/>
        <v>#N/A</v>
      </c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</row>
    <row r="263" ht="15.75" customHeight="1">
      <c r="A263" s="69" t="s">
        <v>4475</v>
      </c>
      <c r="B263" s="69" t="s">
        <v>5473</v>
      </c>
      <c r="C263" s="112" t="s">
        <v>6170</v>
      </c>
      <c r="D263" s="69"/>
      <c r="E263" s="69" t="s">
        <v>4476</v>
      </c>
      <c r="F263" s="118"/>
      <c r="G263" s="69" t="s">
        <v>6172</v>
      </c>
      <c r="H263" s="116" t="s">
        <v>1380</v>
      </c>
      <c r="I263" s="114" t="str">
        <f t="array" ref="I263">XLOOKUP(G263,KLUS!$A$2:$A$2010,KLUS!$E$2:$E$2010)+XLOOKUP(H263,KLUS!$A$2:$A$2010,KLUS!$E$2:$E$2010)</f>
        <v>#N/A</v>
      </c>
      <c r="J263" s="114" t="str">
        <f t="shared" si="1"/>
        <v>#N/A</v>
      </c>
      <c r="K263" s="115" t="str">
        <f t="shared" si="2"/>
        <v>#N/A</v>
      </c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</row>
    <row r="264" ht="15.75" customHeight="1">
      <c r="A264" s="69" t="s">
        <v>4477</v>
      </c>
      <c r="B264" s="69" t="s">
        <v>5473</v>
      </c>
      <c r="C264" s="112" t="s">
        <v>6173</v>
      </c>
      <c r="D264" s="69"/>
      <c r="E264" s="69" t="s">
        <v>4478</v>
      </c>
      <c r="F264" s="69" t="s">
        <v>6175</v>
      </c>
      <c r="G264" s="69" t="s">
        <v>6172</v>
      </c>
      <c r="H264" s="113" t="s">
        <v>1367</v>
      </c>
      <c r="I264" s="114" t="str">
        <f t="array" ref="I264">XLOOKUP(G264,KLUS!$A$2:$A$2010,KLUS!$E$2:$E$2010)+XLOOKUP(H264,KLUS!$A$2:$A$2010,KLUS!$E$2:$E$2010)</f>
        <v>#N/A</v>
      </c>
      <c r="J264" s="114" t="str">
        <f t="shared" si="1"/>
        <v>#N/A</v>
      </c>
      <c r="K264" s="115" t="str">
        <f t="shared" si="2"/>
        <v>#N/A</v>
      </c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</row>
    <row r="265" ht="15.75" customHeight="1">
      <c r="A265" s="69" t="s">
        <v>4479</v>
      </c>
      <c r="B265" s="69" t="s">
        <v>5486</v>
      </c>
      <c r="C265" s="112" t="s">
        <v>6094</v>
      </c>
      <c r="D265" s="69"/>
      <c r="E265" s="69" t="s">
        <v>4480</v>
      </c>
      <c r="F265" s="69" t="s">
        <v>6176</v>
      </c>
      <c r="G265" s="69" t="s">
        <v>6177</v>
      </c>
      <c r="H265" s="119"/>
      <c r="I265" s="114" t="str">
        <f t="array" ref="I265">XLOOKUP(G265,KLUS!$A$2:$A$2010,KLUS!$E$2:$E$2010)+XLOOKUP(H265,KLUS!$A$2:$A$2010,KLUS!$E$2:$E$2010)</f>
        <v>#N/A</v>
      </c>
      <c r="J265" s="114" t="str">
        <f t="shared" si="1"/>
        <v>#N/A</v>
      </c>
      <c r="K265" s="115" t="str">
        <f t="shared" si="2"/>
        <v>#N/A</v>
      </c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</row>
    <row r="266" ht="15.75" customHeight="1">
      <c r="A266" s="69" t="s">
        <v>4481</v>
      </c>
      <c r="B266" s="69" t="s">
        <v>5473</v>
      </c>
      <c r="C266" s="112" t="s">
        <v>6178</v>
      </c>
      <c r="D266" s="69"/>
      <c r="E266" s="69" t="s">
        <v>4482</v>
      </c>
      <c r="F266" s="69" t="s">
        <v>6179</v>
      </c>
      <c r="G266" s="69" t="s">
        <v>6180</v>
      </c>
      <c r="H266" s="116" t="s">
        <v>1369</v>
      </c>
      <c r="I266" s="114" t="str">
        <f t="array" ref="I266">XLOOKUP(G266,KLUS!$A$2:$A$2010,KLUS!$E$2:$E$2010)+XLOOKUP(H266,KLUS!$A$2:$A$2010,KLUS!$E$2:$E$2010)</f>
        <v>#N/A</v>
      </c>
      <c r="J266" s="114" t="str">
        <f t="shared" si="1"/>
        <v>#N/A</v>
      </c>
      <c r="K266" s="115" t="str">
        <f t="shared" si="2"/>
        <v>#N/A</v>
      </c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</row>
    <row r="267" ht="15.75" customHeight="1">
      <c r="A267" s="69" t="s">
        <v>4483</v>
      </c>
      <c r="B267" s="69" t="s">
        <v>5473</v>
      </c>
      <c r="C267" s="112" t="s">
        <v>5907</v>
      </c>
      <c r="D267" s="69"/>
      <c r="E267" s="69" t="s">
        <v>4484</v>
      </c>
      <c r="F267" s="69" t="s">
        <v>6181</v>
      </c>
      <c r="G267" s="69" t="s">
        <v>6180</v>
      </c>
      <c r="H267" s="113" t="s">
        <v>1356</v>
      </c>
      <c r="I267" s="114" t="str">
        <f t="array" ref="I267">XLOOKUP(G267,KLUS!$A$2:$A$2010,KLUS!$E$2:$E$2010)+XLOOKUP(H267,KLUS!$A$2:$A$2010,KLUS!$E$2:$E$2010)</f>
        <v>#N/A</v>
      </c>
      <c r="J267" s="114" t="str">
        <f t="shared" si="1"/>
        <v>#N/A</v>
      </c>
      <c r="K267" s="115" t="str">
        <f t="shared" si="2"/>
        <v>#N/A</v>
      </c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</row>
    <row r="268" ht="15.75" customHeight="1">
      <c r="A268" s="69" t="s">
        <v>4485</v>
      </c>
      <c r="B268" s="69" t="s">
        <v>5473</v>
      </c>
      <c r="C268" s="112" t="s">
        <v>5927</v>
      </c>
      <c r="D268" s="69"/>
      <c r="E268" s="69" t="s">
        <v>6182</v>
      </c>
      <c r="F268" s="69" t="s">
        <v>6183</v>
      </c>
      <c r="G268" s="69" t="s">
        <v>6180</v>
      </c>
      <c r="H268" s="116" t="s">
        <v>1406</v>
      </c>
      <c r="I268" s="114" t="str">
        <f t="array" ref="I268">XLOOKUP(G268,KLUS!$A$2:$A$2010,KLUS!$E$2:$E$2010)+XLOOKUP(H268,KLUS!$A$2:$A$2010,KLUS!$E$2:$E$2010)</f>
        <v>#N/A</v>
      </c>
      <c r="J268" s="114" t="str">
        <f t="shared" si="1"/>
        <v>#N/A</v>
      </c>
      <c r="K268" s="115" t="str">
        <f t="shared" si="2"/>
        <v>#N/A</v>
      </c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</row>
    <row r="269" ht="15.75" customHeight="1">
      <c r="A269" s="69" t="s">
        <v>4487</v>
      </c>
      <c r="B269" s="69" t="s">
        <v>5473</v>
      </c>
      <c r="C269" s="112" t="s">
        <v>6178</v>
      </c>
      <c r="D269" s="69"/>
      <c r="E269" s="69" t="s">
        <v>4488</v>
      </c>
      <c r="F269" s="69" t="s">
        <v>6184</v>
      </c>
      <c r="G269" s="69" t="s">
        <v>6177</v>
      </c>
      <c r="H269" s="116" t="s">
        <v>6185</v>
      </c>
      <c r="I269" s="114" t="str">
        <f t="array" ref="I269">XLOOKUP(G269,KLUS!$A$2:$A$2010,KLUS!$E$2:$E$2010)+XLOOKUP(H269,KLUS!$A$2:$A$2010,KLUS!$E$2:$E$2010)</f>
        <v>#N/A</v>
      </c>
      <c r="J269" s="114" t="str">
        <f t="shared" si="1"/>
        <v>#N/A</v>
      </c>
      <c r="K269" s="115" t="str">
        <f t="shared" si="2"/>
        <v>#N/A</v>
      </c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</row>
    <row r="270" ht="15.75" customHeight="1">
      <c r="A270" s="69" t="s">
        <v>4489</v>
      </c>
      <c r="B270" s="69" t="s">
        <v>5473</v>
      </c>
      <c r="C270" s="112" t="s">
        <v>5907</v>
      </c>
      <c r="D270" s="69"/>
      <c r="E270" s="69" t="s">
        <v>4490</v>
      </c>
      <c r="F270" s="69" t="s">
        <v>6186</v>
      </c>
      <c r="G270" s="69" t="s">
        <v>6177</v>
      </c>
      <c r="H270" s="116" t="s">
        <v>1363</v>
      </c>
      <c r="I270" s="114" t="str">
        <f t="array" ref="I270">XLOOKUP(G270,KLUS!$A$2:$A$2010,KLUS!$E$2:$E$2010)+XLOOKUP(H270,KLUS!$A$2:$A$2010,KLUS!$E$2:$E$2010)</f>
        <v>#N/A</v>
      </c>
      <c r="J270" s="114" t="str">
        <f t="shared" si="1"/>
        <v>#N/A</v>
      </c>
      <c r="K270" s="115" t="str">
        <f t="shared" si="2"/>
        <v>#N/A</v>
      </c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</row>
    <row r="271" ht="15.75" customHeight="1">
      <c r="A271" s="69" t="s">
        <v>4491</v>
      </c>
      <c r="B271" s="69" t="s">
        <v>5486</v>
      </c>
      <c r="C271" s="112" t="s">
        <v>6187</v>
      </c>
      <c r="D271" s="69"/>
      <c r="E271" s="69" t="s">
        <v>6188</v>
      </c>
      <c r="F271" s="69" t="s">
        <v>6189</v>
      </c>
      <c r="G271" s="69" t="s">
        <v>6190</v>
      </c>
      <c r="H271" s="119"/>
      <c r="I271" s="114" t="str">
        <f t="array" ref="I271">XLOOKUP(G271,KLUS!$A$2:$A$2010,KLUS!$E$2:$E$2010)+XLOOKUP(H271,KLUS!$A$2:$A$2010,KLUS!$E$2:$E$2010)</f>
        <v>#N/A</v>
      </c>
      <c r="J271" s="114" t="str">
        <f t="shared" si="1"/>
        <v>#N/A</v>
      </c>
      <c r="K271" s="115" t="str">
        <f t="shared" si="2"/>
        <v>#N/A</v>
      </c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</row>
    <row r="272" ht="15.75" customHeight="1">
      <c r="A272" s="69" t="s">
        <v>4492</v>
      </c>
      <c r="B272" s="69" t="s">
        <v>5486</v>
      </c>
      <c r="C272" s="112" t="s">
        <v>6191</v>
      </c>
      <c r="D272" s="69"/>
      <c r="E272" s="69" t="s">
        <v>6192</v>
      </c>
      <c r="F272" s="69" t="s">
        <v>6193</v>
      </c>
      <c r="G272" s="69" t="s">
        <v>6194</v>
      </c>
      <c r="H272" s="119"/>
      <c r="I272" s="114" t="str">
        <f t="array" ref="I272">XLOOKUP(G272,KLUS!$A$2:$A$2010,KLUS!$E$2:$E$2010)+XLOOKUP(H272,KLUS!$A$2:$A$2010,KLUS!$E$2:$E$2010)</f>
        <v>#N/A</v>
      </c>
      <c r="J272" s="114" t="str">
        <f t="shared" si="1"/>
        <v>#N/A</v>
      </c>
      <c r="K272" s="115" t="str">
        <f t="shared" si="2"/>
        <v>#N/A</v>
      </c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</row>
    <row r="273" ht="15.75" customHeight="1">
      <c r="A273" s="69" t="s">
        <v>4494</v>
      </c>
      <c r="B273" s="69" t="s">
        <v>5473</v>
      </c>
      <c r="C273" s="112" t="s">
        <v>6195</v>
      </c>
      <c r="D273" s="69"/>
      <c r="E273" s="69" t="s">
        <v>4495</v>
      </c>
      <c r="F273" s="69" t="s">
        <v>6196</v>
      </c>
      <c r="G273" s="69" t="s">
        <v>6197</v>
      </c>
      <c r="H273" s="119"/>
      <c r="I273" s="114" t="str">
        <f t="array" ref="I273">XLOOKUP(G273,KLUS!$A$2:$A$2010,KLUS!$E$2:$E$2010)+XLOOKUP(H273,KLUS!$A$2:$A$2010,KLUS!$E$2:$E$2010)</f>
        <v>#N/A</v>
      </c>
      <c r="J273" s="114" t="str">
        <f t="shared" si="1"/>
        <v>#N/A</v>
      </c>
      <c r="K273" s="115" t="str">
        <f t="shared" si="2"/>
        <v>#N/A</v>
      </c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</row>
    <row r="274" ht="15.75" customHeight="1">
      <c r="A274" s="69" t="s">
        <v>4496</v>
      </c>
      <c r="B274" s="69" t="s">
        <v>5486</v>
      </c>
      <c r="C274" s="112" t="s">
        <v>5935</v>
      </c>
      <c r="D274" s="69"/>
      <c r="E274" s="69" t="s">
        <v>4497</v>
      </c>
      <c r="F274" s="69" t="s">
        <v>6198</v>
      </c>
      <c r="G274" s="69" t="s">
        <v>6199</v>
      </c>
      <c r="H274" s="113" t="s">
        <v>1372</v>
      </c>
      <c r="I274" s="114" t="str">
        <f t="array" ref="I274">XLOOKUP(G274,KLUS!$A$2:$A$2010,KLUS!$E$2:$E$2010)+XLOOKUP(H274,KLUS!$A$2:$A$2010,KLUS!$E$2:$E$2010)</f>
        <v>#N/A</v>
      </c>
      <c r="J274" s="114" t="str">
        <f t="shared" si="1"/>
        <v>#N/A</v>
      </c>
      <c r="K274" s="115" t="str">
        <f t="shared" si="2"/>
        <v>#N/A</v>
      </c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</row>
    <row r="275" ht="15.75" customHeight="1">
      <c r="A275" s="69" t="s">
        <v>4498</v>
      </c>
      <c r="B275" s="69" t="s">
        <v>5486</v>
      </c>
      <c r="C275" s="112" t="s">
        <v>5484</v>
      </c>
      <c r="D275" s="69"/>
      <c r="E275" s="69" t="s">
        <v>4499</v>
      </c>
      <c r="F275" s="69" t="s">
        <v>6200</v>
      </c>
      <c r="G275" s="69" t="s">
        <v>6199</v>
      </c>
      <c r="H275" s="116" t="s">
        <v>1359</v>
      </c>
      <c r="I275" s="114" t="str">
        <f t="array" ref="I275">XLOOKUP(G275,KLUS!$A$2:$A$2010,KLUS!$E$2:$E$2010)+XLOOKUP(H275,KLUS!$A$2:$A$2010,KLUS!$E$2:$E$2010)</f>
        <v>#N/A</v>
      </c>
      <c r="J275" s="114" t="str">
        <f t="shared" si="1"/>
        <v>#N/A</v>
      </c>
      <c r="K275" s="115" t="str">
        <f t="shared" si="2"/>
        <v>#N/A</v>
      </c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</row>
    <row r="276" ht="15.75" customHeight="1">
      <c r="A276" s="69" t="s">
        <v>4500</v>
      </c>
      <c r="B276" s="69" t="s">
        <v>5473</v>
      </c>
      <c r="C276" s="112" t="s">
        <v>5943</v>
      </c>
      <c r="D276" s="69"/>
      <c r="E276" s="69" t="s">
        <v>6201</v>
      </c>
      <c r="F276" s="69" t="s">
        <v>6202</v>
      </c>
      <c r="G276" s="69" t="s">
        <v>6199</v>
      </c>
      <c r="H276" s="113" t="s">
        <v>1408</v>
      </c>
      <c r="I276" s="114" t="str">
        <f t="array" ref="I276">XLOOKUP(G276,KLUS!$A$2:$A$2010,KLUS!$E$2:$E$2010)+XLOOKUP(H276,KLUS!$A$2:$A$2010,KLUS!$E$2:$E$2010)</f>
        <v>#N/A</v>
      </c>
      <c r="J276" s="114" t="str">
        <f t="shared" si="1"/>
        <v>#N/A</v>
      </c>
      <c r="K276" s="115" t="str">
        <f t="shared" si="2"/>
        <v>#N/A</v>
      </c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</row>
    <row r="277" ht="15.75" customHeight="1">
      <c r="A277" s="69" t="s">
        <v>4502</v>
      </c>
      <c r="B277" s="69" t="s">
        <v>5486</v>
      </c>
      <c r="C277" s="112" t="s">
        <v>5935</v>
      </c>
      <c r="D277" s="69"/>
      <c r="E277" s="69" t="s">
        <v>4503</v>
      </c>
      <c r="F277" s="69" t="s">
        <v>6203</v>
      </c>
      <c r="G277" s="69" t="s">
        <v>6197</v>
      </c>
      <c r="H277" s="113" t="s">
        <v>6204</v>
      </c>
      <c r="I277" s="114" t="str">
        <f t="array" ref="I277">XLOOKUP(G277,KLUS!$A$2:$A$2010,KLUS!$E$2:$E$2010)+XLOOKUP(H277,KLUS!$A$2:$A$2010,KLUS!$E$2:$E$2010)</f>
        <v>#N/A</v>
      </c>
      <c r="J277" s="114" t="str">
        <f t="shared" si="1"/>
        <v>#N/A</v>
      </c>
      <c r="K277" s="115" t="str">
        <f t="shared" si="2"/>
        <v>#N/A</v>
      </c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</row>
    <row r="278" ht="15.75" customHeight="1">
      <c r="A278" s="69" t="s">
        <v>4504</v>
      </c>
      <c r="B278" s="69" t="s">
        <v>5473</v>
      </c>
      <c r="C278" s="112" t="s">
        <v>5939</v>
      </c>
      <c r="D278" s="69"/>
      <c r="E278" s="69" t="s">
        <v>4505</v>
      </c>
      <c r="F278" s="69" t="s">
        <v>6205</v>
      </c>
      <c r="G278" s="69" t="s">
        <v>6199</v>
      </c>
      <c r="H278" s="113" t="s">
        <v>1365</v>
      </c>
      <c r="I278" s="114" t="str">
        <f t="array" ref="I278">XLOOKUP(G278,KLUS!$A$2:$A$2010,KLUS!$E$2:$E$2010)+XLOOKUP(H278,KLUS!$A$2:$A$2010,KLUS!$E$2:$E$2010)</f>
        <v>#N/A</v>
      </c>
      <c r="J278" s="114" t="str">
        <f t="shared" si="1"/>
        <v>#N/A</v>
      </c>
      <c r="K278" s="115" t="str">
        <f t="shared" si="2"/>
        <v>#N/A</v>
      </c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</row>
    <row r="279" ht="15.75" customHeight="1">
      <c r="A279" s="69" t="s">
        <v>4506</v>
      </c>
      <c r="B279" s="69" t="s">
        <v>5473</v>
      </c>
      <c r="C279" s="112" t="s">
        <v>6206</v>
      </c>
      <c r="D279" s="69"/>
      <c r="E279" s="69" t="s">
        <v>6207</v>
      </c>
      <c r="F279" s="69" t="s">
        <v>6208</v>
      </c>
      <c r="G279" s="69" t="s">
        <v>6209</v>
      </c>
      <c r="H279" s="119"/>
      <c r="I279" s="114" t="str">
        <f t="array" ref="I279">XLOOKUP(G279,KLUS!$A$2:$A$2010,KLUS!$E$2:$E$2010)+XLOOKUP(H279,KLUS!$A$2:$A$2010,KLUS!$E$2:$E$2010)</f>
        <v>#N/A</v>
      </c>
      <c r="J279" s="114" t="str">
        <f t="shared" si="1"/>
        <v>#N/A</v>
      </c>
      <c r="K279" s="115" t="str">
        <f t="shared" si="2"/>
        <v>#N/A</v>
      </c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</row>
    <row r="280" ht="15.75" customHeight="1">
      <c r="A280" s="69" t="s">
        <v>4507</v>
      </c>
      <c r="B280" s="69" t="s">
        <v>5473</v>
      </c>
      <c r="C280" s="112" t="s">
        <v>6210</v>
      </c>
      <c r="D280" s="69"/>
      <c r="E280" s="69" t="s">
        <v>6211</v>
      </c>
      <c r="F280" s="69" t="s">
        <v>6212</v>
      </c>
      <c r="G280" s="69" t="s">
        <v>6213</v>
      </c>
      <c r="H280" s="119"/>
      <c r="I280" s="114" t="str">
        <f t="array" ref="I280">XLOOKUP(G280,KLUS!$A$2:$A$2010,KLUS!$E$2:$E$2010)+XLOOKUP(H280,KLUS!$A$2:$A$2010,KLUS!$E$2:$E$2010)</f>
        <v>#N/A</v>
      </c>
      <c r="J280" s="114" t="str">
        <f t="shared" si="1"/>
        <v>#N/A</v>
      </c>
      <c r="K280" s="115" t="str">
        <f t="shared" si="2"/>
        <v>#N/A</v>
      </c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</row>
    <row r="281" ht="15.75" customHeight="1">
      <c r="A281" s="69" t="s">
        <v>4509</v>
      </c>
      <c r="B281" s="69" t="s">
        <v>5473</v>
      </c>
      <c r="C281" s="112" t="s">
        <v>6214</v>
      </c>
      <c r="D281" s="69"/>
      <c r="E281" s="69" t="s">
        <v>4510</v>
      </c>
      <c r="F281" s="69" t="s">
        <v>6215</v>
      </c>
      <c r="G281" s="69" t="s">
        <v>4510</v>
      </c>
      <c r="H281" s="119"/>
      <c r="I281" s="114" t="str">
        <f t="array" ref="I281">XLOOKUP(G281,KLUS!$A$2:$A$2010,KLUS!$E$2:$E$2010)+XLOOKUP(H281,KLUS!$A$2:$A$2010,KLUS!$E$2:$E$2010)</f>
        <v>#N/A</v>
      </c>
      <c r="J281" s="114" t="str">
        <f t="shared" si="1"/>
        <v>#N/A</v>
      </c>
      <c r="K281" s="115" t="str">
        <f t="shared" si="2"/>
        <v>#N/A</v>
      </c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</row>
    <row r="282" ht="15.75" customHeight="1">
      <c r="A282" s="69" t="s">
        <v>4511</v>
      </c>
      <c r="B282" s="69" t="s">
        <v>5473</v>
      </c>
      <c r="C282" s="112" t="s">
        <v>6216</v>
      </c>
      <c r="D282" s="69"/>
      <c r="E282" s="69" t="s">
        <v>4512</v>
      </c>
      <c r="F282" s="69" t="s">
        <v>6217</v>
      </c>
      <c r="G282" s="69" t="s">
        <v>6218</v>
      </c>
      <c r="H282" s="119"/>
      <c r="I282" s="114" t="str">
        <f t="array" ref="I282">XLOOKUP(G282,KLUS!$A$2:$A$2010,KLUS!$E$2:$E$2010)+XLOOKUP(H282,KLUS!$A$2:$A$2010,KLUS!$E$2:$E$2010)</f>
        <v>#N/A</v>
      </c>
      <c r="J282" s="114" t="str">
        <f t="shared" si="1"/>
        <v>#N/A</v>
      </c>
      <c r="K282" s="115" t="str">
        <f t="shared" si="2"/>
        <v>#N/A</v>
      </c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</row>
    <row r="283" ht="15.75" customHeight="1">
      <c r="A283" s="69" t="s">
        <v>4513</v>
      </c>
      <c r="B283" s="69" t="s">
        <v>5473</v>
      </c>
      <c r="C283" s="112" t="s">
        <v>5976</v>
      </c>
      <c r="D283" s="69"/>
      <c r="E283" s="69" t="s">
        <v>4514</v>
      </c>
      <c r="F283" s="69" t="s">
        <v>6219</v>
      </c>
      <c r="G283" s="69" t="s">
        <v>6220</v>
      </c>
      <c r="H283" s="116" t="s">
        <v>1374</v>
      </c>
      <c r="I283" s="114" t="str">
        <f t="array" ref="I283">XLOOKUP(G283,KLUS!$A$2:$A$2010,KLUS!$E$2:$E$2010)+XLOOKUP(H283,KLUS!$A$2:$A$2010,KLUS!$E$2:$E$2010)</f>
        <v>#N/A</v>
      </c>
      <c r="J283" s="114" t="str">
        <f t="shared" si="1"/>
        <v>#N/A</v>
      </c>
      <c r="K283" s="115" t="str">
        <f t="shared" si="2"/>
        <v>#N/A</v>
      </c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</row>
    <row r="284" ht="15.75" customHeight="1">
      <c r="A284" s="69" t="s">
        <v>4515</v>
      </c>
      <c r="B284" s="69" t="s">
        <v>5486</v>
      </c>
      <c r="C284" s="112" t="s">
        <v>5979</v>
      </c>
      <c r="D284" s="69"/>
      <c r="E284" s="69" t="s">
        <v>4516</v>
      </c>
      <c r="F284" s="69" t="s">
        <v>6221</v>
      </c>
      <c r="G284" s="69" t="s">
        <v>6220</v>
      </c>
      <c r="H284" s="113" t="s">
        <v>1361</v>
      </c>
      <c r="I284" s="114" t="str">
        <f t="array" ref="I284">XLOOKUP(G284,KLUS!$A$2:$A$2010,KLUS!$E$2:$E$2010)+XLOOKUP(H284,KLUS!$A$2:$A$2010,KLUS!$E$2:$E$2010)</f>
        <v>#N/A</v>
      </c>
      <c r="J284" s="114" t="str">
        <f t="shared" si="1"/>
        <v>#N/A</v>
      </c>
      <c r="K284" s="115" t="str">
        <f t="shared" si="2"/>
        <v>#N/A</v>
      </c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</row>
    <row r="285" ht="15.75" customHeight="1">
      <c r="A285" s="69" t="s">
        <v>4517</v>
      </c>
      <c r="B285" s="69" t="s">
        <v>5473</v>
      </c>
      <c r="C285" s="112" t="s">
        <v>6222</v>
      </c>
      <c r="D285" s="69"/>
      <c r="E285" s="69" t="s">
        <v>6223</v>
      </c>
      <c r="F285" s="69" t="s">
        <v>6224</v>
      </c>
      <c r="G285" s="69" t="s">
        <v>6220</v>
      </c>
      <c r="H285" s="113" t="s">
        <v>1410</v>
      </c>
      <c r="I285" s="114" t="str">
        <f t="array" ref="I285">XLOOKUP(G285,KLUS!$A$2:$A$2010,KLUS!$E$2:$E$2010)+XLOOKUP(H285,KLUS!$A$2:$A$2010,KLUS!$E$2:$E$2010)</f>
        <v>#N/A</v>
      </c>
      <c r="J285" s="114" t="str">
        <f t="shared" si="1"/>
        <v>#N/A</v>
      </c>
      <c r="K285" s="115" t="str">
        <f t="shared" si="2"/>
        <v>#N/A</v>
      </c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</row>
    <row r="286" ht="15.75" customHeight="1">
      <c r="A286" s="69" t="s">
        <v>4519</v>
      </c>
      <c r="B286" s="69" t="s">
        <v>5473</v>
      </c>
      <c r="C286" s="112" t="s">
        <v>5976</v>
      </c>
      <c r="D286" s="69"/>
      <c r="E286" s="69" t="s">
        <v>4520</v>
      </c>
      <c r="F286" s="69" t="s">
        <v>6225</v>
      </c>
      <c r="G286" s="69" t="s">
        <v>6218</v>
      </c>
      <c r="H286" s="116" t="s">
        <v>1380</v>
      </c>
      <c r="I286" s="114" t="str">
        <f t="array" ref="I286">XLOOKUP(G286,KLUS!$A$2:$A$2010,KLUS!$E$2:$E$2010)+XLOOKUP(H286,KLUS!$A$2:$A$2010,KLUS!$E$2:$E$2010)</f>
        <v>#N/A</v>
      </c>
      <c r="J286" s="114" t="str">
        <f t="shared" si="1"/>
        <v>#N/A</v>
      </c>
      <c r="K286" s="115" t="str">
        <f t="shared" si="2"/>
        <v>#N/A</v>
      </c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</row>
    <row r="287" ht="15.75" customHeight="1">
      <c r="A287" s="69" t="s">
        <v>4521</v>
      </c>
      <c r="B287" s="69" t="s">
        <v>5473</v>
      </c>
      <c r="C287" s="112" t="s">
        <v>6226</v>
      </c>
      <c r="D287" s="69"/>
      <c r="E287" s="69" t="s">
        <v>4522</v>
      </c>
      <c r="F287" s="69" t="s">
        <v>6227</v>
      </c>
      <c r="G287" s="69" t="s">
        <v>6228</v>
      </c>
      <c r="H287" s="119"/>
      <c r="I287" s="114" t="str">
        <f t="array" ref="I287">XLOOKUP(G287,KLUS!$A$2:$A$2010,KLUS!$E$2:$E$2010)+XLOOKUP(H287,KLUS!$A$2:$A$2010,KLUS!$E$2:$E$2010)</f>
        <v>#N/A</v>
      </c>
      <c r="J287" s="114" t="str">
        <f t="shared" si="1"/>
        <v>#N/A</v>
      </c>
      <c r="K287" s="115" t="str">
        <f t="shared" si="2"/>
        <v>#N/A</v>
      </c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</row>
    <row r="288" ht="15.75" customHeight="1">
      <c r="A288" s="69" t="s">
        <v>4523</v>
      </c>
      <c r="B288" s="69" t="s">
        <v>5473</v>
      </c>
      <c r="C288" s="112" t="s">
        <v>6164</v>
      </c>
      <c r="D288" s="69"/>
      <c r="E288" s="69" t="s">
        <v>6229</v>
      </c>
      <c r="F288" s="69" t="s">
        <v>6230</v>
      </c>
      <c r="G288" s="69" t="s">
        <v>6231</v>
      </c>
      <c r="H288" s="119"/>
      <c r="I288" s="114" t="str">
        <f t="array" ref="I288">XLOOKUP(G288,KLUS!$A$2:$A$2010,KLUS!$E$2:$E$2010)+XLOOKUP(H288,KLUS!$A$2:$A$2010,KLUS!$E$2:$E$2010)</f>
        <v>#N/A</v>
      </c>
      <c r="J288" s="114" t="str">
        <f t="shared" si="1"/>
        <v>#N/A</v>
      </c>
      <c r="K288" s="115" t="str">
        <f t="shared" si="2"/>
        <v>#N/A</v>
      </c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</row>
    <row r="289" ht="15.75" customHeight="1">
      <c r="A289" s="69" t="s">
        <v>4525</v>
      </c>
      <c r="B289" s="69" t="s">
        <v>5473</v>
      </c>
      <c r="C289" s="112" t="s">
        <v>6232</v>
      </c>
      <c r="D289" s="69"/>
      <c r="E289" s="69" t="s">
        <v>4526</v>
      </c>
      <c r="F289" s="118"/>
      <c r="G289" s="69" t="s">
        <v>6233</v>
      </c>
      <c r="H289" s="119"/>
      <c r="I289" s="114" t="str">
        <f t="array" ref="I289">XLOOKUP(G289,KLUS!$A$2:$A$2010,KLUS!$E$2:$E$2010)+XLOOKUP(H289,KLUS!$A$2:$A$2010,KLUS!$E$2:$E$2010)</f>
        <v>#N/A</v>
      </c>
      <c r="J289" s="114" t="str">
        <f t="shared" si="1"/>
        <v>#N/A</v>
      </c>
      <c r="K289" s="115" t="str">
        <f t="shared" si="2"/>
        <v>#N/A</v>
      </c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</row>
    <row r="290" ht="15.75" customHeight="1">
      <c r="A290" s="69" t="s">
        <v>6234</v>
      </c>
      <c r="B290" s="69" t="s">
        <v>5473</v>
      </c>
      <c r="C290" s="112" t="s">
        <v>5988</v>
      </c>
      <c r="D290" s="69"/>
      <c r="E290" s="69" t="s">
        <v>4528</v>
      </c>
      <c r="F290" s="69" t="s">
        <v>6235</v>
      </c>
      <c r="G290" s="69" t="s">
        <v>201</v>
      </c>
      <c r="H290" s="119"/>
      <c r="I290" s="114" t="str">
        <f t="array" ref="I290">XLOOKUP(G290,KLUS!$A$2:$A$2010,KLUS!$E$2:$E$2010)+XLOOKUP(H290,KLUS!$A$2:$A$2010,KLUS!$E$2:$E$2010)</f>
        <v>#N/A</v>
      </c>
      <c r="J290" s="114" t="str">
        <f t="shared" si="1"/>
        <v>#N/A</v>
      </c>
      <c r="K290" s="115" t="str">
        <f t="shared" si="2"/>
        <v>#N/A</v>
      </c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</row>
    <row r="291" ht="15.75" customHeight="1">
      <c r="A291" s="69" t="s">
        <v>6236</v>
      </c>
      <c r="B291" s="69" t="s">
        <v>5473</v>
      </c>
      <c r="C291" s="112" t="s">
        <v>6237</v>
      </c>
      <c r="D291" s="69"/>
      <c r="E291" s="69" t="s">
        <v>222</v>
      </c>
      <c r="F291" s="69" t="s">
        <v>6238</v>
      </c>
      <c r="G291" s="118"/>
      <c r="H291" s="119"/>
      <c r="I291" s="114" t="str">
        <f t="array" ref="I291">XLOOKUP(G291,KLUS!$A$2:$A$2010,KLUS!$E$2:$E$2010)+XLOOKUP(H291,KLUS!$A$2:$A$2010,KLUS!$E$2:$E$2010)</f>
        <v>#N/A</v>
      </c>
      <c r="J291" s="114" t="str">
        <f t="shared" si="1"/>
        <v>#N/A</v>
      </c>
      <c r="K291" s="115" t="str">
        <f t="shared" si="2"/>
        <v>#N/A</v>
      </c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</row>
    <row r="292" ht="15.75" customHeight="1">
      <c r="A292" s="69" t="s">
        <v>6239</v>
      </c>
      <c r="B292" s="69" t="s">
        <v>5473</v>
      </c>
      <c r="C292" s="112" t="s">
        <v>6240</v>
      </c>
      <c r="D292" s="69"/>
      <c r="E292" s="69" t="s">
        <v>6241</v>
      </c>
      <c r="F292" s="69" t="s">
        <v>6242</v>
      </c>
      <c r="G292" s="69" t="s">
        <v>208</v>
      </c>
      <c r="H292" s="119"/>
      <c r="I292" s="114" t="str">
        <f t="array" ref="I292">XLOOKUP(G292,KLUS!$A$2:$A$2010,KLUS!$E$2:$E$2010)+XLOOKUP(H292,KLUS!$A$2:$A$2010,KLUS!$E$2:$E$2010)</f>
        <v>#N/A</v>
      </c>
      <c r="J292" s="114" t="str">
        <f t="shared" si="1"/>
        <v>#N/A</v>
      </c>
      <c r="K292" s="115" t="str">
        <f t="shared" si="2"/>
        <v>#N/A</v>
      </c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</row>
    <row r="293" ht="15.75" customHeight="1">
      <c r="A293" s="69" t="s">
        <v>6243</v>
      </c>
      <c r="B293" s="69" t="s">
        <v>5473</v>
      </c>
      <c r="C293" s="112" t="s">
        <v>6244</v>
      </c>
      <c r="D293" s="69"/>
      <c r="E293" s="69" t="s">
        <v>4533</v>
      </c>
      <c r="F293" s="69" t="s">
        <v>6245</v>
      </c>
      <c r="G293" s="69" t="s">
        <v>204</v>
      </c>
      <c r="H293" s="119"/>
      <c r="I293" s="114" t="str">
        <f t="array" ref="I293">XLOOKUP(G293,KLUS!$A$2:$A$2010,KLUS!$E$2:$E$2010)+XLOOKUP(H293,KLUS!$A$2:$A$2010,KLUS!$E$2:$E$2010)</f>
        <v>#N/A</v>
      </c>
      <c r="J293" s="114" t="str">
        <f t="shared" si="1"/>
        <v>#N/A</v>
      </c>
      <c r="K293" s="115" t="str">
        <f t="shared" si="2"/>
        <v>#N/A</v>
      </c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</row>
    <row r="294" ht="15.75" customHeight="1">
      <c r="A294" s="69" t="s">
        <v>6246</v>
      </c>
      <c r="B294" s="69" t="s">
        <v>5473</v>
      </c>
      <c r="C294" s="112" t="s">
        <v>6247</v>
      </c>
      <c r="D294" s="69"/>
      <c r="E294" s="69" t="s">
        <v>224</v>
      </c>
      <c r="F294" s="69" t="s">
        <v>6248</v>
      </c>
      <c r="G294" s="69" t="s">
        <v>224</v>
      </c>
      <c r="H294" s="119"/>
      <c r="I294" s="114" t="str">
        <f t="array" ref="I294">XLOOKUP(G294,KLUS!$A$2:$A$2010,KLUS!$E$2:$E$2010)+XLOOKUP(H294,KLUS!$A$2:$A$2010,KLUS!$E$2:$E$2010)</f>
        <v>#N/A</v>
      </c>
      <c r="J294" s="114" t="str">
        <f t="shared" si="1"/>
        <v>#N/A</v>
      </c>
      <c r="K294" s="115" t="str">
        <f t="shared" si="2"/>
        <v>#N/A</v>
      </c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</row>
    <row r="295" ht="15.75" customHeight="1">
      <c r="A295" s="69" t="s">
        <v>6249</v>
      </c>
      <c r="B295" s="69" t="s">
        <v>5473</v>
      </c>
      <c r="C295" s="112" t="s">
        <v>6250</v>
      </c>
      <c r="D295" s="69"/>
      <c r="E295" s="69" t="s">
        <v>6251</v>
      </c>
      <c r="F295" s="69" t="s">
        <v>6252</v>
      </c>
      <c r="G295" s="69" t="s">
        <v>211</v>
      </c>
      <c r="H295" s="119"/>
      <c r="I295" s="114" t="str">
        <f t="array" ref="I295">XLOOKUP(G295,KLUS!$A$2:$A$2010,KLUS!$E$2:$E$2010)+XLOOKUP(H295,KLUS!$A$2:$A$2010,KLUS!$E$2:$E$2010)</f>
        <v>#N/A</v>
      </c>
      <c r="J295" s="114" t="str">
        <f t="shared" si="1"/>
        <v>#N/A</v>
      </c>
      <c r="K295" s="115" t="str">
        <f t="shared" si="2"/>
        <v>#N/A</v>
      </c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</row>
    <row r="296" ht="15.75" customHeight="1">
      <c r="A296" s="69" t="s">
        <v>6253</v>
      </c>
      <c r="B296" s="69" t="s">
        <v>5473</v>
      </c>
      <c r="C296" s="112" t="s">
        <v>6013</v>
      </c>
      <c r="D296" s="69"/>
      <c r="E296" s="69" t="s">
        <v>4539</v>
      </c>
      <c r="F296" s="69" t="s">
        <v>6254</v>
      </c>
      <c r="G296" s="69" t="s">
        <v>206</v>
      </c>
      <c r="H296" s="119"/>
      <c r="I296" s="114" t="str">
        <f t="array" ref="I296">XLOOKUP(G296,KLUS!$A$2:$A$2010,KLUS!$E$2:$E$2010)+XLOOKUP(H296,KLUS!$A$2:$A$2010,KLUS!$E$2:$E$2010)</f>
        <v>#N/A</v>
      </c>
      <c r="J296" s="114" t="str">
        <f t="shared" si="1"/>
        <v>#N/A</v>
      </c>
      <c r="K296" s="115" t="str">
        <f t="shared" si="2"/>
        <v>#N/A</v>
      </c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</row>
    <row r="297" ht="15.75" customHeight="1">
      <c r="A297" s="69" t="s">
        <v>6255</v>
      </c>
      <c r="B297" s="69" t="s">
        <v>5473</v>
      </c>
      <c r="C297" s="112" t="s">
        <v>6256</v>
      </c>
      <c r="D297" s="69"/>
      <c r="E297" s="69" t="s">
        <v>6257</v>
      </c>
      <c r="F297" s="69" t="s">
        <v>6258</v>
      </c>
      <c r="G297" s="69" t="s">
        <v>6257</v>
      </c>
      <c r="H297" s="119"/>
      <c r="I297" s="114" t="str">
        <f t="array" ref="I297">XLOOKUP(G297,KLUS!$A$2:$A$2010,KLUS!$E$2:$E$2010)+XLOOKUP(H297,KLUS!$A$2:$A$2010,KLUS!$E$2:$E$2010)</f>
        <v>#N/A</v>
      </c>
      <c r="J297" s="114" t="str">
        <f t="shared" si="1"/>
        <v>#N/A</v>
      </c>
      <c r="K297" s="115" t="str">
        <f t="shared" si="2"/>
        <v>#N/A</v>
      </c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</row>
    <row r="298" ht="15.75" customHeight="1">
      <c r="A298" s="69" t="s">
        <v>6259</v>
      </c>
      <c r="B298" s="69" t="s">
        <v>5473</v>
      </c>
      <c r="C298" s="112" t="s">
        <v>6260</v>
      </c>
      <c r="D298" s="69"/>
      <c r="E298" s="69" t="s">
        <v>6261</v>
      </c>
      <c r="F298" s="69" t="s">
        <v>6262</v>
      </c>
      <c r="G298" s="69" t="s">
        <v>213</v>
      </c>
      <c r="H298" s="119"/>
      <c r="I298" s="114" t="str">
        <f t="array" ref="I298">XLOOKUP(G298,KLUS!$A$2:$A$2010,KLUS!$E$2:$E$2010)+XLOOKUP(H298,KLUS!$A$2:$A$2010,KLUS!$E$2:$E$2010)</f>
        <v>#N/A</v>
      </c>
      <c r="J298" s="114" t="str">
        <f t="shared" si="1"/>
        <v>#N/A</v>
      </c>
      <c r="K298" s="115" t="str">
        <f t="shared" si="2"/>
        <v>#N/A</v>
      </c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</row>
    <row r="299" ht="15.75" customHeight="1">
      <c r="A299" s="69" t="s">
        <v>4317</v>
      </c>
      <c r="B299" s="69" t="s">
        <v>5473</v>
      </c>
      <c r="C299" s="112" t="s">
        <v>6263</v>
      </c>
      <c r="D299" s="69"/>
      <c r="E299" s="69" t="s">
        <v>4318</v>
      </c>
      <c r="F299" s="69" t="s">
        <v>6264</v>
      </c>
      <c r="G299" s="69" t="s">
        <v>173</v>
      </c>
      <c r="H299" s="119"/>
      <c r="I299" s="114" t="str">
        <f t="array" ref="I299">XLOOKUP(G299,KLUS!$A$2:$A$2010,KLUS!$E$2:$E$2010)+XLOOKUP(H299,KLUS!$A$2:$A$2010,KLUS!$E$2:$E$2010)</f>
        <v>#N/A</v>
      </c>
      <c r="J299" s="114" t="str">
        <f t="shared" si="1"/>
        <v>#N/A</v>
      </c>
      <c r="K299" s="115" t="str">
        <f t="shared" si="2"/>
        <v>#N/A</v>
      </c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</row>
    <row r="300" ht="15.75" customHeight="1">
      <c r="A300" s="69" t="s">
        <v>4319</v>
      </c>
      <c r="B300" s="69" t="s">
        <v>5473</v>
      </c>
      <c r="C300" s="112" t="s">
        <v>6265</v>
      </c>
      <c r="D300" s="69"/>
      <c r="E300" s="69" t="s">
        <v>4320</v>
      </c>
      <c r="F300" s="69" t="s">
        <v>6266</v>
      </c>
      <c r="G300" s="69" t="s">
        <v>176</v>
      </c>
      <c r="H300" s="119"/>
      <c r="I300" s="114" t="str">
        <f t="array" ref="I300">XLOOKUP(G300,KLUS!$A$2:$A$2010,KLUS!$E$2:$E$2010)+XLOOKUP(H300,KLUS!$A$2:$A$2010,KLUS!$E$2:$E$2010)</f>
        <v>#N/A</v>
      </c>
      <c r="J300" s="114" t="str">
        <f t="shared" si="1"/>
        <v>#N/A</v>
      </c>
      <c r="K300" s="115" t="str">
        <f t="shared" si="2"/>
        <v>#N/A</v>
      </c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</row>
    <row r="301" ht="15.75" customHeight="1">
      <c r="A301" s="69" t="s">
        <v>4321</v>
      </c>
      <c r="B301" s="69" t="s">
        <v>5473</v>
      </c>
      <c r="C301" s="112" t="s">
        <v>6267</v>
      </c>
      <c r="D301" s="69"/>
      <c r="E301" s="69" t="s">
        <v>4322</v>
      </c>
      <c r="F301" s="69" t="s">
        <v>6268</v>
      </c>
      <c r="G301" s="69" t="s">
        <v>178</v>
      </c>
      <c r="H301" s="119"/>
      <c r="I301" s="114" t="str">
        <f t="array" ref="I301">XLOOKUP(G301,KLUS!$A$2:$A$2010,KLUS!$E$2:$E$2010)+XLOOKUP(H301,KLUS!$A$2:$A$2010,KLUS!$E$2:$E$2010)</f>
        <v>#N/A</v>
      </c>
      <c r="J301" s="114" t="str">
        <f t="shared" si="1"/>
        <v>#N/A</v>
      </c>
      <c r="K301" s="115" t="str">
        <f t="shared" si="2"/>
        <v>#N/A</v>
      </c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</row>
    <row r="302" ht="15.75" customHeight="1">
      <c r="A302" s="69" t="s">
        <v>6269</v>
      </c>
      <c r="B302" s="69" t="s">
        <v>5473</v>
      </c>
      <c r="C302" s="112" t="s">
        <v>6270</v>
      </c>
      <c r="D302" s="69"/>
      <c r="E302" s="69" t="s">
        <v>6271</v>
      </c>
      <c r="F302" s="69" t="s">
        <v>6272</v>
      </c>
      <c r="G302" s="69" t="s">
        <v>270</v>
      </c>
      <c r="H302" s="119"/>
      <c r="I302" s="114" t="str">
        <f t="array" ref="I302">XLOOKUP(G302,KLUS!$A$2:$A$2010,KLUS!$E$2:$E$2010)+XLOOKUP(H302,KLUS!$A$2:$A$2010,KLUS!$E$2:$E$2010)</f>
        <v>#N/A</v>
      </c>
      <c r="J302" s="114" t="str">
        <f t="shared" si="1"/>
        <v>#N/A</v>
      </c>
      <c r="K302" s="115" t="str">
        <f t="shared" si="2"/>
        <v>#N/A</v>
      </c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</row>
    <row r="303" ht="15.75" customHeight="1">
      <c r="A303" s="69" t="s">
        <v>6273</v>
      </c>
      <c r="B303" s="69" t="s">
        <v>5473</v>
      </c>
      <c r="C303" s="112" t="s">
        <v>6274</v>
      </c>
      <c r="D303" s="69"/>
      <c r="E303" s="69" t="s">
        <v>284</v>
      </c>
      <c r="F303" s="69" t="s">
        <v>6275</v>
      </c>
      <c r="G303" s="69" t="s">
        <v>284</v>
      </c>
      <c r="H303" s="119"/>
      <c r="I303" s="114" t="str">
        <f t="array" ref="I303">XLOOKUP(G303,KLUS!$A$2:$A$2010,KLUS!$E$2:$E$2010)+XLOOKUP(H303,KLUS!$A$2:$A$2010,KLUS!$E$2:$E$2010)</f>
        <v>#N/A</v>
      </c>
      <c r="J303" s="114" t="str">
        <f t="shared" si="1"/>
        <v>#N/A</v>
      </c>
      <c r="K303" s="115" t="str">
        <f t="shared" si="2"/>
        <v>#N/A</v>
      </c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</row>
    <row r="304" ht="15.75" customHeight="1">
      <c r="A304" s="69" t="s">
        <v>6276</v>
      </c>
      <c r="B304" s="69" t="s">
        <v>5473</v>
      </c>
      <c r="C304" s="112" t="s">
        <v>6240</v>
      </c>
      <c r="D304" s="69"/>
      <c r="E304" s="69" t="s">
        <v>277</v>
      </c>
      <c r="F304" s="69" t="s">
        <v>6277</v>
      </c>
      <c r="G304" s="69" t="s">
        <v>277</v>
      </c>
      <c r="H304" s="119"/>
      <c r="I304" s="114" t="str">
        <f t="array" ref="I304">XLOOKUP(G304,KLUS!$A$2:$A$2010,KLUS!$E$2:$E$2010)+XLOOKUP(H304,KLUS!$A$2:$A$2010,KLUS!$E$2:$E$2010)</f>
        <v>#N/A</v>
      </c>
      <c r="J304" s="114" t="str">
        <f t="shared" si="1"/>
        <v>#N/A</v>
      </c>
      <c r="K304" s="115" t="str">
        <f t="shared" si="2"/>
        <v>#N/A</v>
      </c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</row>
    <row r="305" ht="15.75" customHeight="1">
      <c r="A305" s="69" t="s">
        <v>6278</v>
      </c>
      <c r="B305" s="69" t="s">
        <v>5473</v>
      </c>
      <c r="C305" s="112" t="s">
        <v>6279</v>
      </c>
      <c r="D305" s="69"/>
      <c r="E305" s="69" t="s">
        <v>6280</v>
      </c>
      <c r="F305" s="69" t="s">
        <v>6281</v>
      </c>
      <c r="G305" s="69" t="s">
        <v>273</v>
      </c>
      <c r="H305" s="119"/>
      <c r="I305" s="114" t="str">
        <f t="array" ref="I305">XLOOKUP(G305,KLUS!$A$2:$A$2010,KLUS!$E$2:$E$2010)+XLOOKUP(H305,KLUS!$A$2:$A$2010,KLUS!$E$2:$E$2010)</f>
        <v>#N/A</v>
      </c>
      <c r="J305" s="114" t="str">
        <f t="shared" si="1"/>
        <v>#N/A</v>
      </c>
      <c r="K305" s="115" t="str">
        <f t="shared" si="2"/>
        <v>#N/A</v>
      </c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</row>
    <row r="306" ht="15.75" customHeight="1">
      <c r="A306" s="69" t="s">
        <v>6282</v>
      </c>
      <c r="B306" s="69" t="s">
        <v>5473</v>
      </c>
      <c r="C306" s="112" t="s">
        <v>6283</v>
      </c>
      <c r="D306" s="69"/>
      <c r="E306" s="69" t="s">
        <v>287</v>
      </c>
      <c r="F306" s="69" t="s">
        <v>6284</v>
      </c>
      <c r="G306" s="69" t="s">
        <v>287</v>
      </c>
      <c r="H306" s="119"/>
      <c r="I306" s="114" t="str">
        <f t="array" ref="I306">XLOOKUP(G306,KLUS!$A$2:$A$2010,KLUS!$E$2:$E$2010)+XLOOKUP(H306,KLUS!$A$2:$A$2010,KLUS!$E$2:$E$2010)</f>
        <v>#N/A</v>
      </c>
      <c r="J306" s="114" t="str">
        <f t="shared" si="1"/>
        <v>#N/A</v>
      </c>
      <c r="K306" s="115" t="str">
        <f t="shared" si="2"/>
        <v>#N/A</v>
      </c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</row>
    <row r="307" ht="15.75" customHeight="1">
      <c r="A307" s="69" t="s">
        <v>6285</v>
      </c>
      <c r="B307" s="69" t="s">
        <v>5473</v>
      </c>
      <c r="C307" s="112" t="s">
        <v>6286</v>
      </c>
      <c r="D307" s="69"/>
      <c r="E307" s="69" t="s">
        <v>6287</v>
      </c>
      <c r="F307" s="69" t="s">
        <v>6288</v>
      </c>
      <c r="G307" s="69" t="s">
        <v>280</v>
      </c>
      <c r="H307" s="119"/>
      <c r="I307" s="114" t="str">
        <f t="array" ref="I307">XLOOKUP(G307,KLUS!$A$2:$A$2010,KLUS!$E$2:$E$2010)+XLOOKUP(H307,KLUS!$A$2:$A$2010,KLUS!$E$2:$E$2010)</f>
        <v>#N/A</v>
      </c>
      <c r="J307" s="114" t="str">
        <f t="shared" si="1"/>
        <v>#N/A</v>
      </c>
      <c r="K307" s="115" t="str">
        <f t="shared" si="2"/>
        <v>#N/A</v>
      </c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</row>
    <row r="308" ht="15.75" customHeight="1">
      <c r="A308" s="69" t="s">
        <v>6289</v>
      </c>
      <c r="B308" s="69" t="s">
        <v>5473</v>
      </c>
      <c r="C308" s="112" t="s">
        <v>6290</v>
      </c>
      <c r="D308" s="69"/>
      <c r="E308" s="69" t="s">
        <v>6291</v>
      </c>
      <c r="F308" s="69" t="s">
        <v>6292</v>
      </c>
      <c r="G308" s="69" t="s">
        <v>275</v>
      </c>
      <c r="H308" s="119"/>
      <c r="I308" s="114" t="str">
        <f t="array" ref="I308">XLOOKUP(G308,KLUS!$A$2:$A$2010,KLUS!$E$2:$E$2010)+XLOOKUP(H308,KLUS!$A$2:$A$2010,KLUS!$E$2:$E$2010)</f>
        <v>#N/A</v>
      </c>
      <c r="J308" s="114" t="str">
        <f t="shared" si="1"/>
        <v>#N/A</v>
      </c>
      <c r="K308" s="115" t="str">
        <f t="shared" si="2"/>
        <v>#N/A</v>
      </c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</row>
    <row r="309" ht="15.75" customHeight="1">
      <c r="A309" s="69" t="s">
        <v>6293</v>
      </c>
      <c r="B309" s="69" t="s">
        <v>5473</v>
      </c>
      <c r="C309" s="112" t="s">
        <v>6294</v>
      </c>
      <c r="D309" s="69"/>
      <c r="E309" s="69" t="s">
        <v>6295</v>
      </c>
      <c r="F309" s="69" t="s">
        <v>6296</v>
      </c>
      <c r="G309" s="69" t="s">
        <v>6295</v>
      </c>
      <c r="H309" s="119"/>
      <c r="I309" s="114" t="str">
        <f t="array" ref="I309">XLOOKUP(G309,KLUS!$A$2:$A$2010,KLUS!$E$2:$E$2010)+XLOOKUP(H309,KLUS!$A$2:$A$2010,KLUS!$E$2:$E$2010)</f>
        <v>#N/A</v>
      </c>
      <c r="J309" s="114" t="str">
        <f t="shared" si="1"/>
        <v>#N/A</v>
      </c>
      <c r="K309" s="115" t="str">
        <f t="shared" si="2"/>
        <v>#N/A</v>
      </c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</row>
    <row r="310" ht="15.75" customHeight="1">
      <c r="A310" s="69" t="s">
        <v>6297</v>
      </c>
      <c r="B310" s="69" t="s">
        <v>5473</v>
      </c>
      <c r="C310" s="112" t="s">
        <v>6298</v>
      </c>
      <c r="D310" s="69"/>
      <c r="E310" s="69" t="s">
        <v>6299</v>
      </c>
      <c r="F310" s="69" t="s">
        <v>6300</v>
      </c>
      <c r="G310" s="69" t="s">
        <v>282</v>
      </c>
      <c r="H310" s="119"/>
      <c r="I310" s="114" t="str">
        <f t="array" ref="I310">XLOOKUP(G310,KLUS!$A$2:$A$2010,KLUS!$E$2:$E$2010)+XLOOKUP(H310,KLUS!$A$2:$A$2010,KLUS!$E$2:$E$2010)</f>
        <v>#N/A</v>
      </c>
      <c r="J310" s="114" t="str">
        <f t="shared" si="1"/>
        <v>#N/A</v>
      </c>
      <c r="K310" s="115" t="str">
        <f t="shared" si="2"/>
        <v>#N/A</v>
      </c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</row>
    <row r="311" ht="15.75" customHeight="1">
      <c r="A311" s="69" t="s">
        <v>6301</v>
      </c>
      <c r="B311" s="69" t="s">
        <v>5473</v>
      </c>
      <c r="C311" s="112" t="s">
        <v>5517</v>
      </c>
      <c r="D311" s="69"/>
      <c r="E311" s="69" t="s">
        <v>6302</v>
      </c>
      <c r="F311" s="118"/>
      <c r="G311" s="69" t="s">
        <v>323</v>
      </c>
      <c r="H311" s="116" t="s">
        <v>1394</v>
      </c>
      <c r="I311" s="114">
        <f t="array" ref="I311">XLOOKUP(G311,KLUS!$A$2:$A$2010,KLUS!$E$2:$E$2010)+XLOOKUP(H311,KLUS!$A$2:$A$2010,KLUS!$E$2:$E$2010)</f>
        <v>33.6</v>
      </c>
      <c r="J311" s="114">
        <f t="shared" si="1"/>
        <v>30.24</v>
      </c>
      <c r="K311" s="115">
        <f t="shared" si="2"/>
        <v>24.192</v>
      </c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</row>
    <row r="312" ht="15.75" customHeight="1">
      <c r="A312" s="69" t="s">
        <v>6303</v>
      </c>
      <c r="B312" s="69" t="s">
        <v>5473</v>
      </c>
      <c r="C312" s="112" t="s">
        <v>6304</v>
      </c>
      <c r="D312" s="69"/>
      <c r="E312" s="69" t="s">
        <v>4340</v>
      </c>
      <c r="F312" s="118"/>
      <c r="G312" s="69" t="s">
        <v>323</v>
      </c>
      <c r="H312" s="116" t="s">
        <v>1369</v>
      </c>
      <c r="I312" s="114">
        <f t="array" ref="I312">XLOOKUP(G312,KLUS!$A$2:$A$2010,KLUS!$E$2:$E$2010)+XLOOKUP(H312,KLUS!$A$2:$A$2010,KLUS!$E$2:$E$2010)</f>
        <v>32.3</v>
      </c>
      <c r="J312" s="114">
        <f t="shared" si="1"/>
        <v>29.07</v>
      </c>
      <c r="K312" s="115">
        <f t="shared" si="2"/>
        <v>23.256</v>
      </c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</row>
    <row r="313" ht="15.75" customHeight="1">
      <c r="A313" s="69" t="s">
        <v>6305</v>
      </c>
      <c r="B313" s="69" t="s">
        <v>5473</v>
      </c>
      <c r="C313" s="112" t="s">
        <v>6306</v>
      </c>
      <c r="D313" s="69"/>
      <c r="E313" s="69" t="s">
        <v>4342</v>
      </c>
      <c r="F313" s="118"/>
      <c r="G313" s="69" t="s">
        <v>323</v>
      </c>
      <c r="H313" s="113" t="s">
        <v>1356</v>
      </c>
      <c r="I313" s="114">
        <f t="array" ref="I313">XLOOKUP(G313,KLUS!$A$2:$A$2010,KLUS!$E$2:$E$2010)+XLOOKUP(H313,KLUS!$A$2:$A$2010,KLUS!$E$2:$E$2010)</f>
        <v>26.5</v>
      </c>
      <c r="J313" s="114">
        <f t="shared" si="1"/>
        <v>23.85</v>
      </c>
      <c r="K313" s="115">
        <f t="shared" si="2"/>
        <v>19.08</v>
      </c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</row>
    <row r="314" ht="15.75" customHeight="1">
      <c r="A314" s="69" t="s">
        <v>6307</v>
      </c>
      <c r="B314" s="69" t="s">
        <v>5473</v>
      </c>
      <c r="C314" s="112" t="s">
        <v>6308</v>
      </c>
      <c r="D314" s="69"/>
      <c r="E314" s="69" t="s">
        <v>4344</v>
      </c>
      <c r="F314" s="118"/>
      <c r="G314" s="69" t="s">
        <v>323</v>
      </c>
      <c r="H314" s="116" t="s">
        <v>1376</v>
      </c>
      <c r="I314" s="114">
        <f t="array" ref="I314">XLOOKUP(G314,KLUS!$A$2:$A$2010,KLUS!$E$2:$E$2010)+XLOOKUP(H314,KLUS!$A$2:$A$2010,KLUS!$E$2:$E$2010)</f>
        <v>32.3</v>
      </c>
      <c r="J314" s="114">
        <f t="shared" si="1"/>
        <v>29.07</v>
      </c>
      <c r="K314" s="115">
        <f t="shared" si="2"/>
        <v>23.256</v>
      </c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</row>
    <row r="315" ht="15.75" customHeight="1">
      <c r="A315" s="69" t="s">
        <v>6309</v>
      </c>
      <c r="B315" s="69" t="s">
        <v>5473</v>
      </c>
      <c r="C315" s="112" t="s">
        <v>6310</v>
      </c>
      <c r="D315" s="69"/>
      <c r="E315" s="69" t="s">
        <v>4348</v>
      </c>
      <c r="F315" s="118"/>
      <c r="G315" s="69" t="s">
        <v>326</v>
      </c>
      <c r="H315" s="113" t="s">
        <v>1372</v>
      </c>
      <c r="I315" s="114">
        <f t="array" ref="I315">XLOOKUP(G315,KLUS!$A$2:$A$2010,KLUS!$E$2:$E$2010)+XLOOKUP(H315,KLUS!$A$2:$A$2010,KLUS!$E$2:$E$2010)</f>
        <v>64.4</v>
      </c>
      <c r="J315" s="114">
        <f t="shared" si="1"/>
        <v>57.96</v>
      </c>
      <c r="K315" s="115">
        <f t="shared" si="2"/>
        <v>46.368</v>
      </c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</row>
    <row r="316" ht="15.75" customHeight="1">
      <c r="A316" s="69" t="s">
        <v>6311</v>
      </c>
      <c r="B316" s="69" t="s">
        <v>5473</v>
      </c>
      <c r="C316" s="112" t="s">
        <v>6310</v>
      </c>
      <c r="D316" s="69"/>
      <c r="E316" s="69" t="s">
        <v>4350</v>
      </c>
      <c r="F316" s="118"/>
      <c r="G316" s="69" t="s">
        <v>326</v>
      </c>
      <c r="H316" s="113" t="s">
        <v>1378</v>
      </c>
      <c r="I316" s="114">
        <f t="array" ref="I316">XLOOKUP(G316,KLUS!$A$2:$A$2010,KLUS!$E$2:$E$2010)+XLOOKUP(H316,KLUS!$A$2:$A$2010,KLUS!$E$2:$E$2010)</f>
        <v>64.4</v>
      </c>
      <c r="J316" s="114">
        <f t="shared" si="1"/>
        <v>57.96</v>
      </c>
      <c r="K316" s="115">
        <f t="shared" si="2"/>
        <v>46.368</v>
      </c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</row>
    <row r="317" ht="15.75" customHeight="1">
      <c r="A317" s="69" t="s">
        <v>6312</v>
      </c>
      <c r="B317" s="69" t="s">
        <v>5473</v>
      </c>
      <c r="C317" s="112" t="s">
        <v>6313</v>
      </c>
      <c r="D317" s="69"/>
      <c r="E317" s="69" t="s">
        <v>4354</v>
      </c>
      <c r="F317" s="118"/>
      <c r="G317" s="69" t="s">
        <v>328</v>
      </c>
      <c r="H317" s="113" t="s">
        <v>1374</v>
      </c>
      <c r="I317" s="114">
        <f t="array" ref="I317">XLOOKUP(G317,KLUS!$A$2:$A$2010,KLUS!$E$2:$E$2010)+XLOOKUP(H317,KLUS!$A$2:$A$2010,KLUS!$E$2:$E$2010)</f>
        <v>96.6</v>
      </c>
      <c r="J317" s="114">
        <f t="shared" si="1"/>
        <v>86.94</v>
      </c>
      <c r="K317" s="115">
        <f t="shared" si="2"/>
        <v>69.552</v>
      </c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</row>
    <row r="318" ht="15.75" customHeight="1">
      <c r="A318" s="69" t="s">
        <v>6314</v>
      </c>
      <c r="B318" s="69" t="s">
        <v>5473</v>
      </c>
      <c r="C318" s="112" t="s">
        <v>6313</v>
      </c>
      <c r="D318" s="69"/>
      <c r="E318" s="69" t="s">
        <v>4356</v>
      </c>
      <c r="F318" s="118"/>
      <c r="G318" s="69" t="s">
        <v>328</v>
      </c>
      <c r="H318" s="113" t="s">
        <v>1380</v>
      </c>
      <c r="I318" s="114">
        <f t="array" ref="I318">XLOOKUP(G318,KLUS!$A$2:$A$2010,KLUS!$E$2:$E$2010)+XLOOKUP(H318,KLUS!$A$2:$A$2010,KLUS!$E$2:$E$2010)</f>
        <v>96.6</v>
      </c>
      <c r="J318" s="114">
        <f t="shared" si="1"/>
        <v>86.94</v>
      </c>
      <c r="K318" s="115">
        <f t="shared" si="2"/>
        <v>69.552</v>
      </c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</row>
    <row r="319" ht="15.75" customHeight="1">
      <c r="A319" s="69" t="s">
        <v>6315</v>
      </c>
      <c r="B319" s="69" t="s">
        <v>5473</v>
      </c>
      <c r="C319" s="112" t="s">
        <v>5818</v>
      </c>
      <c r="D319" s="69"/>
      <c r="E319" s="69" t="s">
        <v>6316</v>
      </c>
      <c r="F319" s="69" t="s">
        <v>6317</v>
      </c>
      <c r="G319" s="69" t="s">
        <v>296</v>
      </c>
      <c r="H319" s="119"/>
      <c r="I319" s="114" t="str">
        <f t="array" ref="I319">XLOOKUP(G319,KLUS!$A$2:$A$2010,KLUS!$E$2:$E$2010)+XLOOKUP(H319,KLUS!$A$2:$A$2010,KLUS!$E$2:$E$2010)</f>
        <v>#N/A</v>
      </c>
      <c r="J319" s="114" t="str">
        <f t="shared" si="1"/>
        <v>#N/A</v>
      </c>
      <c r="K319" s="115" t="str">
        <f t="shared" si="2"/>
        <v>#N/A</v>
      </c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</row>
    <row r="320" ht="15.75" customHeight="1">
      <c r="A320" s="69" t="s">
        <v>6318</v>
      </c>
      <c r="B320" s="69" t="s">
        <v>5473</v>
      </c>
      <c r="C320" s="112" t="s">
        <v>6319</v>
      </c>
      <c r="D320" s="69"/>
      <c r="E320" s="69" t="s">
        <v>6320</v>
      </c>
      <c r="F320" s="118"/>
      <c r="G320" s="69" t="s">
        <v>299</v>
      </c>
      <c r="H320" s="119"/>
      <c r="I320" s="114" t="str">
        <f t="array" ref="I320">XLOOKUP(G320,KLUS!$A$2:$A$2010,KLUS!$E$2:$E$2010)+XLOOKUP(H320,KLUS!$A$2:$A$2010,KLUS!$E$2:$E$2010)</f>
        <v>#N/A</v>
      </c>
      <c r="J320" s="114" t="str">
        <f t="shared" si="1"/>
        <v>#N/A</v>
      </c>
      <c r="K320" s="115" t="str">
        <f t="shared" si="2"/>
        <v>#N/A</v>
      </c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</row>
    <row r="321" ht="15.75" customHeight="1">
      <c r="A321" s="69" t="s">
        <v>6321</v>
      </c>
      <c r="B321" s="69" t="s">
        <v>5473</v>
      </c>
      <c r="C321" s="112" t="s">
        <v>6322</v>
      </c>
      <c r="D321" s="69"/>
      <c r="E321" s="69" t="s">
        <v>301</v>
      </c>
      <c r="F321" s="69" t="s">
        <v>6323</v>
      </c>
      <c r="G321" s="69" t="s">
        <v>301</v>
      </c>
      <c r="H321" s="119"/>
      <c r="I321" s="114" t="str">
        <f t="array" ref="I321">XLOOKUP(G321,KLUS!$A$2:$A$2010,KLUS!$E$2:$E$2010)+XLOOKUP(H321,KLUS!$A$2:$A$2010,KLUS!$E$2:$E$2010)</f>
        <v>#N/A</v>
      </c>
      <c r="J321" s="114" t="str">
        <f t="shared" si="1"/>
        <v>#N/A</v>
      </c>
      <c r="K321" s="115" t="str">
        <f t="shared" si="2"/>
        <v>#N/A</v>
      </c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</row>
    <row r="322" ht="15.75" customHeight="1">
      <c r="A322" s="69" t="s">
        <v>6324</v>
      </c>
      <c r="B322" s="69" t="s">
        <v>5473</v>
      </c>
      <c r="C322" s="112" t="s">
        <v>6325</v>
      </c>
      <c r="D322" s="69"/>
      <c r="E322" s="69" t="s">
        <v>4361</v>
      </c>
      <c r="F322" s="69" t="s">
        <v>6326</v>
      </c>
      <c r="G322" s="69" t="s">
        <v>149</v>
      </c>
      <c r="H322" s="119"/>
      <c r="I322" s="114" t="str">
        <f t="array" ref="I322">XLOOKUP(G322,KLUS!$A$2:$A$2010,KLUS!$E$2:$E$2010)+XLOOKUP(H322,KLUS!$A$2:$A$2010,KLUS!$E$2:$E$2010)</f>
        <v>#N/A</v>
      </c>
      <c r="J322" s="114" t="str">
        <f t="shared" si="1"/>
        <v>#N/A</v>
      </c>
      <c r="K322" s="115" t="str">
        <f t="shared" si="2"/>
        <v>#N/A</v>
      </c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</row>
    <row r="323" ht="15.75" customHeight="1">
      <c r="A323" s="69" t="s">
        <v>6327</v>
      </c>
      <c r="B323" s="69" t="s">
        <v>5473</v>
      </c>
      <c r="C323" s="112" t="s">
        <v>6328</v>
      </c>
      <c r="D323" s="69"/>
      <c r="E323" s="69" t="s">
        <v>6329</v>
      </c>
      <c r="F323" s="69" t="s">
        <v>6330</v>
      </c>
      <c r="G323" s="69" t="s">
        <v>180</v>
      </c>
      <c r="H323" s="119"/>
      <c r="I323" s="114" t="str">
        <f t="array" ref="I323">XLOOKUP(G323,KLUS!$A$2:$A$2010,KLUS!$E$2:$E$2010)+XLOOKUP(H323,KLUS!$A$2:$A$2010,KLUS!$E$2:$E$2010)</f>
        <v>#N/A</v>
      </c>
      <c r="J323" s="114" t="str">
        <f t="shared" si="1"/>
        <v>#N/A</v>
      </c>
      <c r="K323" s="115" t="str">
        <f t="shared" si="2"/>
        <v>#N/A</v>
      </c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</row>
    <row r="324" ht="15.75" customHeight="1">
      <c r="A324" s="69" t="s">
        <v>6331</v>
      </c>
      <c r="B324" s="69" t="s">
        <v>5473</v>
      </c>
      <c r="C324" s="112" t="s">
        <v>6332</v>
      </c>
      <c r="D324" s="69"/>
      <c r="E324" s="69" t="s">
        <v>4367</v>
      </c>
      <c r="F324" s="69" t="s">
        <v>6333</v>
      </c>
      <c r="G324" s="69" t="s">
        <v>187</v>
      </c>
      <c r="H324" s="119"/>
      <c r="I324" s="114" t="str">
        <f t="array" ref="I324">XLOOKUP(G324,KLUS!$A$2:$A$2010,KLUS!$E$2:$E$2010)+XLOOKUP(H324,KLUS!$A$2:$A$2010,KLUS!$E$2:$E$2010)</f>
        <v>#N/A</v>
      </c>
      <c r="J324" s="114" t="str">
        <f t="shared" si="1"/>
        <v>#N/A</v>
      </c>
      <c r="K324" s="115" t="str">
        <f t="shared" si="2"/>
        <v>#N/A</v>
      </c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</row>
    <row r="325" ht="15.75" customHeight="1">
      <c r="A325" s="69" t="s">
        <v>6334</v>
      </c>
      <c r="B325" s="69" t="s">
        <v>5473</v>
      </c>
      <c r="C325" s="112" t="s">
        <v>6283</v>
      </c>
      <c r="D325" s="69"/>
      <c r="E325" s="69" t="s">
        <v>4369</v>
      </c>
      <c r="F325" s="69" t="s">
        <v>6335</v>
      </c>
      <c r="G325" s="69" t="s">
        <v>183</v>
      </c>
      <c r="H325" s="119"/>
      <c r="I325" s="114" t="str">
        <f t="array" ref="I325">XLOOKUP(G325,KLUS!$A$2:$A$2010,KLUS!$E$2:$E$2010)+XLOOKUP(H325,KLUS!$A$2:$A$2010,KLUS!$E$2:$E$2010)</f>
        <v>#N/A</v>
      </c>
      <c r="J325" s="114" t="str">
        <f t="shared" si="1"/>
        <v>#N/A</v>
      </c>
      <c r="K325" s="115" t="str">
        <f t="shared" si="2"/>
        <v>#N/A</v>
      </c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</row>
    <row r="326" ht="15.75" customHeight="1">
      <c r="A326" s="69" t="s">
        <v>6336</v>
      </c>
      <c r="B326" s="69" t="s">
        <v>5473</v>
      </c>
      <c r="C326" s="112" t="s">
        <v>5881</v>
      </c>
      <c r="D326" s="69"/>
      <c r="E326" s="69" t="s">
        <v>4371</v>
      </c>
      <c r="F326" s="69" t="s">
        <v>6337</v>
      </c>
      <c r="G326" s="69" t="s">
        <v>190</v>
      </c>
      <c r="H326" s="119"/>
      <c r="I326" s="114" t="str">
        <f t="array" ref="I326">XLOOKUP(G326,KLUS!$A$2:$A$2010,KLUS!$E$2:$E$2010)+XLOOKUP(H326,KLUS!$A$2:$A$2010,KLUS!$E$2:$E$2010)</f>
        <v>#N/A</v>
      </c>
      <c r="J326" s="114" t="str">
        <f t="shared" si="1"/>
        <v>#N/A</v>
      </c>
      <c r="K326" s="115" t="str">
        <f t="shared" si="2"/>
        <v>#N/A</v>
      </c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</row>
    <row r="327" ht="15.75" customHeight="1">
      <c r="A327" s="69" t="s">
        <v>6338</v>
      </c>
      <c r="B327" s="69" t="s">
        <v>5473</v>
      </c>
      <c r="C327" s="112" t="s">
        <v>6339</v>
      </c>
      <c r="D327" s="69"/>
      <c r="E327" s="69" t="s">
        <v>4373</v>
      </c>
      <c r="F327" s="69" t="s">
        <v>6340</v>
      </c>
      <c r="G327" s="69" t="s">
        <v>185</v>
      </c>
      <c r="H327" s="119"/>
      <c r="I327" s="114" t="str">
        <f t="array" ref="I327">XLOOKUP(G327,KLUS!$A$2:$A$2010,KLUS!$E$2:$E$2010)+XLOOKUP(H327,KLUS!$A$2:$A$2010,KLUS!$E$2:$E$2010)</f>
        <v>#N/A</v>
      </c>
      <c r="J327" s="114" t="str">
        <f t="shared" si="1"/>
        <v>#N/A</v>
      </c>
      <c r="K327" s="115" t="str">
        <f t="shared" si="2"/>
        <v>#N/A</v>
      </c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</row>
    <row r="328" ht="15.75" customHeight="1">
      <c r="A328" s="69" t="s">
        <v>6341</v>
      </c>
      <c r="B328" s="69" t="s">
        <v>5473</v>
      </c>
      <c r="C328" s="112" t="s">
        <v>6342</v>
      </c>
      <c r="D328" s="69"/>
      <c r="E328" s="69" t="s">
        <v>4375</v>
      </c>
      <c r="F328" s="69" t="s">
        <v>6343</v>
      </c>
      <c r="G328" s="69" t="s">
        <v>192</v>
      </c>
      <c r="H328" s="119"/>
      <c r="I328" s="114" t="str">
        <f t="array" ref="I328">XLOOKUP(G328,KLUS!$A$2:$A$2010,KLUS!$E$2:$E$2010)+XLOOKUP(H328,KLUS!$A$2:$A$2010,KLUS!$E$2:$E$2010)</f>
        <v>#N/A</v>
      </c>
      <c r="J328" s="114" t="str">
        <f t="shared" si="1"/>
        <v>#N/A</v>
      </c>
      <c r="K328" s="115" t="str">
        <f t="shared" si="2"/>
        <v>#N/A</v>
      </c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</row>
    <row r="329" ht="15.75" customHeight="1">
      <c r="A329" s="69" t="s">
        <v>6344</v>
      </c>
      <c r="B329" s="69" t="s">
        <v>5473</v>
      </c>
      <c r="C329" s="112" t="s">
        <v>6332</v>
      </c>
      <c r="D329" s="69"/>
      <c r="E329" s="69" t="s">
        <v>6345</v>
      </c>
      <c r="F329" s="69" t="s">
        <v>6346</v>
      </c>
      <c r="G329" s="69" t="s">
        <v>156</v>
      </c>
      <c r="H329" s="119"/>
      <c r="I329" s="114" t="str">
        <f t="array" ref="I329">XLOOKUP(G329,KLUS!$A$2:$A$2010,KLUS!$E$2:$E$2010)+XLOOKUP(H329,KLUS!$A$2:$A$2010,KLUS!$E$2:$E$2010)</f>
        <v>#N/A</v>
      </c>
      <c r="J329" s="114" t="str">
        <f t="shared" si="1"/>
        <v>#N/A</v>
      </c>
      <c r="K329" s="115" t="str">
        <f t="shared" si="2"/>
        <v>#N/A</v>
      </c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</row>
    <row r="330" ht="15.75" customHeight="1">
      <c r="A330" s="69" t="s">
        <v>6347</v>
      </c>
      <c r="B330" s="69" t="s">
        <v>5473</v>
      </c>
      <c r="C330" s="112" t="s">
        <v>6348</v>
      </c>
      <c r="D330" s="69"/>
      <c r="E330" s="69" t="s">
        <v>6349</v>
      </c>
      <c r="F330" s="69" t="s">
        <v>6350</v>
      </c>
      <c r="G330" s="69" t="s">
        <v>159</v>
      </c>
      <c r="H330" s="119"/>
      <c r="I330" s="114" t="str">
        <f t="array" ref="I330">XLOOKUP(G330,KLUS!$A$2:$A$2010,KLUS!$E$2:$E$2010)+XLOOKUP(H330,KLUS!$A$2:$A$2010,KLUS!$E$2:$E$2010)</f>
        <v>#N/A</v>
      </c>
      <c r="J330" s="114" t="str">
        <f t="shared" si="1"/>
        <v>#N/A</v>
      </c>
      <c r="K330" s="115" t="str">
        <f t="shared" si="2"/>
        <v>#N/A</v>
      </c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</row>
    <row r="331" ht="15.75" customHeight="1">
      <c r="A331" s="69" t="s">
        <v>6351</v>
      </c>
      <c r="B331" s="69" t="s">
        <v>5473</v>
      </c>
      <c r="C331" s="112" t="s">
        <v>6342</v>
      </c>
      <c r="D331" s="69"/>
      <c r="E331" s="69" t="s">
        <v>6352</v>
      </c>
      <c r="F331" s="69" t="s">
        <v>6353</v>
      </c>
      <c r="G331" s="69" t="s">
        <v>161</v>
      </c>
      <c r="H331" s="119"/>
      <c r="I331" s="114" t="str">
        <f t="array" ref="I331">XLOOKUP(G331,KLUS!$A$2:$A$2010,KLUS!$E$2:$E$2010)+XLOOKUP(H331,KLUS!$A$2:$A$2010,KLUS!$E$2:$E$2010)</f>
        <v>#N/A</v>
      </c>
      <c r="J331" s="114" t="str">
        <f t="shared" si="1"/>
        <v>#N/A</v>
      </c>
      <c r="K331" s="115" t="str">
        <f t="shared" si="2"/>
        <v>#N/A</v>
      </c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</row>
    <row r="332" ht="15.75" customHeight="1">
      <c r="A332" s="69" t="s">
        <v>4544</v>
      </c>
      <c r="B332" s="69" t="s">
        <v>5473</v>
      </c>
      <c r="C332" s="112" t="s">
        <v>5914</v>
      </c>
      <c r="D332" s="69"/>
      <c r="E332" s="69" t="s">
        <v>4545</v>
      </c>
      <c r="F332" s="69" t="s">
        <v>6354</v>
      </c>
      <c r="G332" s="69" t="s">
        <v>5</v>
      </c>
      <c r="H332" s="119"/>
      <c r="I332" s="114" t="str">
        <f t="array" ref="I332">XLOOKUP(G332,KLUS!$A$2:$A$2010,KLUS!$E$2:$E$2010)+XLOOKUP(H332,KLUS!$A$2:$A$2010,KLUS!$E$2:$E$2010)</f>
        <v>#N/A</v>
      </c>
      <c r="J332" s="114" t="str">
        <f t="shared" si="1"/>
        <v>#N/A</v>
      </c>
      <c r="K332" s="115" t="str">
        <f t="shared" si="2"/>
        <v>#N/A</v>
      </c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</row>
    <row r="333" ht="15.75" customHeight="1">
      <c r="A333" s="69" t="s">
        <v>6355</v>
      </c>
      <c r="B333" s="69" t="s">
        <v>5473</v>
      </c>
      <c r="C333" s="112" t="s">
        <v>6356</v>
      </c>
      <c r="D333" s="69"/>
      <c r="E333" s="69" t="s">
        <v>4547</v>
      </c>
      <c r="F333" s="69" t="s">
        <v>6357</v>
      </c>
      <c r="G333" s="69" t="s">
        <v>5</v>
      </c>
      <c r="H333" s="116" t="s">
        <v>1274</v>
      </c>
      <c r="I333" s="114">
        <f t="array" ref="I333">XLOOKUP(G333,KLUS!$A$2:$A$2010,KLUS!$E$2:$E$2010)+XLOOKUP(H333,KLUS!$A$2:$A$2010,KLUS!$E$2:$E$2010)</f>
        <v>18.6</v>
      </c>
      <c r="J333" s="114">
        <f t="shared" si="1"/>
        <v>16.74</v>
      </c>
      <c r="K333" s="115">
        <f t="shared" si="2"/>
        <v>13.392</v>
      </c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</row>
    <row r="334" ht="15.75" customHeight="1">
      <c r="A334" s="69" t="s">
        <v>4548</v>
      </c>
      <c r="B334" s="69" t="s">
        <v>5473</v>
      </c>
      <c r="C334" s="112" t="s">
        <v>6358</v>
      </c>
      <c r="D334" s="69"/>
      <c r="E334" s="69" t="s">
        <v>4549</v>
      </c>
      <c r="F334" s="69" t="s">
        <v>6359</v>
      </c>
      <c r="G334" s="69" t="s">
        <v>8</v>
      </c>
      <c r="H334" s="119"/>
      <c r="I334" s="114" t="str">
        <f t="array" ref="I334">XLOOKUP(G334,KLUS!$A$2:$A$2010,KLUS!$E$2:$E$2010)+XLOOKUP(H334,KLUS!$A$2:$A$2010,KLUS!$E$2:$E$2010)</f>
        <v>#N/A</v>
      </c>
      <c r="J334" s="114" t="str">
        <f t="shared" si="1"/>
        <v>#N/A</v>
      </c>
      <c r="K334" s="115" t="str">
        <f t="shared" si="2"/>
        <v>#N/A</v>
      </c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</row>
    <row r="335" ht="15.75" customHeight="1">
      <c r="A335" s="69" t="s">
        <v>4550</v>
      </c>
      <c r="B335" s="69" t="s">
        <v>5473</v>
      </c>
      <c r="C335" s="112" t="s">
        <v>6360</v>
      </c>
      <c r="D335" s="69"/>
      <c r="E335" s="69" t="s">
        <v>6361</v>
      </c>
      <c r="F335" s="69" t="s">
        <v>6362</v>
      </c>
      <c r="G335" s="69" t="s">
        <v>10</v>
      </c>
      <c r="H335" s="119"/>
      <c r="I335" s="114" t="str">
        <f t="array" ref="I335">XLOOKUP(G335,KLUS!$A$2:$A$2010,KLUS!$E$2:$E$2010)+XLOOKUP(H335,KLUS!$A$2:$A$2010,KLUS!$E$2:$E$2010)</f>
        <v>#N/A</v>
      </c>
      <c r="J335" s="114" t="str">
        <f t="shared" si="1"/>
        <v>#N/A</v>
      </c>
      <c r="K335" s="115" t="str">
        <f t="shared" si="2"/>
        <v>#N/A</v>
      </c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</row>
    <row r="336" ht="15.75" customHeight="1">
      <c r="A336" s="69" t="s">
        <v>6363</v>
      </c>
      <c r="B336" s="69" t="s">
        <v>5473</v>
      </c>
      <c r="C336" s="112" t="s">
        <v>6364</v>
      </c>
      <c r="D336" s="69"/>
      <c r="E336" s="69" t="s">
        <v>6365</v>
      </c>
      <c r="F336" s="69" t="s">
        <v>6366</v>
      </c>
      <c r="G336" s="69" t="s">
        <v>19</v>
      </c>
      <c r="H336" s="119"/>
      <c r="I336" s="114" t="str">
        <f t="array" ref="I336">XLOOKUP(G336,KLUS!$A$2:$A$2010,KLUS!$E$2:$E$2010)+XLOOKUP(H336,KLUS!$A$2:$A$2010,KLUS!$E$2:$E$2010)</f>
        <v>#N/A</v>
      </c>
      <c r="J336" s="114" t="str">
        <f t="shared" si="1"/>
        <v>#N/A</v>
      </c>
      <c r="K336" s="115" t="str">
        <f t="shared" si="2"/>
        <v>#N/A</v>
      </c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</row>
    <row r="337" ht="15.75" customHeight="1">
      <c r="A337" s="69" t="s">
        <v>6367</v>
      </c>
      <c r="B337" s="69" t="s">
        <v>5473</v>
      </c>
      <c r="C337" s="112" t="s">
        <v>6368</v>
      </c>
      <c r="D337" s="69"/>
      <c r="E337" s="69" t="s">
        <v>4555</v>
      </c>
      <c r="F337" s="69" t="s">
        <v>6369</v>
      </c>
      <c r="G337" s="69" t="s">
        <v>26</v>
      </c>
      <c r="H337" s="119"/>
      <c r="I337" s="114" t="str">
        <f t="array" ref="I337">XLOOKUP(G337,KLUS!$A$2:$A$2010,KLUS!$E$2:$E$2010)+XLOOKUP(H337,KLUS!$A$2:$A$2010,KLUS!$E$2:$E$2010)</f>
        <v>#N/A</v>
      </c>
      <c r="J337" s="114" t="str">
        <f t="shared" si="1"/>
        <v>#N/A</v>
      </c>
      <c r="K337" s="115" t="str">
        <f t="shared" si="2"/>
        <v>#N/A</v>
      </c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</row>
    <row r="338" ht="15.75" customHeight="1">
      <c r="A338" s="69" t="s">
        <v>6370</v>
      </c>
      <c r="B338" s="69" t="s">
        <v>5473</v>
      </c>
      <c r="C338" s="112" t="s">
        <v>6371</v>
      </c>
      <c r="D338" s="69"/>
      <c r="E338" s="69" t="s">
        <v>4557</v>
      </c>
      <c r="F338" s="69" t="s">
        <v>6372</v>
      </c>
      <c r="G338" s="69" t="s">
        <v>22</v>
      </c>
      <c r="H338" s="119"/>
      <c r="I338" s="114" t="str">
        <f t="array" ref="I338">XLOOKUP(G338,KLUS!$A$2:$A$2010,KLUS!$E$2:$E$2010)+XLOOKUP(H338,KLUS!$A$2:$A$2010,KLUS!$E$2:$E$2010)</f>
        <v>#N/A</v>
      </c>
      <c r="J338" s="114" t="str">
        <f t="shared" si="1"/>
        <v>#N/A</v>
      </c>
      <c r="K338" s="115" t="str">
        <f t="shared" si="2"/>
        <v>#N/A</v>
      </c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</row>
    <row r="339" ht="15.75" customHeight="1">
      <c r="A339" s="69" t="s">
        <v>6373</v>
      </c>
      <c r="B339" s="69" t="s">
        <v>5473</v>
      </c>
      <c r="C339" s="112" t="s">
        <v>6374</v>
      </c>
      <c r="D339" s="69"/>
      <c r="E339" s="69" t="s">
        <v>4559</v>
      </c>
      <c r="F339" s="69" t="s">
        <v>6375</v>
      </c>
      <c r="G339" s="69" t="s">
        <v>29</v>
      </c>
      <c r="H339" s="119"/>
      <c r="I339" s="114" t="str">
        <f t="array" ref="I339">XLOOKUP(G339,KLUS!$A$2:$A$2010,KLUS!$E$2:$E$2010)+XLOOKUP(H339,KLUS!$A$2:$A$2010,KLUS!$E$2:$E$2010)</f>
        <v>#N/A</v>
      </c>
      <c r="J339" s="114" t="str">
        <f t="shared" si="1"/>
        <v>#N/A</v>
      </c>
      <c r="K339" s="115" t="str">
        <f t="shared" si="2"/>
        <v>#N/A</v>
      </c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</row>
    <row r="340" ht="15.75" customHeight="1">
      <c r="A340" s="69" t="s">
        <v>6376</v>
      </c>
      <c r="B340" s="69" t="s">
        <v>5473</v>
      </c>
      <c r="C340" s="112" t="s">
        <v>5956</v>
      </c>
      <c r="D340" s="69"/>
      <c r="E340" s="69" t="s">
        <v>4561</v>
      </c>
      <c r="F340" s="69" t="s">
        <v>6377</v>
      </c>
      <c r="G340" s="69" t="s">
        <v>24</v>
      </c>
      <c r="H340" s="119"/>
      <c r="I340" s="114" t="str">
        <f t="array" ref="I340">XLOOKUP(G340,KLUS!$A$2:$A$2010,KLUS!$E$2:$E$2010)+XLOOKUP(H340,KLUS!$A$2:$A$2010,KLUS!$E$2:$E$2010)</f>
        <v>#N/A</v>
      </c>
      <c r="J340" s="114" t="str">
        <f t="shared" si="1"/>
        <v>#N/A</v>
      </c>
      <c r="K340" s="115" t="str">
        <f t="shared" si="2"/>
        <v>#N/A</v>
      </c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</row>
    <row r="341" ht="15.75" customHeight="1">
      <c r="A341" s="69" t="s">
        <v>6378</v>
      </c>
      <c r="B341" s="69" t="s">
        <v>5473</v>
      </c>
      <c r="C341" s="112" t="s">
        <v>6126</v>
      </c>
      <c r="D341" s="69"/>
      <c r="E341" s="69" t="s">
        <v>4563</v>
      </c>
      <c r="F341" s="69" t="s">
        <v>6379</v>
      </c>
      <c r="G341" s="69" t="s">
        <v>31</v>
      </c>
      <c r="H341" s="119"/>
      <c r="I341" s="114" t="str">
        <f t="array" ref="I341">XLOOKUP(G341,KLUS!$A$2:$A$2010,KLUS!$E$2:$E$2010)+XLOOKUP(H341,KLUS!$A$2:$A$2010,KLUS!$E$2:$E$2010)</f>
        <v>#N/A</v>
      </c>
      <c r="J341" s="114" t="str">
        <f t="shared" si="1"/>
        <v>#N/A</v>
      </c>
      <c r="K341" s="115" t="str">
        <f t="shared" si="2"/>
        <v>#N/A</v>
      </c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</row>
    <row r="342" ht="15.75" customHeight="1">
      <c r="A342" s="69" t="s">
        <v>4564</v>
      </c>
      <c r="B342" s="69" t="s">
        <v>5473</v>
      </c>
      <c r="C342" s="112" t="s">
        <v>6380</v>
      </c>
      <c r="D342" s="69"/>
      <c r="E342" s="69" t="s">
        <v>6381</v>
      </c>
      <c r="F342" s="69" t="s">
        <v>6382</v>
      </c>
      <c r="G342" s="69" t="s">
        <v>51</v>
      </c>
      <c r="H342" s="119"/>
      <c r="I342" s="114" t="str">
        <f t="array" ref="I342">XLOOKUP(G342,KLUS!$A$2:$A$2010,KLUS!$E$2:$E$2010)+XLOOKUP(H342,KLUS!$A$2:$A$2010,KLUS!$E$2:$E$2010)</f>
        <v>#N/A</v>
      </c>
      <c r="J342" s="114" t="str">
        <f t="shared" si="1"/>
        <v>#N/A</v>
      </c>
      <c r="K342" s="115" t="str">
        <f t="shared" si="2"/>
        <v>#N/A</v>
      </c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</row>
    <row r="343" ht="15.75" customHeight="1">
      <c r="A343" s="69" t="s">
        <v>4566</v>
      </c>
      <c r="B343" s="69" t="s">
        <v>5473</v>
      </c>
      <c r="C343" s="112" t="s">
        <v>5487</v>
      </c>
      <c r="D343" s="69"/>
      <c r="E343" s="69" t="s">
        <v>4567</v>
      </c>
      <c r="F343" s="69" t="s">
        <v>6383</v>
      </c>
      <c r="G343" s="69" t="s">
        <v>54</v>
      </c>
      <c r="H343" s="119"/>
      <c r="I343" s="114" t="str">
        <f t="array" ref="I343">XLOOKUP(G343,KLUS!$A$2:$A$2010,KLUS!$E$2:$E$2010)+XLOOKUP(H343,KLUS!$A$2:$A$2010,KLUS!$E$2:$E$2010)</f>
        <v>#N/A</v>
      </c>
      <c r="J343" s="114" t="str">
        <f t="shared" si="1"/>
        <v>#N/A</v>
      </c>
      <c r="K343" s="115" t="str">
        <f t="shared" si="2"/>
        <v>#N/A</v>
      </c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</row>
    <row r="344" ht="15.75" customHeight="1">
      <c r="A344" s="69" t="s">
        <v>4568</v>
      </c>
      <c r="B344" s="69" t="s">
        <v>5473</v>
      </c>
      <c r="C344" s="112" t="s">
        <v>5835</v>
      </c>
      <c r="D344" s="69"/>
      <c r="E344" s="69" t="s">
        <v>4569</v>
      </c>
      <c r="F344" s="69" t="s">
        <v>6384</v>
      </c>
      <c r="G344" s="69" t="s">
        <v>56</v>
      </c>
      <c r="H344" s="119"/>
      <c r="I344" s="114" t="str">
        <f t="array" ref="I344">XLOOKUP(G344,KLUS!$A$2:$A$2010,KLUS!$E$2:$E$2010)+XLOOKUP(H344,KLUS!$A$2:$A$2010,KLUS!$E$2:$E$2010)</f>
        <v>#N/A</v>
      </c>
      <c r="J344" s="114" t="str">
        <f t="shared" si="1"/>
        <v>#N/A</v>
      </c>
      <c r="K344" s="115" t="str">
        <f t="shared" si="2"/>
        <v>#N/A</v>
      </c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</row>
    <row r="345" ht="15.75" customHeight="1">
      <c r="A345" s="69" t="s">
        <v>4570</v>
      </c>
      <c r="B345" s="69" t="s">
        <v>5473</v>
      </c>
      <c r="C345" s="112" t="s">
        <v>6385</v>
      </c>
      <c r="D345" s="69"/>
      <c r="E345" s="69" t="s">
        <v>4571</v>
      </c>
      <c r="F345" s="69" t="s">
        <v>6386</v>
      </c>
      <c r="G345" s="69" t="s">
        <v>525</v>
      </c>
      <c r="H345" s="119"/>
      <c r="I345" s="114" t="str">
        <f t="array" ref="I345">XLOOKUP(G345,KLUS!$A$2:$A$2010,KLUS!$E$2:$E$2010)+XLOOKUP(H345,KLUS!$A$2:$A$2010,KLUS!$E$2:$E$2010)</f>
        <v>#N/A</v>
      </c>
      <c r="J345" s="114" t="str">
        <f t="shared" si="1"/>
        <v>#N/A</v>
      </c>
      <c r="K345" s="115" t="str">
        <f t="shared" si="2"/>
        <v>#N/A</v>
      </c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</row>
    <row r="346" ht="15.75" customHeight="1">
      <c r="A346" s="69" t="s">
        <v>6387</v>
      </c>
      <c r="B346" s="69" t="s">
        <v>5473</v>
      </c>
      <c r="C346" s="112" t="s">
        <v>6388</v>
      </c>
      <c r="D346" s="69"/>
      <c r="E346" s="69" t="s">
        <v>6389</v>
      </c>
      <c r="F346" s="118"/>
      <c r="G346" s="69" t="s">
        <v>525</v>
      </c>
      <c r="H346" s="116" t="s">
        <v>1363</v>
      </c>
      <c r="I346" s="114">
        <f t="array" ref="I346">XLOOKUP(G346,KLUS!$A$2:$A$2010,KLUS!$E$2:$E$2010)+XLOOKUP(H346,KLUS!$A$2:$A$2010,KLUS!$E$2:$E$2010)</f>
        <v>30.6</v>
      </c>
      <c r="J346" s="114">
        <f t="shared" si="1"/>
        <v>27.54</v>
      </c>
      <c r="K346" s="115">
        <f t="shared" si="2"/>
        <v>22.032</v>
      </c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</row>
    <row r="347" ht="15.75" customHeight="1">
      <c r="A347" s="69" t="s">
        <v>4574</v>
      </c>
      <c r="B347" s="69" t="s">
        <v>5473</v>
      </c>
      <c r="C347" s="112" t="s">
        <v>6390</v>
      </c>
      <c r="D347" s="69"/>
      <c r="E347" s="69" t="s">
        <v>4575</v>
      </c>
      <c r="F347" s="69" t="s">
        <v>6391</v>
      </c>
      <c r="G347" s="69" t="s">
        <v>6392</v>
      </c>
      <c r="H347" s="119"/>
      <c r="I347" s="114" t="str">
        <f t="array" ref="I347">XLOOKUP(G347,KLUS!$A$2:$A$2010,KLUS!$E$2:$E$2010)+XLOOKUP(H347,KLUS!$A$2:$A$2010,KLUS!$E$2:$E$2010)</f>
        <v>#N/A</v>
      </c>
      <c r="J347" s="114" t="str">
        <f t="shared" si="1"/>
        <v>#N/A</v>
      </c>
      <c r="K347" s="115" t="str">
        <f t="shared" si="2"/>
        <v>#N/A</v>
      </c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</row>
    <row r="348" ht="15.75" customHeight="1">
      <c r="A348" s="69" t="s">
        <v>4576</v>
      </c>
      <c r="B348" s="69" t="s">
        <v>5473</v>
      </c>
      <c r="C348" s="112" t="s">
        <v>6393</v>
      </c>
      <c r="D348" s="69"/>
      <c r="E348" s="69" t="s">
        <v>4577</v>
      </c>
      <c r="F348" s="69" t="s">
        <v>6394</v>
      </c>
      <c r="G348" s="69" t="s">
        <v>6395</v>
      </c>
      <c r="H348" s="119"/>
      <c r="I348" s="114" t="str">
        <f t="array" ref="I348">XLOOKUP(G348,KLUS!$A$2:$A$2010,KLUS!$E$2:$E$2010)+XLOOKUP(H348,KLUS!$A$2:$A$2010,KLUS!$E$2:$E$2010)</f>
        <v>#N/A</v>
      </c>
      <c r="J348" s="114" t="str">
        <f t="shared" si="1"/>
        <v>#N/A</v>
      </c>
      <c r="K348" s="115" t="str">
        <f t="shared" si="2"/>
        <v>#N/A</v>
      </c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</row>
    <row r="349" ht="15.75" customHeight="1">
      <c r="A349" s="69" t="s">
        <v>6396</v>
      </c>
      <c r="B349" s="69" t="s">
        <v>5473</v>
      </c>
      <c r="C349" s="112" t="s">
        <v>6397</v>
      </c>
      <c r="D349" s="69"/>
      <c r="E349" s="69" t="s">
        <v>721</v>
      </c>
      <c r="F349" s="69" t="s">
        <v>6398</v>
      </c>
      <c r="G349" s="69" t="s">
        <v>721</v>
      </c>
      <c r="H349" s="119"/>
      <c r="I349" s="114" t="str">
        <f t="array" ref="I349">XLOOKUP(G349,KLUS!$A$2:$A$2010,KLUS!$E$2:$E$2010)+XLOOKUP(H349,KLUS!$A$2:$A$2010,KLUS!$E$2:$E$2010)</f>
        <v>#N/A</v>
      </c>
      <c r="J349" s="114" t="str">
        <f t="shared" si="1"/>
        <v>#N/A</v>
      </c>
      <c r="K349" s="115" t="str">
        <f t="shared" si="2"/>
        <v>#N/A</v>
      </c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</row>
    <row r="350" ht="15.75" customHeight="1">
      <c r="A350" s="69" t="s">
        <v>6399</v>
      </c>
      <c r="B350" s="69" t="s">
        <v>5473</v>
      </c>
      <c r="C350" s="112" t="s">
        <v>5510</v>
      </c>
      <c r="D350" s="69"/>
      <c r="E350" s="69" t="s">
        <v>6400</v>
      </c>
      <c r="F350" s="69" t="s">
        <v>6401</v>
      </c>
      <c r="G350" s="69" t="s">
        <v>721</v>
      </c>
      <c r="H350" s="113" t="s">
        <v>6402</v>
      </c>
      <c r="I350" s="114" t="str">
        <f t="array" ref="I350">XLOOKUP(G350,KLUS!$A$2:$A$2010,KLUS!$E$2:$E$2010)+XLOOKUP(H350,KLUS!$A$2:$A$2010,KLUS!$E$2:$E$2010)</f>
        <v>#N/A</v>
      </c>
      <c r="J350" s="114" t="str">
        <f t="shared" si="1"/>
        <v>#N/A</v>
      </c>
      <c r="K350" s="115" t="str">
        <f t="shared" si="2"/>
        <v>#N/A</v>
      </c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</row>
    <row r="351" ht="15.75" customHeight="1">
      <c r="A351" s="69" t="s">
        <v>6403</v>
      </c>
      <c r="B351" s="69" t="s">
        <v>5473</v>
      </c>
      <c r="C351" s="112" t="s">
        <v>6404</v>
      </c>
      <c r="D351" s="69"/>
      <c r="E351" s="69" t="s">
        <v>6405</v>
      </c>
      <c r="F351" s="118"/>
      <c r="G351" s="69" t="s">
        <v>6405</v>
      </c>
      <c r="H351" s="119"/>
      <c r="I351" s="114" t="str">
        <f t="array" ref="I351">XLOOKUP(G351,KLUS!$A$2:$A$2010,KLUS!$E$2:$E$2010)+XLOOKUP(H351,KLUS!$A$2:$A$2010,KLUS!$E$2:$E$2010)</f>
        <v>#N/A</v>
      </c>
      <c r="J351" s="114" t="str">
        <f t="shared" si="1"/>
        <v>#N/A</v>
      </c>
      <c r="K351" s="115" t="str">
        <f t="shared" si="2"/>
        <v>#N/A</v>
      </c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</row>
    <row r="352" ht="15.75" customHeight="1">
      <c r="A352" s="69" t="s">
        <v>6406</v>
      </c>
      <c r="B352" s="69" t="s">
        <v>5473</v>
      </c>
      <c r="C352" s="112" t="s">
        <v>5985</v>
      </c>
      <c r="D352" s="69"/>
      <c r="E352" s="69" t="s">
        <v>724</v>
      </c>
      <c r="F352" s="69" t="s">
        <v>6407</v>
      </c>
      <c r="G352" s="69" t="s">
        <v>724</v>
      </c>
      <c r="H352" s="119"/>
      <c r="I352" s="114" t="str">
        <f t="array" ref="I352">XLOOKUP(G352,KLUS!$A$2:$A$2010,KLUS!$E$2:$E$2010)+XLOOKUP(H352,KLUS!$A$2:$A$2010,KLUS!$E$2:$E$2010)</f>
        <v>#N/A</v>
      </c>
      <c r="J352" s="114" t="str">
        <f t="shared" si="1"/>
        <v>#N/A</v>
      </c>
      <c r="K352" s="115" t="str">
        <f t="shared" si="2"/>
        <v>#N/A</v>
      </c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</row>
    <row r="353" ht="15.75" customHeight="1">
      <c r="A353" s="69" t="s">
        <v>6408</v>
      </c>
      <c r="B353" s="69" t="s">
        <v>5473</v>
      </c>
      <c r="C353" s="112" t="s">
        <v>5510</v>
      </c>
      <c r="D353" s="69"/>
      <c r="E353" s="69" t="s">
        <v>6409</v>
      </c>
      <c r="F353" s="118"/>
      <c r="G353" s="69" t="s">
        <v>724</v>
      </c>
      <c r="H353" s="116" t="s">
        <v>6402</v>
      </c>
      <c r="I353" s="114" t="str">
        <f t="array" ref="I353">XLOOKUP(G353,KLUS!$A$2:$A$2010,KLUS!$E$2:$E$2010)+XLOOKUP(H353,KLUS!$A$2:$A$2010,KLUS!$E$2:$E$2010)</f>
        <v>#N/A</v>
      </c>
      <c r="J353" s="114" t="str">
        <f t="shared" si="1"/>
        <v>#N/A</v>
      </c>
      <c r="K353" s="115" t="str">
        <f t="shared" si="2"/>
        <v>#N/A</v>
      </c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</row>
    <row r="354" ht="15.75" customHeight="1">
      <c r="A354" s="69" t="s">
        <v>4585</v>
      </c>
      <c r="B354" s="69" t="s">
        <v>5473</v>
      </c>
      <c r="C354" s="112" t="s">
        <v>5489</v>
      </c>
      <c r="D354" s="69"/>
      <c r="E354" s="69" t="s">
        <v>6410</v>
      </c>
      <c r="F354" s="69" t="s">
        <v>6411</v>
      </c>
      <c r="G354" s="69" t="s">
        <v>6410</v>
      </c>
      <c r="H354" s="119"/>
      <c r="I354" s="114" t="str">
        <f t="array" ref="I354">XLOOKUP(G354,KLUS!$A$2:$A$2010,KLUS!$E$2:$E$2010)+XLOOKUP(H354,KLUS!$A$2:$A$2010,KLUS!$E$2:$E$2010)</f>
        <v>#N/A</v>
      </c>
      <c r="J354" s="114" t="str">
        <f t="shared" si="1"/>
        <v>#N/A</v>
      </c>
      <c r="K354" s="115" t="str">
        <f t="shared" si="2"/>
        <v>#N/A</v>
      </c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</row>
    <row r="355" ht="15.75" customHeight="1">
      <c r="A355" s="69" t="s">
        <v>6412</v>
      </c>
      <c r="B355" s="69" t="s">
        <v>5473</v>
      </c>
      <c r="C355" s="112" t="s">
        <v>6413</v>
      </c>
      <c r="D355" s="69"/>
      <c r="E355" s="69" t="s">
        <v>4587</v>
      </c>
      <c r="F355" s="69" t="s">
        <v>6414</v>
      </c>
      <c r="G355" s="69" t="s">
        <v>753</v>
      </c>
      <c r="H355" s="119"/>
      <c r="I355" s="114" t="str">
        <f t="array" ref="I355">XLOOKUP(G355,KLUS!$A$2:$A$2010,KLUS!$E$2:$E$2010)+XLOOKUP(H355,KLUS!$A$2:$A$2010,KLUS!$E$2:$E$2010)</f>
        <v>#N/A</v>
      </c>
      <c r="J355" s="114" t="str">
        <f t="shared" si="1"/>
        <v>#N/A</v>
      </c>
      <c r="K355" s="115" t="str">
        <f t="shared" si="2"/>
        <v>#N/A</v>
      </c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</row>
    <row r="356" ht="15.75" customHeight="1">
      <c r="A356" s="69" t="s">
        <v>6415</v>
      </c>
      <c r="B356" s="69" t="s">
        <v>5473</v>
      </c>
      <c r="C356" s="112" t="s">
        <v>6416</v>
      </c>
      <c r="D356" s="69"/>
      <c r="E356" s="69" t="s">
        <v>4589</v>
      </c>
      <c r="F356" s="69" t="s">
        <v>6417</v>
      </c>
      <c r="G356" s="69" t="s">
        <v>756</v>
      </c>
      <c r="H356" s="119"/>
      <c r="I356" s="114" t="str">
        <f t="array" ref="I356">XLOOKUP(G356,KLUS!$A$2:$A$2010,KLUS!$E$2:$E$2010)+XLOOKUP(H356,KLUS!$A$2:$A$2010,KLUS!$E$2:$E$2010)</f>
        <v>#N/A</v>
      </c>
      <c r="J356" s="114" t="str">
        <f t="shared" si="1"/>
        <v>#N/A</v>
      </c>
      <c r="K356" s="115" t="str">
        <f t="shared" si="2"/>
        <v>#N/A</v>
      </c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</row>
    <row r="357" ht="15.75" customHeight="1">
      <c r="A357" s="69" t="s">
        <v>6418</v>
      </c>
      <c r="B357" s="69" t="s">
        <v>5473</v>
      </c>
      <c r="C357" s="112" t="s">
        <v>6419</v>
      </c>
      <c r="D357" s="69"/>
      <c r="E357" s="69" t="s">
        <v>6420</v>
      </c>
      <c r="F357" s="69" t="s">
        <v>6421</v>
      </c>
      <c r="G357" s="69" t="s">
        <v>758</v>
      </c>
      <c r="H357" s="119"/>
      <c r="I357" s="114" t="str">
        <f t="array" ref="I357">XLOOKUP(G357,KLUS!$A$2:$A$2010,KLUS!$E$2:$E$2010)+XLOOKUP(H357,KLUS!$A$2:$A$2010,KLUS!$E$2:$E$2010)</f>
        <v>#N/A</v>
      </c>
      <c r="J357" s="114" t="str">
        <f t="shared" si="1"/>
        <v>#N/A</v>
      </c>
      <c r="K357" s="115" t="str">
        <f t="shared" si="2"/>
        <v>#N/A</v>
      </c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</row>
    <row r="358" ht="15.75" customHeight="1">
      <c r="A358" s="69" t="s">
        <v>4592</v>
      </c>
      <c r="B358" s="69" t="s">
        <v>5473</v>
      </c>
      <c r="C358" s="112" t="s">
        <v>6422</v>
      </c>
      <c r="D358" s="69"/>
      <c r="E358" s="69" t="s">
        <v>995</v>
      </c>
      <c r="F358" s="69" t="s">
        <v>6423</v>
      </c>
      <c r="G358" s="69" t="s">
        <v>995</v>
      </c>
      <c r="H358" s="119"/>
      <c r="I358" s="114" t="str">
        <f t="array" ref="I358">XLOOKUP(G358,KLUS!$A$2:$A$2010,KLUS!$E$2:$E$2010)+XLOOKUP(H358,KLUS!$A$2:$A$2010,KLUS!$E$2:$E$2010)</f>
        <v>#N/A</v>
      </c>
      <c r="J358" s="114" t="str">
        <f t="shared" si="1"/>
        <v>#N/A</v>
      </c>
      <c r="K358" s="115" t="str">
        <f t="shared" si="2"/>
        <v>#N/A</v>
      </c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</row>
    <row r="359" ht="15.75" customHeight="1">
      <c r="A359" s="69" t="s">
        <v>4593</v>
      </c>
      <c r="B359" s="69" t="s">
        <v>5473</v>
      </c>
      <c r="C359" s="112" t="s">
        <v>6424</v>
      </c>
      <c r="D359" s="69"/>
      <c r="E359" s="69" t="s">
        <v>1000</v>
      </c>
      <c r="F359" s="69" t="s">
        <v>6425</v>
      </c>
      <c r="G359" s="69" t="s">
        <v>1000</v>
      </c>
      <c r="H359" s="119"/>
      <c r="I359" s="114" t="str">
        <f t="array" ref="I359">XLOOKUP(G359,KLUS!$A$2:$A$2010,KLUS!$E$2:$E$2010)+XLOOKUP(H359,KLUS!$A$2:$A$2010,KLUS!$E$2:$E$2010)</f>
        <v>#N/A</v>
      </c>
      <c r="J359" s="114" t="str">
        <f t="shared" si="1"/>
        <v>#N/A</v>
      </c>
      <c r="K359" s="115" t="str">
        <f t="shared" si="2"/>
        <v>#N/A</v>
      </c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</row>
    <row r="360" ht="15.75" customHeight="1">
      <c r="A360" s="69" t="s">
        <v>4594</v>
      </c>
      <c r="B360" s="69" t="s">
        <v>5473</v>
      </c>
      <c r="C360" s="112" t="s">
        <v>6426</v>
      </c>
      <c r="D360" s="69"/>
      <c r="E360" s="69" t="s">
        <v>1047</v>
      </c>
      <c r="F360" s="69" t="s">
        <v>6427</v>
      </c>
      <c r="G360" s="69" t="s">
        <v>1047</v>
      </c>
      <c r="H360" s="119"/>
      <c r="I360" s="114" t="str">
        <f t="array" ref="I360">XLOOKUP(G360,KLUS!$A$2:$A$2010,KLUS!$E$2:$E$2010)+XLOOKUP(H360,KLUS!$A$2:$A$2010,KLUS!$E$2:$E$2010)</f>
        <v>#N/A</v>
      </c>
      <c r="J360" s="114" t="str">
        <f t="shared" si="1"/>
        <v>#N/A</v>
      </c>
      <c r="K360" s="115" t="str">
        <f t="shared" si="2"/>
        <v>#N/A</v>
      </c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</row>
    <row r="361" ht="15.75" customHeight="1">
      <c r="A361" s="69" t="s">
        <v>6428</v>
      </c>
      <c r="B361" s="69" t="s">
        <v>5473</v>
      </c>
      <c r="C361" s="112" t="s">
        <v>6429</v>
      </c>
      <c r="D361" s="69"/>
      <c r="E361" s="69" t="s">
        <v>4597</v>
      </c>
      <c r="F361" s="69" t="s">
        <v>6430</v>
      </c>
      <c r="G361" s="69" t="s">
        <v>194</v>
      </c>
      <c r="H361" s="119"/>
      <c r="I361" s="114" t="str">
        <f t="array" ref="I361">XLOOKUP(G361,KLUS!$A$2:$A$2010,KLUS!$E$2:$E$2010)+XLOOKUP(H361,KLUS!$A$2:$A$2010,KLUS!$E$2:$E$2010)</f>
        <v>#N/A</v>
      </c>
      <c r="J361" s="114" t="str">
        <f t="shared" si="1"/>
        <v>#N/A</v>
      </c>
      <c r="K361" s="115" t="str">
        <f t="shared" si="2"/>
        <v>#N/A</v>
      </c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</row>
    <row r="362" ht="15.75" customHeight="1">
      <c r="A362" s="69" t="s">
        <v>6431</v>
      </c>
      <c r="B362" s="69" t="s">
        <v>5473</v>
      </c>
      <c r="C362" s="112" t="s">
        <v>6432</v>
      </c>
      <c r="D362" s="69"/>
      <c r="E362" s="69" t="s">
        <v>4599</v>
      </c>
      <c r="F362" s="118"/>
      <c r="G362" s="69" t="s">
        <v>194</v>
      </c>
      <c r="H362" s="116" t="s">
        <v>1300</v>
      </c>
      <c r="I362" s="114">
        <f t="array" ref="I362">XLOOKUP(G362,KLUS!$A$2:$A$2010,KLUS!$E$2:$E$2010)+XLOOKUP(H362,KLUS!$A$2:$A$2010,KLUS!$E$2:$E$2010)</f>
        <v>55.3</v>
      </c>
      <c r="J362" s="114">
        <f t="shared" si="1"/>
        <v>49.77</v>
      </c>
      <c r="K362" s="115">
        <f t="shared" si="2"/>
        <v>39.816</v>
      </c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</row>
    <row r="363" ht="15.75" customHeight="1">
      <c r="A363" s="69" t="s">
        <v>6433</v>
      </c>
      <c r="B363" s="69" t="s">
        <v>5473</v>
      </c>
      <c r="C363" s="112" t="s">
        <v>6434</v>
      </c>
      <c r="D363" s="69"/>
      <c r="E363" s="69" t="s">
        <v>4601</v>
      </c>
      <c r="F363" s="69" t="s">
        <v>6435</v>
      </c>
      <c r="G363" s="69" t="s">
        <v>197</v>
      </c>
      <c r="H363" s="119"/>
      <c r="I363" s="114" t="str">
        <f t="array" ref="I363">XLOOKUP(G363,KLUS!$A$2:$A$2010,KLUS!$E$2:$E$2010)+XLOOKUP(H363,KLUS!$A$2:$A$2010,KLUS!$E$2:$E$2010)</f>
        <v>#N/A</v>
      </c>
      <c r="J363" s="114" t="str">
        <f t="shared" si="1"/>
        <v>#N/A</v>
      </c>
      <c r="K363" s="115" t="str">
        <f t="shared" si="2"/>
        <v>#N/A</v>
      </c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</row>
    <row r="364" ht="15.75" customHeight="1">
      <c r="A364" s="69" t="s">
        <v>6436</v>
      </c>
      <c r="B364" s="69" t="s">
        <v>5473</v>
      </c>
      <c r="C364" s="112" t="s">
        <v>6437</v>
      </c>
      <c r="D364" s="69"/>
      <c r="E364" s="69" t="s">
        <v>4606</v>
      </c>
      <c r="F364" s="118"/>
      <c r="G364" s="69" t="s">
        <v>197</v>
      </c>
      <c r="H364" s="113" t="s">
        <v>1303</v>
      </c>
      <c r="I364" s="114">
        <f t="array" ref="I364">XLOOKUP(G364,KLUS!$A$2:$A$2010,KLUS!$E$2:$E$2010)+XLOOKUP(H364,KLUS!$A$2:$A$2010,KLUS!$E$2:$E$2010)</f>
        <v>110.6</v>
      </c>
      <c r="J364" s="114">
        <f t="shared" si="1"/>
        <v>99.54</v>
      </c>
      <c r="K364" s="115">
        <f t="shared" si="2"/>
        <v>79.632</v>
      </c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</row>
    <row r="365" ht="15.75" customHeight="1">
      <c r="A365" s="69" t="s">
        <v>4604</v>
      </c>
      <c r="B365" s="69" t="s">
        <v>5473</v>
      </c>
      <c r="C365" s="112" t="s">
        <v>6360</v>
      </c>
      <c r="D365" s="69"/>
      <c r="E365" s="69" t="s">
        <v>6438</v>
      </c>
      <c r="F365" s="69" t="s">
        <v>6439</v>
      </c>
      <c r="G365" s="69" t="s">
        <v>6440</v>
      </c>
      <c r="H365" s="119"/>
      <c r="I365" s="114" t="str">
        <f t="array" ref="I365">XLOOKUP(G365,KLUS!$A$2:$A$2010,KLUS!$E$2:$E$2010)+XLOOKUP(H365,KLUS!$A$2:$A$2010,KLUS!$E$2:$E$2010)</f>
        <v>#N/A</v>
      </c>
      <c r="J365" s="114" t="str">
        <f t="shared" si="1"/>
        <v>#N/A</v>
      </c>
      <c r="K365" s="115" t="str">
        <f t="shared" si="2"/>
        <v>#N/A</v>
      </c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</row>
    <row r="366" ht="15.75" customHeight="1">
      <c r="A366" s="69" t="s">
        <v>6441</v>
      </c>
      <c r="B366" s="69" t="s">
        <v>5473</v>
      </c>
      <c r="C366" s="112" t="s">
        <v>6442</v>
      </c>
      <c r="D366" s="69"/>
      <c r="E366" s="69" t="s">
        <v>4603</v>
      </c>
      <c r="F366" s="118"/>
      <c r="G366" s="69" t="s">
        <v>6443</v>
      </c>
      <c r="H366" s="119"/>
      <c r="I366" s="114" t="str">
        <f t="array" ref="I366">XLOOKUP(G366,KLUS!$A$2:$A$2010,KLUS!$E$2:$E$2010)+XLOOKUP(H366,KLUS!$A$2:$A$2010,KLUS!$E$2:$E$2010)</f>
        <v>#N/A</v>
      </c>
      <c r="J366" s="114" t="str">
        <f t="shared" si="1"/>
        <v>#N/A</v>
      </c>
      <c r="K366" s="115" t="str">
        <f t="shared" si="2"/>
        <v>#N/A</v>
      </c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</row>
    <row r="367" ht="15.75" customHeight="1">
      <c r="A367" s="69" t="s">
        <v>6444</v>
      </c>
      <c r="B367" s="69" t="s">
        <v>5473</v>
      </c>
      <c r="C367" s="112" t="s">
        <v>6445</v>
      </c>
      <c r="D367" s="69"/>
      <c r="E367" s="69" t="s">
        <v>4608</v>
      </c>
      <c r="F367" s="69" t="s">
        <v>6446</v>
      </c>
      <c r="G367" s="69" t="s">
        <v>199</v>
      </c>
      <c r="H367" s="119"/>
      <c r="I367" s="114" t="str">
        <f t="array" ref="I367">XLOOKUP(G367,KLUS!$A$2:$A$2010,KLUS!$E$2:$E$2010)+XLOOKUP(H367,KLUS!$A$2:$A$2010,KLUS!$E$2:$E$2010)</f>
        <v>#N/A</v>
      </c>
      <c r="J367" s="114" t="str">
        <f t="shared" si="1"/>
        <v>#N/A</v>
      </c>
      <c r="K367" s="115" t="str">
        <f t="shared" si="2"/>
        <v>#N/A</v>
      </c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</row>
    <row r="368" ht="15.75" customHeight="1">
      <c r="A368" s="69" t="s">
        <v>6447</v>
      </c>
      <c r="B368" s="69" t="s">
        <v>5473</v>
      </c>
      <c r="C368" s="112" t="s">
        <v>6448</v>
      </c>
      <c r="D368" s="69"/>
      <c r="E368" s="69" t="s">
        <v>4610</v>
      </c>
      <c r="F368" s="118"/>
      <c r="G368" s="69" t="s">
        <v>199</v>
      </c>
      <c r="H368" s="113" t="s">
        <v>1305</v>
      </c>
      <c r="I368" s="114">
        <f t="array" ref="I368">XLOOKUP(G368,KLUS!$A$2:$A$2010,KLUS!$E$2:$E$2010)+XLOOKUP(H368,KLUS!$A$2:$A$2010,KLUS!$E$2:$E$2010)</f>
        <v>165.8</v>
      </c>
      <c r="J368" s="114">
        <f t="shared" si="1"/>
        <v>149.22</v>
      </c>
      <c r="K368" s="115">
        <f t="shared" si="2"/>
        <v>119.376</v>
      </c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</row>
    <row r="369" ht="15.75" customHeight="1">
      <c r="A369" s="69" t="s">
        <v>6449</v>
      </c>
      <c r="B369" s="69" t="s">
        <v>5473</v>
      </c>
      <c r="C369" s="112" t="s">
        <v>6450</v>
      </c>
      <c r="D369" s="69"/>
      <c r="E369" s="69" t="s">
        <v>4612</v>
      </c>
      <c r="F369" s="69" t="s">
        <v>6451</v>
      </c>
      <c r="G369" s="69" t="s">
        <v>1138</v>
      </c>
      <c r="H369" s="119"/>
      <c r="I369" s="114" t="str">
        <f t="array" ref="I369">XLOOKUP(G369,KLUS!$A$2:$A$2010,KLUS!$E$2:$E$2010)+XLOOKUP(H369,KLUS!$A$2:$A$2010,KLUS!$E$2:$E$2010)</f>
        <v>#N/A</v>
      </c>
      <c r="J369" s="114" t="str">
        <f t="shared" si="1"/>
        <v>#N/A</v>
      </c>
      <c r="K369" s="115" t="str">
        <f t="shared" si="2"/>
        <v>#N/A</v>
      </c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</row>
    <row r="370" ht="15.75" customHeight="1">
      <c r="A370" s="69" t="s">
        <v>6452</v>
      </c>
      <c r="B370" s="69" t="s">
        <v>5473</v>
      </c>
      <c r="C370" s="112" t="s">
        <v>6453</v>
      </c>
      <c r="D370" s="69"/>
      <c r="E370" s="69" t="s">
        <v>4614</v>
      </c>
      <c r="F370" s="118"/>
      <c r="G370" s="69" t="s">
        <v>1138</v>
      </c>
      <c r="H370" s="116" t="s">
        <v>1681</v>
      </c>
      <c r="I370" s="114">
        <f t="array" ref="I370">XLOOKUP(G370,KLUS!$A$2:$A$2010,KLUS!$E$2:$E$2010)+XLOOKUP(H370,KLUS!$A$2:$A$2010,KLUS!$E$2:$E$2010)</f>
        <v>211.2</v>
      </c>
      <c r="J370" s="114">
        <f t="shared" si="1"/>
        <v>190.08</v>
      </c>
      <c r="K370" s="115">
        <f t="shared" si="2"/>
        <v>152.064</v>
      </c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</row>
    <row r="371" ht="15.75" customHeight="1">
      <c r="A371" s="69" t="s">
        <v>6454</v>
      </c>
      <c r="B371" s="69" t="s">
        <v>5473</v>
      </c>
      <c r="C371" s="112" t="s">
        <v>6455</v>
      </c>
      <c r="D371" s="69"/>
      <c r="E371" s="69" t="s">
        <v>6456</v>
      </c>
      <c r="F371" s="118"/>
      <c r="G371" s="69" t="s">
        <v>1138</v>
      </c>
      <c r="H371" s="116" t="s">
        <v>1695</v>
      </c>
      <c r="I371" s="114">
        <f t="array" ref="I371">XLOOKUP(G371,KLUS!$A$2:$A$2010,KLUS!$E$2:$E$2010)+XLOOKUP(H371,KLUS!$A$2:$A$2010,KLUS!$E$2:$E$2010)</f>
        <v>213.4</v>
      </c>
      <c r="J371" s="114">
        <f t="shared" si="1"/>
        <v>192.06</v>
      </c>
      <c r="K371" s="115">
        <f t="shared" si="2"/>
        <v>153.648</v>
      </c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</row>
    <row r="372" ht="15.75" customHeight="1">
      <c r="A372" s="69" t="s">
        <v>6457</v>
      </c>
      <c r="B372" s="69" t="s">
        <v>5473</v>
      </c>
      <c r="C372" s="112" t="s">
        <v>6458</v>
      </c>
      <c r="D372" s="69"/>
      <c r="E372" s="69" t="s">
        <v>4618</v>
      </c>
      <c r="F372" s="69" t="s">
        <v>6459</v>
      </c>
      <c r="G372" s="69" t="s">
        <v>1141</v>
      </c>
      <c r="H372" s="119"/>
      <c r="I372" s="114" t="str">
        <f t="array" ref="I372">XLOOKUP(G372,KLUS!$A$2:$A$2010,KLUS!$E$2:$E$2010)+XLOOKUP(H372,KLUS!$A$2:$A$2010,KLUS!$E$2:$E$2010)</f>
        <v>#N/A</v>
      </c>
      <c r="J372" s="114" t="str">
        <f t="shared" si="1"/>
        <v>#N/A</v>
      </c>
      <c r="K372" s="115" t="str">
        <f t="shared" si="2"/>
        <v>#N/A</v>
      </c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</row>
    <row r="373" ht="15.75" customHeight="1">
      <c r="A373" s="69" t="s">
        <v>6460</v>
      </c>
      <c r="B373" s="69" t="s">
        <v>5473</v>
      </c>
      <c r="C373" s="112" t="s">
        <v>6461</v>
      </c>
      <c r="D373" s="69"/>
      <c r="E373" s="69" t="s">
        <v>4620</v>
      </c>
      <c r="F373" s="118"/>
      <c r="G373" s="69" t="s">
        <v>1141</v>
      </c>
      <c r="H373" s="113" t="s">
        <v>1684</v>
      </c>
      <c r="I373" s="114">
        <f t="array" ref="I373">XLOOKUP(G373,KLUS!$A$2:$A$2010,KLUS!$E$2:$E$2010)+XLOOKUP(H373,KLUS!$A$2:$A$2010,KLUS!$E$2:$E$2010)</f>
        <v>422.2</v>
      </c>
      <c r="J373" s="114">
        <f t="shared" si="1"/>
        <v>379.98</v>
      </c>
      <c r="K373" s="115">
        <f t="shared" si="2"/>
        <v>303.984</v>
      </c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</row>
    <row r="374" ht="15.75" customHeight="1">
      <c r="A374" s="69" t="s">
        <v>6462</v>
      </c>
      <c r="B374" s="69" t="s">
        <v>5473</v>
      </c>
      <c r="C374" s="112" t="s">
        <v>6463</v>
      </c>
      <c r="D374" s="69"/>
      <c r="E374" s="69" t="s">
        <v>6464</v>
      </c>
      <c r="F374" s="118"/>
      <c r="G374" s="69" t="s">
        <v>1141</v>
      </c>
      <c r="H374" s="113" t="s">
        <v>1698</v>
      </c>
      <c r="I374" s="114">
        <f t="array" ref="I374">XLOOKUP(G374,KLUS!$A$2:$A$2010,KLUS!$E$2:$E$2010)+XLOOKUP(H374,KLUS!$A$2:$A$2010,KLUS!$E$2:$E$2010)</f>
        <v>426.7</v>
      </c>
      <c r="J374" s="114">
        <f t="shared" si="1"/>
        <v>384.03</v>
      </c>
      <c r="K374" s="115">
        <f t="shared" si="2"/>
        <v>307.224</v>
      </c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</row>
    <row r="375" ht="15.75" customHeight="1">
      <c r="A375" s="69" t="s">
        <v>6465</v>
      </c>
      <c r="B375" s="69" t="s">
        <v>5473</v>
      </c>
      <c r="C375" s="112" t="s">
        <v>6466</v>
      </c>
      <c r="D375" s="69"/>
      <c r="E375" s="69" t="s">
        <v>4624</v>
      </c>
      <c r="F375" s="69" t="s">
        <v>6467</v>
      </c>
      <c r="G375" s="69" t="s">
        <v>1143</v>
      </c>
      <c r="H375" s="119"/>
      <c r="I375" s="114" t="str">
        <f t="array" ref="I375">XLOOKUP(G375,KLUS!$A$2:$A$2010,KLUS!$E$2:$E$2010)+XLOOKUP(H375,KLUS!$A$2:$A$2010,KLUS!$E$2:$E$2010)</f>
        <v>#N/A</v>
      </c>
      <c r="J375" s="114" t="str">
        <f t="shared" si="1"/>
        <v>#N/A</v>
      </c>
      <c r="K375" s="115" t="str">
        <f t="shared" si="2"/>
        <v>#N/A</v>
      </c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</row>
    <row r="376" ht="15.75" customHeight="1">
      <c r="A376" s="69" t="s">
        <v>6468</v>
      </c>
      <c r="B376" s="69" t="s">
        <v>5473</v>
      </c>
      <c r="C376" s="112" t="s">
        <v>6469</v>
      </c>
      <c r="D376" s="69"/>
      <c r="E376" s="69" t="s">
        <v>4626</v>
      </c>
      <c r="F376" s="118"/>
      <c r="G376" s="69" t="s">
        <v>1143</v>
      </c>
      <c r="H376" s="113" t="s">
        <v>1686</v>
      </c>
      <c r="I376" s="114">
        <f t="array" ref="I376">XLOOKUP(G376,KLUS!$A$2:$A$2010,KLUS!$E$2:$E$2010)+XLOOKUP(H376,KLUS!$A$2:$A$2010,KLUS!$E$2:$E$2010)</f>
        <v>633.4</v>
      </c>
      <c r="J376" s="114">
        <f t="shared" si="1"/>
        <v>570.06</v>
      </c>
      <c r="K376" s="115">
        <f t="shared" si="2"/>
        <v>456.048</v>
      </c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</row>
    <row r="377" ht="15.75" customHeight="1">
      <c r="A377" s="69" t="s">
        <v>6470</v>
      </c>
      <c r="B377" s="69" t="s">
        <v>5473</v>
      </c>
      <c r="C377" s="112" t="s">
        <v>6471</v>
      </c>
      <c r="D377" s="69"/>
      <c r="E377" s="69" t="s">
        <v>6472</v>
      </c>
      <c r="F377" s="118"/>
      <c r="G377" s="69" t="s">
        <v>1143</v>
      </c>
      <c r="H377" s="113" t="s">
        <v>1700</v>
      </c>
      <c r="I377" s="114">
        <f t="array" ref="I377">XLOOKUP(G377,KLUS!$A$2:$A$2010,KLUS!$E$2:$E$2010)+XLOOKUP(H377,KLUS!$A$2:$A$2010,KLUS!$E$2:$E$2010)</f>
        <v>640.1</v>
      </c>
      <c r="J377" s="114">
        <f t="shared" si="1"/>
        <v>576.09</v>
      </c>
      <c r="K377" s="115">
        <f t="shared" si="2"/>
        <v>460.872</v>
      </c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</row>
    <row r="378" ht="15.75" customHeight="1">
      <c r="A378" s="69" t="s">
        <v>6473</v>
      </c>
      <c r="B378" s="69" t="s">
        <v>5473</v>
      </c>
      <c r="C378" s="112" t="s">
        <v>6474</v>
      </c>
      <c r="D378" s="69"/>
      <c r="E378" s="69" t="s">
        <v>4630</v>
      </c>
      <c r="F378" s="69" t="s">
        <v>6475</v>
      </c>
      <c r="G378" s="69" t="s">
        <v>1145</v>
      </c>
      <c r="H378" s="119"/>
      <c r="I378" s="114" t="str">
        <f t="array" ref="I378">XLOOKUP(G378,KLUS!$A$2:$A$2010,KLUS!$E$2:$E$2010)+XLOOKUP(H378,KLUS!$A$2:$A$2010,KLUS!$E$2:$E$2010)</f>
        <v>#N/A</v>
      </c>
      <c r="J378" s="114" t="str">
        <f t="shared" si="1"/>
        <v>#N/A</v>
      </c>
      <c r="K378" s="115" t="str">
        <f t="shared" si="2"/>
        <v>#N/A</v>
      </c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</row>
    <row r="379" ht="15.75" customHeight="1">
      <c r="A379" s="69" t="s">
        <v>6476</v>
      </c>
      <c r="B379" s="69" t="s">
        <v>5473</v>
      </c>
      <c r="C379" s="112" t="s">
        <v>6477</v>
      </c>
      <c r="D379" s="69"/>
      <c r="E379" s="69" t="s">
        <v>4632</v>
      </c>
      <c r="F379" s="118"/>
      <c r="G379" s="69" t="s">
        <v>1145</v>
      </c>
      <c r="H379" s="116" t="s">
        <v>1681</v>
      </c>
      <c r="I379" s="114">
        <f t="array" ref="I379">XLOOKUP(G379,KLUS!$A$2:$A$2010,KLUS!$E$2:$E$2010)+XLOOKUP(H379,KLUS!$A$2:$A$2010,KLUS!$E$2:$E$2010)</f>
        <v>206.7</v>
      </c>
      <c r="J379" s="114">
        <f t="shared" si="1"/>
        <v>186.03</v>
      </c>
      <c r="K379" s="115">
        <f t="shared" si="2"/>
        <v>148.824</v>
      </c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</row>
    <row r="380" ht="15.75" customHeight="1">
      <c r="A380" s="69" t="s">
        <v>6478</v>
      </c>
      <c r="B380" s="69" t="s">
        <v>5473</v>
      </c>
      <c r="C380" s="112" t="s">
        <v>6479</v>
      </c>
      <c r="D380" s="69"/>
      <c r="E380" s="69" t="s">
        <v>4634</v>
      </c>
      <c r="F380" s="69" t="s">
        <v>6480</v>
      </c>
      <c r="G380" s="69" t="s">
        <v>1147</v>
      </c>
      <c r="H380" s="119"/>
      <c r="I380" s="114" t="str">
        <f t="array" ref="I380">XLOOKUP(G380,KLUS!$A$2:$A$2010,KLUS!$E$2:$E$2010)+XLOOKUP(H380,KLUS!$A$2:$A$2010,KLUS!$E$2:$E$2010)</f>
        <v>#N/A</v>
      </c>
      <c r="J380" s="114" t="str">
        <f t="shared" si="1"/>
        <v>#N/A</v>
      </c>
      <c r="K380" s="115" t="str">
        <f t="shared" si="2"/>
        <v>#N/A</v>
      </c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</row>
    <row r="381" ht="15.75" customHeight="1">
      <c r="A381" s="69" t="s">
        <v>6481</v>
      </c>
      <c r="B381" s="69" t="s">
        <v>5473</v>
      </c>
      <c r="C381" s="112" t="s">
        <v>6482</v>
      </c>
      <c r="D381" s="69"/>
      <c r="E381" s="69" t="s">
        <v>4636</v>
      </c>
      <c r="F381" s="118"/>
      <c r="G381" s="69" t="s">
        <v>1147</v>
      </c>
      <c r="H381" s="113" t="s">
        <v>1684</v>
      </c>
      <c r="I381" s="114">
        <f t="array" ref="I381">XLOOKUP(G381,KLUS!$A$2:$A$2010,KLUS!$E$2:$E$2010)+XLOOKUP(H381,KLUS!$A$2:$A$2010,KLUS!$E$2:$E$2010)</f>
        <v>413.2</v>
      </c>
      <c r="J381" s="114">
        <f t="shared" si="1"/>
        <v>371.88</v>
      </c>
      <c r="K381" s="115">
        <f t="shared" si="2"/>
        <v>297.504</v>
      </c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</row>
    <row r="382" ht="15.75" customHeight="1">
      <c r="A382" s="69" t="s">
        <v>6483</v>
      </c>
      <c r="B382" s="69" t="s">
        <v>5473</v>
      </c>
      <c r="C382" s="112" t="s">
        <v>6484</v>
      </c>
      <c r="D382" s="69"/>
      <c r="E382" s="69" t="s">
        <v>6485</v>
      </c>
      <c r="F382" s="118"/>
      <c r="G382" s="69" t="s">
        <v>1147</v>
      </c>
      <c r="H382" s="113" t="s">
        <v>1698</v>
      </c>
      <c r="I382" s="114">
        <f t="array" ref="I382">XLOOKUP(G382,KLUS!$A$2:$A$2010,KLUS!$E$2:$E$2010)+XLOOKUP(H382,KLUS!$A$2:$A$2010,KLUS!$E$2:$E$2010)</f>
        <v>417.7</v>
      </c>
      <c r="J382" s="114">
        <f t="shared" si="1"/>
        <v>375.93</v>
      </c>
      <c r="K382" s="115">
        <f t="shared" si="2"/>
        <v>300.744</v>
      </c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</row>
    <row r="383" ht="15.75" customHeight="1">
      <c r="A383" s="69" t="s">
        <v>6486</v>
      </c>
      <c r="B383" s="69" t="s">
        <v>5473</v>
      </c>
      <c r="C383" s="112" t="s">
        <v>6487</v>
      </c>
      <c r="D383" s="69"/>
      <c r="E383" s="69" t="s">
        <v>4640</v>
      </c>
      <c r="F383" s="69" t="s">
        <v>6488</v>
      </c>
      <c r="G383" s="69" t="s">
        <v>1149</v>
      </c>
      <c r="H383" s="119"/>
      <c r="I383" s="114" t="str">
        <f t="array" ref="I383">XLOOKUP(G383,KLUS!$A$2:$A$2010,KLUS!$E$2:$E$2010)+XLOOKUP(H383,KLUS!$A$2:$A$2010,KLUS!$E$2:$E$2010)</f>
        <v>#N/A</v>
      </c>
      <c r="J383" s="114" t="str">
        <f t="shared" si="1"/>
        <v>#N/A</v>
      </c>
      <c r="K383" s="115" t="str">
        <f t="shared" si="2"/>
        <v>#N/A</v>
      </c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</row>
    <row r="384" ht="15.75" customHeight="1">
      <c r="A384" s="69" t="s">
        <v>6489</v>
      </c>
      <c r="B384" s="69" t="s">
        <v>5473</v>
      </c>
      <c r="C384" s="112" t="s">
        <v>6490</v>
      </c>
      <c r="D384" s="69"/>
      <c r="E384" s="69" t="s">
        <v>4642</v>
      </c>
      <c r="F384" s="69" t="s">
        <v>6491</v>
      </c>
      <c r="G384" s="69" t="s">
        <v>1149</v>
      </c>
      <c r="H384" s="113" t="s">
        <v>1700</v>
      </c>
      <c r="I384" s="114">
        <f t="array" ref="I384">XLOOKUP(G384,KLUS!$A$2:$A$2010,KLUS!$E$2:$E$2010)+XLOOKUP(H384,KLUS!$A$2:$A$2010,KLUS!$E$2:$E$2010)</f>
        <v>626.6</v>
      </c>
      <c r="J384" s="114">
        <f t="shared" si="1"/>
        <v>563.94</v>
      </c>
      <c r="K384" s="115">
        <f t="shared" si="2"/>
        <v>451.152</v>
      </c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</row>
    <row r="385" ht="15.75" customHeight="1">
      <c r="A385" s="69" t="s">
        <v>6492</v>
      </c>
      <c r="B385" s="69" t="s">
        <v>5473</v>
      </c>
      <c r="C385" s="112" t="s">
        <v>6493</v>
      </c>
      <c r="D385" s="69"/>
      <c r="E385" s="69" t="s">
        <v>4644</v>
      </c>
      <c r="F385" s="69" t="s">
        <v>6494</v>
      </c>
      <c r="G385" s="69" t="s">
        <v>1124</v>
      </c>
      <c r="H385" s="119"/>
      <c r="I385" s="114" t="str">
        <f t="array" ref="I385">XLOOKUP(G385,KLUS!$A$2:$A$2010,KLUS!$E$2:$E$2010)+XLOOKUP(H385,KLUS!$A$2:$A$2010,KLUS!$E$2:$E$2010)</f>
        <v>#N/A</v>
      </c>
      <c r="J385" s="114" t="str">
        <f t="shared" si="1"/>
        <v>#N/A</v>
      </c>
      <c r="K385" s="115" t="str">
        <f t="shared" si="2"/>
        <v>#N/A</v>
      </c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</row>
    <row r="386" ht="15.75" customHeight="1">
      <c r="A386" s="69" t="s">
        <v>6495</v>
      </c>
      <c r="B386" s="69" t="s">
        <v>5473</v>
      </c>
      <c r="C386" s="112" t="s">
        <v>6496</v>
      </c>
      <c r="D386" s="69"/>
      <c r="E386" s="69" t="s">
        <v>4646</v>
      </c>
      <c r="F386" s="118"/>
      <c r="G386" s="69" t="s">
        <v>1124</v>
      </c>
      <c r="H386" s="116" t="s">
        <v>1681</v>
      </c>
      <c r="I386" s="114">
        <f t="array" ref="I386">XLOOKUP(G386,KLUS!$A$2:$A$2010,KLUS!$E$2:$E$2010)+XLOOKUP(H386,KLUS!$A$2:$A$2010,KLUS!$E$2:$E$2010)</f>
        <v>213.2</v>
      </c>
      <c r="J386" s="114">
        <f t="shared" si="1"/>
        <v>191.88</v>
      </c>
      <c r="K386" s="115">
        <f t="shared" si="2"/>
        <v>153.504</v>
      </c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</row>
    <row r="387" ht="15.75" customHeight="1">
      <c r="A387" s="69" t="s">
        <v>6497</v>
      </c>
      <c r="B387" s="69" t="s">
        <v>5473</v>
      </c>
      <c r="C387" s="112" t="s">
        <v>6498</v>
      </c>
      <c r="D387" s="69"/>
      <c r="E387" s="69" t="s">
        <v>6499</v>
      </c>
      <c r="F387" s="118"/>
      <c r="G387" s="69" t="s">
        <v>1124</v>
      </c>
      <c r="H387" s="116" t="s">
        <v>1695</v>
      </c>
      <c r="I387" s="114">
        <f t="array" ref="I387">XLOOKUP(G387,KLUS!$A$2:$A$2010,KLUS!$E$2:$E$2010)+XLOOKUP(H387,KLUS!$A$2:$A$2010,KLUS!$E$2:$E$2010)</f>
        <v>215.4</v>
      </c>
      <c r="J387" s="114">
        <f t="shared" si="1"/>
        <v>193.86</v>
      </c>
      <c r="K387" s="115">
        <f t="shared" si="2"/>
        <v>155.088</v>
      </c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</row>
    <row r="388" ht="15.75" customHeight="1">
      <c r="A388" s="69" t="s">
        <v>6500</v>
      </c>
      <c r="B388" s="69" t="s">
        <v>5473</v>
      </c>
      <c r="C388" s="112" t="s">
        <v>6501</v>
      </c>
      <c r="D388" s="69"/>
      <c r="E388" s="69" t="s">
        <v>4650</v>
      </c>
      <c r="F388" s="69" t="s">
        <v>6502</v>
      </c>
      <c r="G388" s="69" t="s">
        <v>1127</v>
      </c>
      <c r="H388" s="119"/>
      <c r="I388" s="114" t="str">
        <f t="array" ref="I388">XLOOKUP(G388,KLUS!$A$2:$A$2010,KLUS!$E$2:$E$2010)+XLOOKUP(H388,KLUS!$A$2:$A$2010,KLUS!$E$2:$E$2010)</f>
        <v>#N/A</v>
      </c>
      <c r="J388" s="114" t="str">
        <f t="shared" si="1"/>
        <v>#N/A</v>
      </c>
      <c r="K388" s="115" t="str">
        <f t="shared" si="2"/>
        <v>#N/A</v>
      </c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</row>
    <row r="389" ht="15.75" customHeight="1">
      <c r="A389" s="69" t="s">
        <v>6503</v>
      </c>
      <c r="B389" s="69" t="s">
        <v>5473</v>
      </c>
      <c r="C389" s="112" t="s">
        <v>6504</v>
      </c>
      <c r="D389" s="69"/>
      <c r="E389" s="69" t="s">
        <v>4652</v>
      </c>
      <c r="F389" s="118"/>
      <c r="G389" s="69" t="s">
        <v>1127</v>
      </c>
      <c r="H389" s="113" t="s">
        <v>1684</v>
      </c>
      <c r="I389" s="114">
        <f t="array" ref="I389">XLOOKUP(G389,KLUS!$A$2:$A$2010,KLUS!$E$2:$E$2010)+XLOOKUP(H389,KLUS!$A$2:$A$2010,KLUS!$E$2:$E$2010)</f>
        <v>412</v>
      </c>
      <c r="J389" s="114">
        <f t="shared" si="1"/>
        <v>370.8</v>
      </c>
      <c r="K389" s="115">
        <f t="shared" si="2"/>
        <v>296.64</v>
      </c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</row>
    <row r="390" ht="15.75" customHeight="1">
      <c r="A390" s="69" t="s">
        <v>6505</v>
      </c>
      <c r="B390" s="69" t="s">
        <v>5473</v>
      </c>
      <c r="C390" s="112" t="s">
        <v>6506</v>
      </c>
      <c r="D390" s="69"/>
      <c r="E390" s="69" t="s">
        <v>6507</v>
      </c>
      <c r="F390" s="118"/>
      <c r="G390" s="69" t="s">
        <v>1127</v>
      </c>
      <c r="H390" s="113" t="s">
        <v>1698</v>
      </c>
      <c r="I390" s="114">
        <f t="array" ref="I390">XLOOKUP(G390,KLUS!$A$2:$A$2010,KLUS!$E$2:$E$2010)+XLOOKUP(H390,KLUS!$A$2:$A$2010,KLUS!$E$2:$E$2010)</f>
        <v>416.5</v>
      </c>
      <c r="J390" s="114">
        <f t="shared" si="1"/>
        <v>374.85</v>
      </c>
      <c r="K390" s="115">
        <f t="shared" si="2"/>
        <v>299.88</v>
      </c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</row>
    <row r="391" ht="15.75" customHeight="1">
      <c r="A391" s="69" t="s">
        <v>6508</v>
      </c>
      <c r="B391" s="69" t="s">
        <v>5473</v>
      </c>
      <c r="C391" s="112" t="s">
        <v>6509</v>
      </c>
      <c r="D391" s="69"/>
      <c r="E391" s="69" t="s">
        <v>4656</v>
      </c>
      <c r="F391" s="69" t="s">
        <v>6510</v>
      </c>
      <c r="G391" s="69" t="s">
        <v>1129</v>
      </c>
      <c r="H391" s="119"/>
      <c r="I391" s="114" t="str">
        <f t="array" ref="I391">XLOOKUP(G391,KLUS!$A$2:$A$2010,KLUS!$E$2:$E$2010)+XLOOKUP(H391,KLUS!$A$2:$A$2010,KLUS!$E$2:$E$2010)</f>
        <v>#N/A</v>
      </c>
      <c r="J391" s="114" t="str">
        <f t="shared" si="1"/>
        <v>#N/A</v>
      </c>
      <c r="K391" s="115" t="str">
        <f t="shared" si="2"/>
        <v>#N/A</v>
      </c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</row>
    <row r="392" ht="15.75" customHeight="1">
      <c r="A392" s="69" t="s">
        <v>6511</v>
      </c>
      <c r="B392" s="69" t="s">
        <v>5473</v>
      </c>
      <c r="C392" s="112" t="s">
        <v>6512</v>
      </c>
      <c r="D392" s="69"/>
      <c r="E392" s="69" t="s">
        <v>4658</v>
      </c>
      <c r="F392" s="118"/>
      <c r="G392" s="69" t="s">
        <v>1129</v>
      </c>
      <c r="H392" s="113" t="s">
        <v>1686</v>
      </c>
      <c r="I392" s="114">
        <f t="array" ref="I392">XLOOKUP(G392,KLUS!$A$2:$A$2010,KLUS!$E$2:$E$2010)+XLOOKUP(H392,KLUS!$A$2:$A$2010,KLUS!$E$2:$E$2010)</f>
        <v>618</v>
      </c>
      <c r="J392" s="114">
        <f t="shared" si="1"/>
        <v>556.2</v>
      </c>
      <c r="K392" s="115">
        <f t="shared" si="2"/>
        <v>444.96</v>
      </c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</row>
    <row r="393" ht="15.75" customHeight="1">
      <c r="A393" s="69" t="s">
        <v>6513</v>
      </c>
      <c r="B393" s="69" t="s">
        <v>5473</v>
      </c>
      <c r="C393" s="112" t="s">
        <v>6514</v>
      </c>
      <c r="D393" s="69"/>
      <c r="E393" s="69" t="s">
        <v>6515</v>
      </c>
      <c r="F393" s="118"/>
      <c r="G393" s="69" t="s">
        <v>1129</v>
      </c>
      <c r="H393" s="113" t="s">
        <v>1700</v>
      </c>
      <c r="I393" s="114">
        <f t="array" ref="I393">XLOOKUP(G393,KLUS!$A$2:$A$2010,KLUS!$E$2:$E$2010)+XLOOKUP(H393,KLUS!$A$2:$A$2010,KLUS!$E$2:$E$2010)</f>
        <v>624.7</v>
      </c>
      <c r="J393" s="114">
        <f t="shared" si="1"/>
        <v>562.23</v>
      </c>
      <c r="K393" s="115">
        <f t="shared" si="2"/>
        <v>449.784</v>
      </c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</row>
    <row r="394" ht="15.75" customHeight="1">
      <c r="A394" s="69" t="s">
        <v>4661</v>
      </c>
      <c r="B394" s="69" t="s">
        <v>5473</v>
      </c>
      <c r="C394" s="112" t="s">
        <v>5801</v>
      </c>
      <c r="D394" s="69"/>
      <c r="E394" s="69" t="s">
        <v>4662</v>
      </c>
      <c r="F394" s="69" t="s">
        <v>6516</v>
      </c>
      <c r="G394" s="69" t="s">
        <v>230</v>
      </c>
      <c r="H394" s="119"/>
      <c r="I394" s="114" t="str">
        <f t="array" ref="I394">XLOOKUP(G394,KLUS!$A$2:$A$2010,KLUS!$E$2:$E$2010)+XLOOKUP(H394,KLUS!$A$2:$A$2010,KLUS!$E$2:$E$2010)</f>
        <v>#N/A</v>
      </c>
      <c r="J394" s="114" t="str">
        <f t="shared" si="1"/>
        <v>#N/A</v>
      </c>
      <c r="K394" s="115" t="str">
        <f t="shared" si="2"/>
        <v>#N/A</v>
      </c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</row>
    <row r="395" ht="15.75" customHeight="1">
      <c r="A395" s="69" t="s">
        <v>6517</v>
      </c>
      <c r="B395" s="69" t="s">
        <v>5473</v>
      </c>
      <c r="C395" s="112" t="s">
        <v>6104</v>
      </c>
      <c r="D395" s="69"/>
      <c r="E395" s="69" t="s">
        <v>237</v>
      </c>
      <c r="F395" s="69" t="s">
        <v>6518</v>
      </c>
      <c r="G395" s="69" t="s">
        <v>237</v>
      </c>
      <c r="H395" s="119"/>
      <c r="I395" s="114" t="str">
        <f t="array" ref="I395">XLOOKUP(G395,KLUS!$A$2:$A$2010,KLUS!$E$2:$E$2010)+XLOOKUP(H395,KLUS!$A$2:$A$2010,KLUS!$E$2:$E$2010)</f>
        <v>#N/A</v>
      </c>
      <c r="J395" s="114" t="str">
        <f t="shared" si="1"/>
        <v>#N/A</v>
      </c>
      <c r="K395" s="115" t="str">
        <f t="shared" si="2"/>
        <v>#N/A</v>
      </c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</row>
    <row r="396" ht="15.75" customHeight="1">
      <c r="A396" s="69" t="s">
        <v>4664</v>
      </c>
      <c r="B396" s="69" t="s">
        <v>5473</v>
      </c>
      <c r="C396" s="112" t="s">
        <v>6519</v>
      </c>
      <c r="D396" s="69"/>
      <c r="E396" s="69" t="s">
        <v>4665</v>
      </c>
      <c r="F396" s="69" t="s">
        <v>6520</v>
      </c>
      <c r="G396" s="69" t="s">
        <v>233</v>
      </c>
      <c r="H396" s="119"/>
      <c r="I396" s="114" t="str">
        <f t="array" ref="I396">XLOOKUP(G396,KLUS!$A$2:$A$2010,KLUS!$E$2:$E$2010)+XLOOKUP(H396,KLUS!$A$2:$A$2010,KLUS!$E$2:$E$2010)</f>
        <v>#N/A</v>
      </c>
      <c r="J396" s="114" t="str">
        <f t="shared" si="1"/>
        <v>#N/A</v>
      </c>
      <c r="K396" s="115" t="str">
        <f t="shared" si="2"/>
        <v>#N/A</v>
      </c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</row>
    <row r="397" ht="15.75" customHeight="1">
      <c r="A397" s="69" t="s">
        <v>6521</v>
      </c>
      <c r="B397" s="69" t="s">
        <v>5473</v>
      </c>
      <c r="C397" s="112" t="s">
        <v>6522</v>
      </c>
      <c r="D397" s="69"/>
      <c r="E397" s="69" t="s">
        <v>240</v>
      </c>
      <c r="F397" s="69" t="s">
        <v>6523</v>
      </c>
      <c r="G397" s="69" t="s">
        <v>240</v>
      </c>
      <c r="H397" s="119"/>
      <c r="I397" s="114" t="str">
        <f t="array" ref="I397">XLOOKUP(G397,KLUS!$A$2:$A$2010,KLUS!$E$2:$E$2010)+XLOOKUP(H397,KLUS!$A$2:$A$2010,KLUS!$E$2:$E$2010)</f>
        <v>#N/A</v>
      </c>
      <c r="J397" s="114" t="str">
        <f t="shared" si="1"/>
        <v>#N/A</v>
      </c>
      <c r="K397" s="115" t="str">
        <f t="shared" si="2"/>
        <v>#N/A</v>
      </c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</row>
    <row r="398" ht="15.75" customHeight="1">
      <c r="A398" s="69" t="s">
        <v>6524</v>
      </c>
      <c r="B398" s="69" t="s">
        <v>5473</v>
      </c>
      <c r="C398" s="112" t="s">
        <v>6525</v>
      </c>
      <c r="D398" s="69"/>
      <c r="E398" s="69" t="s">
        <v>247</v>
      </c>
      <c r="F398" s="69" t="s">
        <v>6526</v>
      </c>
      <c r="G398" s="69" t="s">
        <v>247</v>
      </c>
      <c r="H398" s="119"/>
      <c r="I398" s="114" t="str">
        <f t="array" ref="I398">XLOOKUP(G398,KLUS!$A$2:$A$2010,KLUS!$E$2:$E$2010)+XLOOKUP(H398,KLUS!$A$2:$A$2010,KLUS!$E$2:$E$2010)</f>
        <v>#N/A</v>
      </c>
      <c r="J398" s="114" t="str">
        <f t="shared" si="1"/>
        <v>#N/A</v>
      </c>
      <c r="K398" s="115" t="str">
        <f t="shared" si="2"/>
        <v>#N/A</v>
      </c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</row>
    <row r="399" ht="15.75" customHeight="1">
      <c r="A399" s="69" t="s">
        <v>4669</v>
      </c>
      <c r="B399" s="69" t="s">
        <v>5473</v>
      </c>
      <c r="C399" s="112" t="s">
        <v>5668</v>
      </c>
      <c r="D399" s="69"/>
      <c r="E399" s="69" t="s">
        <v>4670</v>
      </c>
      <c r="F399" s="69" t="s">
        <v>6527</v>
      </c>
      <c r="G399" s="69" t="s">
        <v>235</v>
      </c>
      <c r="H399" s="119"/>
      <c r="I399" s="114" t="str">
        <f t="array" ref="I399">XLOOKUP(G399,KLUS!$A$2:$A$2010,KLUS!$E$2:$E$2010)+XLOOKUP(H399,KLUS!$A$2:$A$2010,KLUS!$E$2:$E$2010)</f>
        <v>#N/A</v>
      </c>
      <c r="J399" s="114" t="str">
        <f t="shared" si="1"/>
        <v>#N/A</v>
      </c>
      <c r="K399" s="115" t="str">
        <f t="shared" si="2"/>
        <v>#N/A</v>
      </c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</row>
    <row r="400" ht="15.75" customHeight="1">
      <c r="A400" s="69" t="s">
        <v>6528</v>
      </c>
      <c r="B400" s="69" t="s">
        <v>5473</v>
      </c>
      <c r="C400" s="112" t="s">
        <v>6529</v>
      </c>
      <c r="D400" s="69"/>
      <c r="E400" s="69" t="s">
        <v>242</v>
      </c>
      <c r="F400" s="69" t="s">
        <v>6530</v>
      </c>
      <c r="G400" s="69" t="s">
        <v>242</v>
      </c>
      <c r="H400" s="119"/>
      <c r="I400" s="114" t="str">
        <f t="array" ref="I400">XLOOKUP(G400,KLUS!$A$2:$A$2010,KLUS!$E$2:$E$2010)+XLOOKUP(H400,KLUS!$A$2:$A$2010,KLUS!$E$2:$E$2010)</f>
        <v>#N/A</v>
      </c>
      <c r="J400" s="114" t="str">
        <f t="shared" si="1"/>
        <v>#N/A</v>
      </c>
      <c r="K400" s="115" t="str">
        <f t="shared" si="2"/>
        <v>#N/A</v>
      </c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</row>
    <row r="401" ht="15.75" customHeight="1">
      <c r="A401" s="69" t="s">
        <v>4672</v>
      </c>
      <c r="B401" s="69" t="s">
        <v>5473</v>
      </c>
      <c r="C401" s="112" t="s">
        <v>6531</v>
      </c>
      <c r="D401" s="69"/>
      <c r="E401" s="69" t="s">
        <v>4673</v>
      </c>
      <c r="F401" s="69" t="s">
        <v>6532</v>
      </c>
      <c r="G401" s="69" t="s">
        <v>700</v>
      </c>
      <c r="H401" s="119"/>
      <c r="I401" s="114" t="str">
        <f t="array" ref="I401">XLOOKUP(G401,KLUS!$A$2:$A$2010,KLUS!$E$2:$E$2010)+XLOOKUP(H401,KLUS!$A$2:$A$2010,KLUS!$E$2:$E$2010)</f>
        <v>#N/A</v>
      </c>
      <c r="J401" s="114" t="str">
        <f t="shared" si="1"/>
        <v>#N/A</v>
      </c>
      <c r="K401" s="115" t="str">
        <f t="shared" si="2"/>
        <v>#N/A</v>
      </c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</row>
    <row r="402" ht="15.75" customHeight="1">
      <c r="A402" s="69" t="s">
        <v>4674</v>
      </c>
      <c r="B402" s="69" t="s">
        <v>5473</v>
      </c>
      <c r="C402" s="112" t="s">
        <v>6533</v>
      </c>
      <c r="D402" s="69"/>
      <c r="E402" s="69" t="s">
        <v>4675</v>
      </c>
      <c r="F402" s="69" t="s">
        <v>6534</v>
      </c>
      <c r="G402" s="69" t="s">
        <v>703</v>
      </c>
      <c r="H402" s="119"/>
      <c r="I402" s="114" t="str">
        <f t="array" ref="I402">XLOOKUP(G402,KLUS!$A$2:$A$2010,KLUS!$E$2:$E$2010)+XLOOKUP(H402,KLUS!$A$2:$A$2010,KLUS!$E$2:$E$2010)</f>
        <v>#N/A</v>
      </c>
      <c r="J402" s="114" t="str">
        <f t="shared" si="1"/>
        <v>#N/A</v>
      </c>
      <c r="K402" s="115" t="str">
        <f t="shared" si="2"/>
        <v>#N/A</v>
      </c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</row>
    <row r="403" ht="15.75" customHeight="1">
      <c r="A403" s="69" t="s">
        <v>4676</v>
      </c>
      <c r="B403" s="69" t="s">
        <v>5473</v>
      </c>
      <c r="C403" s="112" t="s">
        <v>6535</v>
      </c>
      <c r="D403" s="69"/>
      <c r="E403" s="69" t="s">
        <v>6536</v>
      </c>
      <c r="F403" s="69" t="s">
        <v>6537</v>
      </c>
      <c r="G403" s="69" t="s">
        <v>705</v>
      </c>
      <c r="H403" s="119"/>
      <c r="I403" s="114" t="str">
        <f t="array" ref="I403">XLOOKUP(G403,KLUS!$A$2:$A$2010,KLUS!$E$2:$E$2010)+XLOOKUP(H403,KLUS!$A$2:$A$2010,KLUS!$E$2:$E$2010)</f>
        <v>#N/A</v>
      </c>
      <c r="J403" s="114" t="str">
        <f t="shared" si="1"/>
        <v>#N/A</v>
      </c>
      <c r="K403" s="115" t="str">
        <f t="shared" si="2"/>
        <v>#N/A</v>
      </c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</row>
    <row r="404" ht="15.75" customHeight="1">
      <c r="A404" s="69" t="s">
        <v>6538</v>
      </c>
      <c r="B404" s="69" t="s">
        <v>5473</v>
      </c>
      <c r="C404" s="112" t="s">
        <v>6539</v>
      </c>
      <c r="D404" s="69"/>
      <c r="E404" s="69" t="s">
        <v>4679</v>
      </c>
      <c r="F404" s="69" t="s">
        <v>6540</v>
      </c>
      <c r="G404" s="69" t="s">
        <v>674</v>
      </c>
      <c r="H404" s="119"/>
      <c r="I404" s="114" t="str">
        <f t="array" ref="I404">XLOOKUP(G404,KLUS!$A$2:$A$2010,KLUS!$E$2:$E$2010)+XLOOKUP(H404,KLUS!$A$2:$A$2010,KLUS!$E$2:$E$2010)</f>
        <v>#N/A</v>
      </c>
      <c r="J404" s="114" t="str">
        <f t="shared" si="1"/>
        <v>#N/A</v>
      </c>
      <c r="K404" s="115" t="str">
        <f t="shared" si="2"/>
        <v>#N/A</v>
      </c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</row>
    <row r="405" ht="15.75" customHeight="1">
      <c r="A405" s="69" t="s">
        <v>6541</v>
      </c>
      <c r="B405" s="69" t="s">
        <v>5473</v>
      </c>
      <c r="C405" s="112" t="s">
        <v>5653</v>
      </c>
      <c r="D405" s="69"/>
      <c r="E405" s="69" t="s">
        <v>4681</v>
      </c>
      <c r="F405" s="69" t="s">
        <v>6542</v>
      </c>
      <c r="G405" s="69" t="s">
        <v>681</v>
      </c>
      <c r="H405" s="119"/>
      <c r="I405" s="114" t="str">
        <f t="array" ref="I405">XLOOKUP(G405,KLUS!$A$2:$A$2010,KLUS!$E$2:$E$2010)+XLOOKUP(H405,KLUS!$A$2:$A$2010,KLUS!$E$2:$E$2010)</f>
        <v>#N/A</v>
      </c>
      <c r="J405" s="114" t="str">
        <f t="shared" si="1"/>
        <v>#N/A</v>
      </c>
      <c r="K405" s="115" t="str">
        <f t="shared" si="2"/>
        <v>#N/A</v>
      </c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</row>
    <row r="406" ht="15.75" customHeight="1">
      <c r="A406" s="69" t="s">
        <v>6543</v>
      </c>
      <c r="B406" s="69" t="s">
        <v>5473</v>
      </c>
      <c r="C406" s="112" t="s">
        <v>6544</v>
      </c>
      <c r="D406" s="69"/>
      <c r="E406" s="69" t="s">
        <v>4683</v>
      </c>
      <c r="F406" s="69" t="s">
        <v>6545</v>
      </c>
      <c r="G406" s="69" t="s">
        <v>677</v>
      </c>
      <c r="H406" s="119"/>
      <c r="I406" s="114" t="str">
        <f t="array" ref="I406">XLOOKUP(G406,KLUS!$A$2:$A$2010,KLUS!$E$2:$E$2010)+XLOOKUP(H406,KLUS!$A$2:$A$2010,KLUS!$E$2:$E$2010)</f>
        <v>#N/A</v>
      </c>
      <c r="J406" s="114" t="str">
        <f t="shared" si="1"/>
        <v>#N/A</v>
      </c>
      <c r="K406" s="115" t="str">
        <f t="shared" si="2"/>
        <v>#N/A</v>
      </c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</row>
    <row r="407" ht="15.75" customHeight="1">
      <c r="A407" s="69" t="s">
        <v>6546</v>
      </c>
      <c r="B407" s="69" t="s">
        <v>5473</v>
      </c>
      <c r="C407" s="112" t="s">
        <v>6547</v>
      </c>
      <c r="D407" s="69"/>
      <c r="E407" s="69" t="s">
        <v>4685</v>
      </c>
      <c r="F407" s="69" t="s">
        <v>6548</v>
      </c>
      <c r="G407" s="69" t="s">
        <v>683</v>
      </c>
      <c r="H407" s="119"/>
      <c r="I407" s="114" t="str">
        <f t="array" ref="I407">XLOOKUP(G407,KLUS!$A$2:$A$2010,KLUS!$E$2:$E$2010)+XLOOKUP(H407,KLUS!$A$2:$A$2010,KLUS!$E$2:$E$2010)</f>
        <v>#N/A</v>
      </c>
      <c r="J407" s="114" t="str">
        <f t="shared" si="1"/>
        <v>#N/A</v>
      </c>
      <c r="K407" s="115" t="str">
        <f t="shared" si="2"/>
        <v>#N/A</v>
      </c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</row>
    <row r="408" ht="15.75" customHeight="1">
      <c r="A408" s="69" t="s">
        <v>6549</v>
      </c>
      <c r="B408" s="69" t="s">
        <v>5473</v>
      </c>
      <c r="C408" s="112" t="s">
        <v>6550</v>
      </c>
      <c r="D408" s="69"/>
      <c r="E408" s="69" t="s">
        <v>4687</v>
      </c>
      <c r="F408" s="69" t="s">
        <v>6551</v>
      </c>
      <c r="G408" s="69" t="s">
        <v>679</v>
      </c>
      <c r="H408" s="119"/>
      <c r="I408" s="114" t="str">
        <f t="array" ref="I408">XLOOKUP(G408,KLUS!$A$2:$A$2010,KLUS!$E$2:$E$2010)+XLOOKUP(H408,KLUS!$A$2:$A$2010,KLUS!$E$2:$E$2010)</f>
        <v>#N/A</v>
      </c>
      <c r="J408" s="114" t="str">
        <f t="shared" si="1"/>
        <v>#N/A</v>
      </c>
      <c r="K408" s="115" t="str">
        <f t="shared" si="2"/>
        <v>#N/A</v>
      </c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</row>
    <row r="409" ht="15.75" customHeight="1">
      <c r="A409" s="69" t="s">
        <v>6552</v>
      </c>
      <c r="B409" s="69" t="s">
        <v>5473</v>
      </c>
      <c r="C409" s="112" t="s">
        <v>6553</v>
      </c>
      <c r="D409" s="69"/>
      <c r="E409" s="69" t="s">
        <v>6554</v>
      </c>
      <c r="F409" s="69" t="s">
        <v>6555</v>
      </c>
      <c r="G409" s="69" t="s">
        <v>685</v>
      </c>
      <c r="H409" s="119"/>
      <c r="I409" s="114" t="str">
        <f t="array" ref="I409">XLOOKUP(G409,KLUS!$A$2:$A$2010,KLUS!$E$2:$E$2010)+XLOOKUP(H409,KLUS!$A$2:$A$2010,KLUS!$E$2:$E$2010)</f>
        <v>#N/A</v>
      </c>
      <c r="J409" s="114" t="str">
        <f t="shared" si="1"/>
        <v>#N/A</v>
      </c>
      <c r="K409" s="115" t="str">
        <f t="shared" si="2"/>
        <v>#N/A</v>
      </c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</row>
    <row r="410" ht="15.75" customHeight="1">
      <c r="A410" s="69" t="s">
        <v>6556</v>
      </c>
      <c r="B410" s="69" t="s">
        <v>5473</v>
      </c>
      <c r="C410" s="112" t="s">
        <v>6557</v>
      </c>
      <c r="D410" s="69"/>
      <c r="E410" s="69" t="s">
        <v>6558</v>
      </c>
      <c r="F410" s="69" t="s">
        <v>6559</v>
      </c>
      <c r="G410" s="69" t="s">
        <v>6560</v>
      </c>
      <c r="H410" s="119"/>
      <c r="I410" s="114" t="str">
        <f t="array" ref="I410">XLOOKUP(G410,KLUS!$A$2:$A$2010,KLUS!$E$2:$E$2010)+XLOOKUP(H410,KLUS!$A$2:$A$2010,KLUS!$E$2:$E$2010)</f>
        <v>#N/A</v>
      </c>
      <c r="J410" s="114" t="str">
        <f t="shared" si="1"/>
        <v>#N/A</v>
      </c>
      <c r="K410" s="115" t="str">
        <f t="shared" si="2"/>
        <v>#N/A</v>
      </c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</row>
    <row r="411" ht="15.75" customHeight="1">
      <c r="A411" s="69" t="s">
        <v>6561</v>
      </c>
      <c r="B411" s="69" t="s">
        <v>5473</v>
      </c>
      <c r="C411" s="112" t="s">
        <v>6562</v>
      </c>
      <c r="D411" s="69"/>
      <c r="E411" s="69" t="s">
        <v>6563</v>
      </c>
      <c r="F411" s="69" t="s">
        <v>6564</v>
      </c>
      <c r="G411" s="69" t="s">
        <v>694</v>
      </c>
      <c r="H411" s="119"/>
      <c r="I411" s="114" t="str">
        <f t="array" ref="I411">XLOOKUP(G411,KLUS!$A$2:$A$2010,KLUS!$E$2:$E$2010)+XLOOKUP(H411,KLUS!$A$2:$A$2010,KLUS!$E$2:$E$2010)</f>
        <v>#N/A</v>
      </c>
      <c r="J411" s="114" t="str">
        <f t="shared" si="1"/>
        <v>#N/A</v>
      </c>
      <c r="K411" s="115" t="str">
        <f t="shared" si="2"/>
        <v>#N/A</v>
      </c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</row>
    <row r="412" ht="15.75" customHeight="1">
      <c r="A412" s="69" t="s">
        <v>6565</v>
      </c>
      <c r="B412" s="69" t="s">
        <v>5473</v>
      </c>
      <c r="C412" s="112" t="s">
        <v>6566</v>
      </c>
      <c r="D412" s="69"/>
      <c r="E412" s="69" t="s">
        <v>4695</v>
      </c>
      <c r="F412" s="69" t="s">
        <v>6567</v>
      </c>
      <c r="G412" s="69" t="s">
        <v>6568</v>
      </c>
      <c r="H412" s="119"/>
      <c r="I412" s="114" t="str">
        <f t="array" ref="I412">XLOOKUP(G412,KLUS!$A$2:$A$2010,KLUS!$E$2:$E$2010)+XLOOKUP(H412,KLUS!$A$2:$A$2010,KLUS!$E$2:$E$2010)</f>
        <v>#N/A</v>
      </c>
      <c r="J412" s="114" t="str">
        <f t="shared" si="1"/>
        <v>#N/A</v>
      </c>
      <c r="K412" s="115" t="str">
        <f t="shared" si="2"/>
        <v>#N/A</v>
      </c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</row>
    <row r="413" ht="15.75" customHeight="1">
      <c r="A413" s="69" t="s">
        <v>6569</v>
      </c>
      <c r="B413" s="69" t="s">
        <v>5473</v>
      </c>
      <c r="C413" s="112" t="s">
        <v>6570</v>
      </c>
      <c r="D413" s="69"/>
      <c r="E413" s="69" t="s">
        <v>6571</v>
      </c>
      <c r="F413" s="69" t="s">
        <v>6572</v>
      </c>
      <c r="G413" s="69" t="s">
        <v>696</v>
      </c>
      <c r="H413" s="119"/>
      <c r="I413" s="114" t="str">
        <f t="array" ref="I413">XLOOKUP(G413,KLUS!$A$2:$A$2010,KLUS!$E$2:$E$2010)+XLOOKUP(H413,KLUS!$A$2:$A$2010,KLUS!$E$2:$E$2010)</f>
        <v>#N/A</v>
      </c>
      <c r="J413" s="114" t="str">
        <f t="shared" si="1"/>
        <v>#N/A</v>
      </c>
      <c r="K413" s="115" t="str">
        <f t="shared" si="2"/>
        <v>#N/A</v>
      </c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</row>
    <row r="414" ht="15.75" customHeight="1">
      <c r="A414" s="69" t="s">
        <v>6573</v>
      </c>
      <c r="B414" s="69" t="s">
        <v>5473</v>
      </c>
      <c r="C414" s="112" t="s">
        <v>6574</v>
      </c>
      <c r="D414" s="69"/>
      <c r="E414" s="69" t="s">
        <v>6575</v>
      </c>
      <c r="F414" s="69" t="s">
        <v>6576</v>
      </c>
      <c r="G414" s="69" t="s">
        <v>6577</v>
      </c>
      <c r="H414" s="119"/>
      <c r="I414" s="114" t="str">
        <f t="array" ref="I414">XLOOKUP(G414,KLUS!$A$2:$A$2010,KLUS!$E$2:$E$2010)+XLOOKUP(H414,KLUS!$A$2:$A$2010,KLUS!$E$2:$E$2010)</f>
        <v>#N/A</v>
      </c>
      <c r="J414" s="114" t="str">
        <f t="shared" si="1"/>
        <v>#N/A</v>
      </c>
      <c r="K414" s="115" t="str">
        <f t="shared" si="2"/>
        <v>#N/A</v>
      </c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</row>
    <row r="415" ht="15.75" customHeight="1">
      <c r="A415" s="69" t="s">
        <v>6578</v>
      </c>
      <c r="B415" s="69" t="s">
        <v>5473</v>
      </c>
      <c r="C415" s="112" t="s">
        <v>6579</v>
      </c>
      <c r="D415" s="69"/>
      <c r="E415" s="69" t="s">
        <v>6580</v>
      </c>
      <c r="F415" s="69" t="s">
        <v>6581</v>
      </c>
      <c r="G415" s="69" t="s">
        <v>698</v>
      </c>
      <c r="H415" s="119"/>
      <c r="I415" s="114" t="str">
        <f t="array" ref="I415">XLOOKUP(G415,KLUS!$A$2:$A$2010,KLUS!$E$2:$E$2010)+XLOOKUP(H415,KLUS!$A$2:$A$2010,KLUS!$E$2:$E$2010)</f>
        <v>#N/A</v>
      </c>
      <c r="J415" s="114" t="str">
        <f t="shared" si="1"/>
        <v>#N/A</v>
      </c>
      <c r="K415" s="115" t="str">
        <f t="shared" si="2"/>
        <v>#N/A</v>
      </c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</row>
    <row r="416" ht="15.75" customHeight="1">
      <c r="A416" s="69" t="s">
        <v>4702</v>
      </c>
      <c r="B416" s="69" t="s">
        <v>5486</v>
      </c>
      <c r="C416" s="112" t="s">
        <v>6582</v>
      </c>
      <c r="D416" s="69"/>
      <c r="E416" s="69" t="s">
        <v>4703</v>
      </c>
      <c r="F416" s="69" t="s">
        <v>6583</v>
      </c>
      <c r="G416" s="69" t="s">
        <v>483</v>
      </c>
      <c r="H416" s="119"/>
      <c r="I416" s="114" t="str">
        <f t="array" ref="I416">XLOOKUP(G416,KLUS!$A$2:$A$2010,KLUS!$E$2:$E$2010)+XLOOKUP(H416,KLUS!$A$2:$A$2010,KLUS!$E$2:$E$2010)</f>
        <v>#N/A</v>
      </c>
      <c r="J416" s="114" t="str">
        <f t="shared" si="1"/>
        <v>#N/A</v>
      </c>
      <c r="K416" s="115" t="str">
        <f t="shared" si="2"/>
        <v>#N/A</v>
      </c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</row>
    <row r="417" ht="15.75" customHeight="1">
      <c r="A417" s="69" t="s">
        <v>6584</v>
      </c>
      <c r="B417" s="69" t="s">
        <v>5473</v>
      </c>
      <c r="C417" s="112" t="s">
        <v>5503</v>
      </c>
      <c r="D417" s="69"/>
      <c r="E417" s="69" t="s">
        <v>4705</v>
      </c>
      <c r="F417" s="69" t="s">
        <v>6585</v>
      </c>
      <c r="G417" s="69" t="s">
        <v>483</v>
      </c>
      <c r="H417" s="113" t="s">
        <v>6586</v>
      </c>
      <c r="I417" s="114" t="str">
        <f t="array" ref="I417">XLOOKUP(G417,KLUS!$A$2:$A$2010,KLUS!$E$2:$E$2010)+XLOOKUP(H417,KLUS!$A$2:$A$2010,KLUS!$E$2:$E$2010)</f>
        <v>#N/A</v>
      </c>
      <c r="J417" s="114" t="str">
        <f t="shared" si="1"/>
        <v>#N/A</v>
      </c>
      <c r="K417" s="115" t="str">
        <f t="shared" si="2"/>
        <v>#N/A</v>
      </c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</row>
    <row r="418" ht="15.75" customHeight="1">
      <c r="A418" s="69" t="s">
        <v>6587</v>
      </c>
      <c r="B418" s="69" t="s">
        <v>5473</v>
      </c>
      <c r="C418" s="112" t="s">
        <v>5503</v>
      </c>
      <c r="D418" s="69"/>
      <c r="E418" s="69" t="s">
        <v>4707</v>
      </c>
      <c r="F418" s="118"/>
      <c r="G418" s="69" t="s">
        <v>483</v>
      </c>
      <c r="H418" s="116" t="s">
        <v>6588</v>
      </c>
      <c r="I418" s="114" t="str">
        <f t="array" ref="I418">XLOOKUP(G418,KLUS!$A$2:$A$2010,KLUS!$E$2:$E$2010)+XLOOKUP(H418,KLUS!$A$2:$A$2010,KLUS!$E$2:$E$2010)</f>
        <v>#N/A</v>
      </c>
      <c r="J418" s="114" t="str">
        <f t="shared" si="1"/>
        <v>#N/A</v>
      </c>
      <c r="K418" s="115" t="str">
        <f t="shared" si="2"/>
        <v>#N/A</v>
      </c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</row>
    <row r="419" ht="15.75" customHeight="1">
      <c r="A419" s="69" t="s">
        <v>4708</v>
      </c>
      <c r="B419" s="69" t="s">
        <v>5473</v>
      </c>
      <c r="C419" s="112" t="s">
        <v>6589</v>
      </c>
      <c r="D419" s="69"/>
      <c r="E419" s="69" t="s">
        <v>4709</v>
      </c>
      <c r="F419" s="69" t="s">
        <v>6590</v>
      </c>
      <c r="G419" s="69" t="s">
        <v>486</v>
      </c>
      <c r="H419" s="119"/>
      <c r="I419" s="114" t="str">
        <f t="array" ref="I419">XLOOKUP(G419,KLUS!$A$2:$A$2010,KLUS!$E$2:$E$2010)+XLOOKUP(H419,KLUS!$A$2:$A$2010,KLUS!$E$2:$E$2010)</f>
        <v>#N/A</v>
      </c>
      <c r="J419" s="114" t="str">
        <f t="shared" si="1"/>
        <v>#N/A</v>
      </c>
      <c r="K419" s="115" t="str">
        <f t="shared" si="2"/>
        <v>#N/A</v>
      </c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</row>
    <row r="420" ht="15.75" customHeight="1">
      <c r="A420" s="69" t="s">
        <v>6591</v>
      </c>
      <c r="B420" s="69" t="s">
        <v>5473</v>
      </c>
      <c r="C420" s="112" t="s">
        <v>5519</v>
      </c>
      <c r="D420" s="69"/>
      <c r="E420" s="69" t="s">
        <v>4711</v>
      </c>
      <c r="F420" s="69" t="s">
        <v>6592</v>
      </c>
      <c r="G420" s="69" t="s">
        <v>486</v>
      </c>
      <c r="H420" s="113" t="s">
        <v>6593</v>
      </c>
      <c r="I420" s="114" t="str">
        <f t="array" ref="I420">XLOOKUP(G420,KLUS!$A$2:$A$2010,KLUS!$E$2:$E$2010)+XLOOKUP(H420,KLUS!$A$2:$A$2010,KLUS!$E$2:$E$2010)</f>
        <v>#N/A</v>
      </c>
      <c r="J420" s="114" t="str">
        <f t="shared" si="1"/>
        <v>#N/A</v>
      </c>
      <c r="K420" s="115" t="str">
        <f t="shared" si="2"/>
        <v>#N/A</v>
      </c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</row>
    <row r="421" ht="15.75" customHeight="1">
      <c r="A421" s="69" t="s">
        <v>6594</v>
      </c>
      <c r="B421" s="69" t="s">
        <v>5473</v>
      </c>
      <c r="C421" s="112" t="s">
        <v>5519</v>
      </c>
      <c r="D421" s="69"/>
      <c r="E421" s="69" t="s">
        <v>4713</v>
      </c>
      <c r="F421" s="118"/>
      <c r="G421" s="69" t="s">
        <v>486</v>
      </c>
      <c r="H421" s="113" t="s">
        <v>6595</v>
      </c>
      <c r="I421" s="114" t="str">
        <f t="array" ref="I421">XLOOKUP(G421,KLUS!$A$2:$A$2010,KLUS!$E$2:$E$2010)+XLOOKUP(H421,KLUS!$A$2:$A$2010,KLUS!$E$2:$E$2010)</f>
        <v>#N/A</v>
      </c>
      <c r="J421" s="114" t="str">
        <f t="shared" si="1"/>
        <v>#N/A</v>
      </c>
      <c r="K421" s="115" t="str">
        <f t="shared" si="2"/>
        <v>#N/A</v>
      </c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</row>
    <row r="422" ht="15.75" customHeight="1">
      <c r="A422" s="69" t="s">
        <v>4714</v>
      </c>
      <c r="B422" s="69" t="s">
        <v>5473</v>
      </c>
      <c r="C422" s="112" t="s">
        <v>6310</v>
      </c>
      <c r="D422" s="69"/>
      <c r="E422" s="69" t="s">
        <v>4715</v>
      </c>
      <c r="F422" s="69" t="s">
        <v>6596</v>
      </c>
      <c r="G422" s="69" t="s">
        <v>488</v>
      </c>
      <c r="H422" s="119"/>
      <c r="I422" s="114" t="str">
        <f t="array" ref="I422">XLOOKUP(G422,KLUS!$A$2:$A$2010,KLUS!$E$2:$E$2010)+XLOOKUP(H422,KLUS!$A$2:$A$2010,KLUS!$E$2:$E$2010)</f>
        <v>#N/A</v>
      </c>
      <c r="J422" s="114" t="str">
        <f t="shared" si="1"/>
        <v>#N/A</v>
      </c>
      <c r="K422" s="115" t="str">
        <f t="shared" si="2"/>
        <v>#N/A</v>
      </c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</row>
    <row r="423" ht="15.75" customHeight="1">
      <c r="A423" s="69" t="s">
        <v>6597</v>
      </c>
      <c r="B423" s="69" t="s">
        <v>5473</v>
      </c>
      <c r="C423" s="112" t="s">
        <v>5536</v>
      </c>
      <c r="D423" s="69"/>
      <c r="E423" s="69" t="s">
        <v>4717</v>
      </c>
      <c r="F423" s="118"/>
      <c r="G423" s="69" t="s">
        <v>488</v>
      </c>
      <c r="H423" s="113" t="s">
        <v>6598</v>
      </c>
      <c r="I423" s="114" t="str">
        <f t="array" ref="I423">XLOOKUP(G423,KLUS!$A$2:$A$2010,KLUS!$E$2:$E$2010)+XLOOKUP(H423,KLUS!$A$2:$A$2010,KLUS!$E$2:$E$2010)</f>
        <v>#N/A</v>
      </c>
      <c r="J423" s="114" t="str">
        <f t="shared" si="1"/>
        <v>#N/A</v>
      </c>
      <c r="K423" s="115" t="str">
        <f t="shared" si="2"/>
        <v>#N/A</v>
      </c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</row>
    <row r="424" ht="15.75" customHeight="1">
      <c r="A424" s="69" t="s">
        <v>6599</v>
      </c>
      <c r="B424" s="69" t="s">
        <v>5473</v>
      </c>
      <c r="C424" s="112" t="s">
        <v>6600</v>
      </c>
      <c r="D424" s="69"/>
      <c r="E424" s="69" t="s">
        <v>6601</v>
      </c>
      <c r="F424" s="69" t="s">
        <v>6602</v>
      </c>
      <c r="G424" s="69" t="s">
        <v>431</v>
      </c>
      <c r="H424" s="113"/>
      <c r="I424" s="114" t="str">
        <f t="array" ref="I424">XLOOKUP(G424,KLUS!$A$2:$A$2010,KLUS!$E$2:$E$2010)+XLOOKUP(H424,KLUS!$A$2:$A$2010,KLUS!$E$2:$E$2010)</f>
        <v>#N/A</v>
      </c>
      <c r="J424" s="114" t="str">
        <f t="shared" si="1"/>
        <v>#N/A</v>
      </c>
      <c r="K424" s="115" t="str">
        <f t="shared" si="2"/>
        <v>#N/A</v>
      </c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</row>
    <row r="425" ht="15.75" customHeight="1">
      <c r="A425" s="69" t="s">
        <v>6603</v>
      </c>
      <c r="B425" s="69" t="s">
        <v>5473</v>
      </c>
      <c r="C425" s="112" t="s">
        <v>5480</v>
      </c>
      <c r="D425" s="69"/>
      <c r="E425" s="69" t="s">
        <v>6604</v>
      </c>
      <c r="F425" s="69" t="s">
        <v>6605</v>
      </c>
      <c r="G425" s="69" t="s">
        <v>434</v>
      </c>
      <c r="H425" s="119"/>
      <c r="I425" s="114" t="str">
        <f t="array" ref="I425">XLOOKUP(G425,KLUS!$A$2:$A$2010,KLUS!$E$2:$E$2010)+XLOOKUP(H425,KLUS!$A$2:$A$2010,KLUS!$E$2:$E$2010)</f>
        <v>#N/A</v>
      </c>
      <c r="J425" s="114" t="str">
        <f t="shared" si="1"/>
        <v>#N/A</v>
      </c>
      <c r="K425" s="115" t="str">
        <f t="shared" si="2"/>
        <v>#N/A</v>
      </c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</row>
    <row r="426" ht="15.75" customHeight="1">
      <c r="A426" s="69" t="s">
        <v>6606</v>
      </c>
      <c r="B426" s="69" t="s">
        <v>5473</v>
      </c>
      <c r="C426" s="112" t="s">
        <v>6607</v>
      </c>
      <c r="D426" s="69"/>
      <c r="E426" s="69" t="s">
        <v>4729</v>
      </c>
      <c r="F426" s="69" t="s">
        <v>6608</v>
      </c>
      <c r="G426" s="69" t="s">
        <v>6609</v>
      </c>
      <c r="H426" s="119"/>
      <c r="I426" s="114" t="str">
        <f t="array" ref="I426">XLOOKUP(G426,KLUS!$A$2:$A$2010,KLUS!$E$2:$E$2010)+XLOOKUP(H426,KLUS!$A$2:$A$2010,KLUS!$E$2:$E$2010)</f>
        <v>#N/A</v>
      </c>
      <c r="J426" s="114" t="str">
        <f t="shared" si="1"/>
        <v>#N/A</v>
      </c>
      <c r="K426" s="115" t="str">
        <f t="shared" si="2"/>
        <v>#N/A</v>
      </c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</row>
    <row r="427" ht="15.75" customHeight="1">
      <c r="A427" s="69" t="s">
        <v>6610</v>
      </c>
      <c r="B427" s="69" t="s">
        <v>5473</v>
      </c>
      <c r="C427" s="112" t="s">
        <v>6611</v>
      </c>
      <c r="D427" s="69"/>
      <c r="E427" s="69" t="s">
        <v>6612</v>
      </c>
      <c r="F427" s="69" t="s">
        <v>6613</v>
      </c>
      <c r="G427" s="69" t="s">
        <v>6614</v>
      </c>
      <c r="H427" s="119"/>
      <c r="I427" s="114" t="str">
        <f t="array" ref="I427">XLOOKUP(G427,KLUS!$A$2:$A$2010,KLUS!$E$2:$E$2010)+XLOOKUP(H427,KLUS!$A$2:$A$2010,KLUS!$E$2:$E$2010)</f>
        <v>#N/A</v>
      </c>
      <c r="J427" s="114" t="str">
        <f t="shared" si="1"/>
        <v>#N/A</v>
      </c>
      <c r="K427" s="115" t="str">
        <f t="shared" si="2"/>
        <v>#N/A</v>
      </c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</row>
    <row r="428" ht="15.75" customHeight="1">
      <c r="A428" s="69" t="s">
        <v>6615</v>
      </c>
      <c r="B428" s="69" t="s">
        <v>5473</v>
      </c>
      <c r="C428" s="112" t="s">
        <v>6616</v>
      </c>
      <c r="D428" s="69"/>
      <c r="E428" s="69" t="s">
        <v>6617</v>
      </c>
      <c r="F428" s="69" t="s">
        <v>6618</v>
      </c>
      <c r="G428" s="69" t="s">
        <v>6619</v>
      </c>
      <c r="H428" s="119"/>
      <c r="I428" s="114" t="str">
        <f t="array" ref="I428">XLOOKUP(G428,KLUS!$A$2:$A$2010,KLUS!$E$2:$E$2010)+XLOOKUP(H428,KLUS!$A$2:$A$2010,KLUS!$E$2:$E$2010)</f>
        <v>#N/A</v>
      </c>
      <c r="J428" s="114" t="str">
        <f t="shared" si="1"/>
        <v>#N/A</v>
      </c>
      <c r="K428" s="115" t="str">
        <f t="shared" si="2"/>
        <v>#N/A</v>
      </c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</row>
    <row r="429" ht="15.75" customHeight="1">
      <c r="A429" s="69" t="s">
        <v>4730</v>
      </c>
      <c r="B429" s="69" t="s">
        <v>5473</v>
      </c>
      <c r="C429" s="112" t="s">
        <v>6620</v>
      </c>
      <c r="D429" s="69"/>
      <c r="E429" s="69" t="s">
        <v>4731</v>
      </c>
      <c r="F429" s="69" t="s">
        <v>6621</v>
      </c>
      <c r="G429" s="69" t="s">
        <v>846</v>
      </c>
      <c r="H429" s="119"/>
      <c r="I429" s="114" t="str">
        <f t="array" ref="I429">XLOOKUP(G429,KLUS!$A$2:$A$2010,KLUS!$E$2:$E$2010)+XLOOKUP(H429,KLUS!$A$2:$A$2010,KLUS!$E$2:$E$2010)</f>
        <v>#N/A</v>
      </c>
      <c r="J429" s="114" t="str">
        <f t="shared" si="1"/>
        <v>#N/A</v>
      </c>
      <c r="K429" s="115" t="str">
        <f t="shared" si="2"/>
        <v>#N/A</v>
      </c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</row>
    <row r="430" ht="15.75" customHeight="1">
      <c r="A430" s="69" t="s">
        <v>4732</v>
      </c>
      <c r="B430" s="69" t="s">
        <v>5473</v>
      </c>
      <c r="C430" s="112" t="s">
        <v>6622</v>
      </c>
      <c r="D430" s="69"/>
      <c r="E430" s="69" t="s">
        <v>4733</v>
      </c>
      <c r="F430" s="69" t="s">
        <v>6623</v>
      </c>
      <c r="G430" s="69" t="s">
        <v>849</v>
      </c>
      <c r="H430" s="119"/>
      <c r="I430" s="114" t="str">
        <f t="array" ref="I430">XLOOKUP(G430,KLUS!$A$2:$A$2010,KLUS!$E$2:$E$2010)+XLOOKUP(H430,KLUS!$A$2:$A$2010,KLUS!$E$2:$E$2010)</f>
        <v>#N/A</v>
      </c>
      <c r="J430" s="114" t="str">
        <f t="shared" si="1"/>
        <v>#N/A</v>
      </c>
      <c r="K430" s="115" t="str">
        <f t="shared" si="2"/>
        <v>#N/A</v>
      </c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</row>
    <row r="431" ht="15.75" customHeight="1">
      <c r="A431" s="69" t="s">
        <v>4734</v>
      </c>
      <c r="B431" s="69" t="s">
        <v>5473</v>
      </c>
      <c r="C431" s="112" t="s">
        <v>6624</v>
      </c>
      <c r="D431" s="69"/>
      <c r="E431" s="69" t="s">
        <v>4735</v>
      </c>
      <c r="F431" s="69" t="s">
        <v>6625</v>
      </c>
      <c r="G431" s="69" t="s">
        <v>851</v>
      </c>
      <c r="H431" s="119"/>
      <c r="I431" s="114" t="str">
        <f t="array" ref="I431">XLOOKUP(G431,KLUS!$A$2:$A$2010,KLUS!$E$2:$E$2010)+XLOOKUP(H431,KLUS!$A$2:$A$2010,KLUS!$E$2:$E$2010)</f>
        <v>#N/A</v>
      </c>
      <c r="J431" s="114" t="str">
        <f t="shared" si="1"/>
        <v>#N/A</v>
      </c>
      <c r="K431" s="115" t="str">
        <f t="shared" si="2"/>
        <v>#N/A</v>
      </c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</row>
    <row r="432" ht="15.75" customHeight="1">
      <c r="A432" s="69" t="s">
        <v>6626</v>
      </c>
      <c r="B432" s="69" t="s">
        <v>5473</v>
      </c>
      <c r="C432" s="112" t="s">
        <v>6627</v>
      </c>
      <c r="D432" s="69"/>
      <c r="E432" s="69" t="s">
        <v>6628</v>
      </c>
      <c r="F432" s="69" t="s">
        <v>6629</v>
      </c>
      <c r="G432" s="69" t="s">
        <v>6630</v>
      </c>
      <c r="H432" s="119"/>
      <c r="I432" s="114" t="str">
        <f t="array" ref="I432">XLOOKUP(G432,KLUS!$A$2:$A$2010,KLUS!$E$2:$E$2010)+XLOOKUP(H432,KLUS!$A$2:$A$2010,KLUS!$E$2:$E$2010)</f>
        <v>#N/A</v>
      </c>
      <c r="J432" s="114" t="str">
        <f t="shared" si="1"/>
        <v>#N/A</v>
      </c>
      <c r="K432" s="115" t="str">
        <f t="shared" si="2"/>
        <v>#N/A</v>
      </c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</row>
    <row r="433" ht="15.75" customHeight="1">
      <c r="A433" s="69" t="s">
        <v>6631</v>
      </c>
      <c r="B433" s="69" t="s">
        <v>5473</v>
      </c>
      <c r="C433" s="112" t="s">
        <v>6632</v>
      </c>
      <c r="D433" s="69"/>
      <c r="E433" s="69" t="s">
        <v>6633</v>
      </c>
      <c r="F433" s="69" t="s">
        <v>6634</v>
      </c>
      <c r="G433" s="69" t="s">
        <v>6635</v>
      </c>
      <c r="H433" s="119"/>
      <c r="I433" s="114" t="str">
        <f t="array" ref="I433">XLOOKUP(G433,KLUS!$A$2:$A$2010,KLUS!$E$2:$E$2010)+XLOOKUP(H433,KLUS!$A$2:$A$2010,KLUS!$E$2:$E$2010)</f>
        <v>#N/A</v>
      </c>
      <c r="J433" s="114" t="str">
        <f t="shared" si="1"/>
        <v>#N/A</v>
      </c>
      <c r="K433" s="115" t="str">
        <f t="shared" si="2"/>
        <v>#N/A</v>
      </c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</row>
    <row r="434" ht="15.75" customHeight="1">
      <c r="A434" s="69" t="s">
        <v>6636</v>
      </c>
      <c r="B434" s="69" t="s">
        <v>5473</v>
      </c>
      <c r="C434" s="112" t="s">
        <v>6637</v>
      </c>
      <c r="D434" s="69"/>
      <c r="E434" s="69" t="s">
        <v>6638</v>
      </c>
      <c r="F434" s="69" t="s">
        <v>6639</v>
      </c>
      <c r="G434" s="69" t="s">
        <v>6640</v>
      </c>
      <c r="H434" s="119"/>
      <c r="I434" s="114" t="str">
        <f t="array" ref="I434">XLOOKUP(G434,KLUS!$A$2:$A$2010,KLUS!$E$2:$E$2010)+XLOOKUP(H434,KLUS!$A$2:$A$2010,KLUS!$E$2:$E$2010)</f>
        <v>#N/A</v>
      </c>
      <c r="J434" s="114" t="str">
        <f t="shared" si="1"/>
        <v>#N/A</v>
      </c>
      <c r="K434" s="115" t="str">
        <f t="shared" si="2"/>
        <v>#N/A</v>
      </c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</row>
    <row r="435" ht="15.75" customHeight="1">
      <c r="A435" s="69" t="s">
        <v>6641</v>
      </c>
      <c r="B435" s="69" t="s">
        <v>5473</v>
      </c>
      <c r="C435" s="112" t="s">
        <v>6642</v>
      </c>
      <c r="D435" s="69"/>
      <c r="E435" s="69" t="s">
        <v>6643</v>
      </c>
      <c r="F435" s="69" t="s">
        <v>6644</v>
      </c>
      <c r="G435" s="69" t="s">
        <v>867</v>
      </c>
      <c r="H435" s="119"/>
      <c r="I435" s="114" t="str">
        <f t="array" ref="I435">XLOOKUP(G435,KLUS!$A$2:$A$2010,KLUS!$E$2:$E$2010)+XLOOKUP(H435,KLUS!$A$2:$A$2010,KLUS!$E$2:$E$2010)</f>
        <v>#N/A</v>
      </c>
      <c r="J435" s="114" t="str">
        <f t="shared" si="1"/>
        <v>#N/A</v>
      </c>
      <c r="K435" s="115" t="str">
        <f t="shared" si="2"/>
        <v>#N/A</v>
      </c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</row>
    <row r="436" ht="15.75" customHeight="1">
      <c r="A436" s="69" t="s">
        <v>6645</v>
      </c>
      <c r="B436" s="69" t="s">
        <v>5473</v>
      </c>
      <c r="C436" s="112" t="s">
        <v>6646</v>
      </c>
      <c r="D436" s="69"/>
      <c r="E436" s="69" t="s">
        <v>4742</v>
      </c>
      <c r="F436" s="69" t="s">
        <v>6647</v>
      </c>
      <c r="G436" s="69" t="s">
        <v>870</v>
      </c>
      <c r="H436" s="119"/>
      <c r="I436" s="114" t="str">
        <f t="array" ref="I436">XLOOKUP(G436,KLUS!$A$2:$A$2010,KLUS!$E$2:$E$2010)+XLOOKUP(H436,KLUS!$A$2:$A$2010,KLUS!$E$2:$E$2010)</f>
        <v>#N/A</v>
      </c>
      <c r="J436" s="114" t="str">
        <f t="shared" si="1"/>
        <v>#N/A</v>
      </c>
      <c r="K436" s="115" t="str">
        <f t="shared" si="2"/>
        <v>#N/A</v>
      </c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</row>
    <row r="437" ht="15.75" customHeight="1">
      <c r="A437" s="69" t="s">
        <v>6648</v>
      </c>
      <c r="B437" s="69" t="s">
        <v>5473</v>
      </c>
      <c r="C437" s="112" t="s">
        <v>6649</v>
      </c>
      <c r="D437" s="69"/>
      <c r="E437" s="69" t="s">
        <v>6650</v>
      </c>
      <c r="F437" s="69" t="s">
        <v>6651</v>
      </c>
      <c r="G437" s="69" t="s">
        <v>872</v>
      </c>
      <c r="H437" s="119"/>
      <c r="I437" s="114" t="str">
        <f t="array" ref="I437">XLOOKUP(G437,KLUS!$A$2:$A$2010,KLUS!$E$2:$E$2010)+XLOOKUP(H437,KLUS!$A$2:$A$2010,KLUS!$E$2:$E$2010)</f>
        <v>#N/A</v>
      </c>
      <c r="J437" s="114" t="str">
        <f t="shared" si="1"/>
        <v>#N/A</v>
      </c>
      <c r="K437" s="115" t="str">
        <f t="shared" si="2"/>
        <v>#N/A</v>
      </c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</row>
    <row r="438" ht="15.75" customHeight="1">
      <c r="A438" s="69" t="s">
        <v>6652</v>
      </c>
      <c r="B438" s="69" t="s">
        <v>5473</v>
      </c>
      <c r="C438" s="112" t="s">
        <v>6653</v>
      </c>
      <c r="D438" s="69"/>
      <c r="E438" s="69" t="s">
        <v>4746</v>
      </c>
      <c r="F438" s="69" t="s">
        <v>6654</v>
      </c>
      <c r="G438" s="69" t="s">
        <v>874</v>
      </c>
      <c r="H438" s="119"/>
      <c r="I438" s="114" t="str">
        <f t="array" ref="I438">XLOOKUP(G438,KLUS!$A$2:$A$2010,KLUS!$E$2:$E$2010)+XLOOKUP(H438,KLUS!$A$2:$A$2010,KLUS!$E$2:$E$2010)</f>
        <v>#N/A</v>
      </c>
      <c r="J438" s="114" t="str">
        <f t="shared" si="1"/>
        <v>#N/A</v>
      </c>
      <c r="K438" s="115" t="str">
        <f t="shared" si="2"/>
        <v>#N/A</v>
      </c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</row>
    <row r="439" ht="15.75" customHeight="1">
      <c r="A439" s="69" t="s">
        <v>6655</v>
      </c>
      <c r="B439" s="69" t="s">
        <v>5473</v>
      </c>
      <c r="C439" s="112" t="s">
        <v>5571</v>
      </c>
      <c r="D439" s="69"/>
      <c r="E439" s="69" t="s">
        <v>6656</v>
      </c>
      <c r="F439" s="69" t="s">
        <v>6657</v>
      </c>
      <c r="G439" s="69" t="s">
        <v>877</v>
      </c>
      <c r="H439" s="119"/>
      <c r="I439" s="114" t="str">
        <f t="array" ref="I439">XLOOKUP(G439,KLUS!$A$2:$A$2010,KLUS!$E$2:$E$2010)+XLOOKUP(H439,KLUS!$A$2:$A$2010,KLUS!$E$2:$E$2010)</f>
        <v>#N/A</v>
      </c>
      <c r="J439" s="114" t="str">
        <f t="shared" si="1"/>
        <v>#N/A</v>
      </c>
      <c r="K439" s="115" t="str">
        <f t="shared" si="2"/>
        <v>#N/A</v>
      </c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</row>
    <row r="440" ht="15.75" customHeight="1">
      <c r="A440" s="69" t="s">
        <v>6658</v>
      </c>
      <c r="B440" s="69" t="s">
        <v>5473</v>
      </c>
      <c r="C440" s="112" t="s">
        <v>6659</v>
      </c>
      <c r="D440" s="69"/>
      <c r="E440" s="69" t="s">
        <v>6660</v>
      </c>
      <c r="F440" s="69" t="s">
        <v>6661</v>
      </c>
      <c r="G440" s="69" t="s">
        <v>879</v>
      </c>
      <c r="H440" s="119"/>
      <c r="I440" s="114" t="str">
        <f t="array" ref="I440">XLOOKUP(G440,KLUS!$A$2:$A$2010,KLUS!$E$2:$E$2010)+XLOOKUP(H440,KLUS!$A$2:$A$2010,KLUS!$E$2:$E$2010)</f>
        <v>#N/A</v>
      </c>
      <c r="J440" s="114" t="str">
        <f t="shared" si="1"/>
        <v>#N/A</v>
      </c>
      <c r="K440" s="115" t="str">
        <f t="shared" si="2"/>
        <v>#N/A</v>
      </c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</row>
    <row r="441" ht="15.75" customHeight="1">
      <c r="A441" s="69" t="s">
        <v>6662</v>
      </c>
      <c r="B441" s="69" t="s">
        <v>5473</v>
      </c>
      <c r="C441" s="112" t="s">
        <v>6519</v>
      </c>
      <c r="D441" s="69"/>
      <c r="E441" s="69" t="s">
        <v>6663</v>
      </c>
      <c r="F441" s="69" t="s">
        <v>6664</v>
      </c>
      <c r="G441" s="69" t="s">
        <v>44</v>
      </c>
      <c r="H441" s="119"/>
      <c r="I441" s="114" t="str">
        <f t="array" ref="I441">XLOOKUP(G441,KLUS!$A$2:$A$2010,KLUS!$E$2:$E$2010)+XLOOKUP(H441,KLUS!$A$2:$A$2010,KLUS!$E$2:$E$2010)</f>
        <v>#N/A</v>
      </c>
      <c r="J441" s="114" t="str">
        <f t="shared" si="1"/>
        <v>#N/A</v>
      </c>
      <c r="K441" s="115" t="str">
        <f t="shared" si="2"/>
        <v>#N/A</v>
      </c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</row>
    <row r="442" ht="15.75" customHeight="1">
      <c r="A442" s="69" t="s">
        <v>6665</v>
      </c>
      <c r="B442" s="69" t="s">
        <v>5473</v>
      </c>
      <c r="C442" s="112" t="s">
        <v>6666</v>
      </c>
      <c r="D442" s="69"/>
      <c r="E442" s="69" t="s">
        <v>6667</v>
      </c>
      <c r="F442" s="69" t="s">
        <v>6668</v>
      </c>
      <c r="G442" s="69" t="s">
        <v>47</v>
      </c>
      <c r="H442" s="119"/>
      <c r="I442" s="114" t="str">
        <f t="array" ref="I442">XLOOKUP(G442,KLUS!$A$2:$A$2010,KLUS!$E$2:$E$2010)+XLOOKUP(H442,KLUS!$A$2:$A$2010,KLUS!$E$2:$E$2010)</f>
        <v>#N/A</v>
      </c>
      <c r="J442" s="114" t="str">
        <f t="shared" si="1"/>
        <v>#N/A</v>
      </c>
      <c r="K442" s="115" t="str">
        <f t="shared" si="2"/>
        <v>#N/A</v>
      </c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</row>
    <row r="443" ht="15.75" customHeight="1">
      <c r="A443" s="69" t="s">
        <v>6669</v>
      </c>
      <c r="B443" s="69" t="s">
        <v>5473</v>
      </c>
      <c r="C443" s="112" t="s">
        <v>6670</v>
      </c>
      <c r="D443" s="69"/>
      <c r="E443" s="69" t="s">
        <v>4756</v>
      </c>
      <c r="F443" s="69" t="s">
        <v>6671</v>
      </c>
      <c r="G443" s="69" t="s">
        <v>49</v>
      </c>
      <c r="H443" s="119"/>
      <c r="I443" s="114" t="str">
        <f t="array" ref="I443">XLOOKUP(G443,KLUS!$A$2:$A$2010,KLUS!$E$2:$E$2010)+XLOOKUP(H443,KLUS!$A$2:$A$2010,KLUS!$E$2:$E$2010)</f>
        <v>#N/A</v>
      </c>
      <c r="J443" s="114" t="str">
        <f t="shared" si="1"/>
        <v>#N/A</v>
      </c>
      <c r="K443" s="115" t="str">
        <f t="shared" si="2"/>
        <v>#N/A</v>
      </c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</row>
    <row r="444" ht="15.75" customHeight="1">
      <c r="A444" s="69" t="s">
        <v>6672</v>
      </c>
      <c r="B444" s="69" t="s">
        <v>5473</v>
      </c>
      <c r="C444" s="112" t="s">
        <v>6632</v>
      </c>
      <c r="D444" s="69"/>
      <c r="E444" s="69" t="s">
        <v>4758</v>
      </c>
      <c r="F444" s="69" t="s">
        <v>6673</v>
      </c>
      <c r="G444" s="69" t="s">
        <v>6674</v>
      </c>
      <c r="H444" s="119"/>
      <c r="I444" s="114" t="str">
        <f t="array" ref="I444">XLOOKUP(G444,KLUS!$A$2:$A$2010,KLUS!$E$2:$E$2010)+XLOOKUP(H444,KLUS!$A$2:$A$2010,KLUS!$E$2:$E$2010)</f>
        <v>#N/A</v>
      </c>
      <c r="J444" s="114" t="str">
        <f t="shared" si="1"/>
        <v>#N/A</v>
      </c>
      <c r="K444" s="115" t="str">
        <f t="shared" si="2"/>
        <v>#N/A</v>
      </c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</row>
    <row r="445" ht="15.75" customHeight="1">
      <c r="A445" s="69" t="s">
        <v>6675</v>
      </c>
      <c r="B445" s="69" t="s">
        <v>5473</v>
      </c>
      <c r="C445" s="112" t="s">
        <v>6676</v>
      </c>
      <c r="D445" s="69"/>
      <c r="E445" s="69" t="s">
        <v>4760</v>
      </c>
      <c r="F445" s="69" t="s">
        <v>6677</v>
      </c>
      <c r="G445" s="69" t="s">
        <v>6678</v>
      </c>
      <c r="H445" s="119"/>
      <c r="I445" s="114" t="str">
        <f t="array" ref="I445">XLOOKUP(G445,KLUS!$A$2:$A$2010,KLUS!$E$2:$E$2010)+XLOOKUP(H445,KLUS!$A$2:$A$2010,KLUS!$E$2:$E$2010)</f>
        <v>#N/A</v>
      </c>
      <c r="J445" s="114" t="str">
        <f t="shared" si="1"/>
        <v>#N/A</v>
      </c>
      <c r="K445" s="115" t="str">
        <f t="shared" si="2"/>
        <v>#N/A</v>
      </c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</row>
    <row r="446" ht="15.75" customHeight="1">
      <c r="A446" s="69" t="s">
        <v>6679</v>
      </c>
      <c r="B446" s="69" t="s">
        <v>5473</v>
      </c>
      <c r="C446" s="112" t="s">
        <v>6680</v>
      </c>
      <c r="D446" s="69"/>
      <c r="E446" s="69" t="s">
        <v>4762</v>
      </c>
      <c r="F446" s="69" t="s">
        <v>6681</v>
      </c>
      <c r="G446" s="69" t="s">
        <v>6682</v>
      </c>
      <c r="H446" s="119"/>
      <c r="I446" s="114" t="str">
        <f t="array" ref="I446">XLOOKUP(G446,KLUS!$A$2:$A$2010,KLUS!$E$2:$E$2010)+XLOOKUP(H446,KLUS!$A$2:$A$2010,KLUS!$E$2:$E$2010)</f>
        <v>#N/A</v>
      </c>
      <c r="J446" s="114" t="str">
        <f t="shared" si="1"/>
        <v>#N/A</v>
      </c>
      <c r="K446" s="115" t="str">
        <f t="shared" si="2"/>
        <v>#N/A</v>
      </c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</row>
    <row r="447" ht="15.75" customHeight="1">
      <c r="A447" s="69" t="s">
        <v>6683</v>
      </c>
      <c r="B447" s="69" t="s">
        <v>5473</v>
      </c>
      <c r="C447" s="112" t="s">
        <v>6684</v>
      </c>
      <c r="D447" s="69"/>
      <c r="E447" s="69" t="s">
        <v>4764</v>
      </c>
      <c r="F447" s="69" t="s">
        <v>6685</v>
      </c>
      <c r="G447" s="69" t="s">
        <v>6686</v>
      </c>
      <c r="H447" s="119"/>
      <c r="I447" s="114" t="str">
        <f t="array" ref="I447">XLOOKUP(G447,KLUS!$A$2:$A$2010,KLUS!$E$2:$E$2010)+XLOOKUP(H447,KLUS!$A$2:$A$2010,KLUS!$E$2:$E$2010)</f>
        <v>#N/A</v>
      </c>
      <c r="J447" s="114" t="str">
        <f t="shared" si="1"/>
        <v>#N/A</v>
      </c>
      <c r="K447" s="115" t="str">
        <f t="shared" si="2"/>
        <v>#N/A</v>
      </c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</row>
    <row r="448" ht="15.75" customHeight="1">
      <c r="A448" s="69" t="s">
        <v>6687</v>
      </c>
      <c r="B448" s="69" t="s">
        <v>5473</v>
      </c>
      <c r="C448" s="112" t="s">
        <v>6688</v>
      </c>
      <c r="D448" s="69"/>
      <c r="E448" s="69" t="s">
        <v>4766</v>
      </c>
      <c r="F448" s="69" t="s">
        <v>6689</v>
      </c>
      <c r="G448" s="69" t="s">
        <v>6690</v>
      </c>
      <c r="H448" s="119"/>
      <c r="I448" s="114" t="str">
        <f t="array" ref="I448">XLOOKUP(G448,KLUS!$A$2:$A$2010,KLUS!$E$2:$E$2010)+XLOOKUP(H448,KLUS!$A$2:$A$2010,KLUS!$E$2:$E$2010)</f>
        <v>#N/A</v>
      </c>
      <c r="J448" s="114" t="str">
        <f t="shared" si="1"/>
        <v>#N/A</v>
      </c>
      <c r="K448" s="115" t="str">
        <f t="shared" si="2"/>
        <v>#N/A</v>
      </c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</row>
    <row r="449" ht="15.75" customHeight="1">
      <c r="A449" s="69" t="s">
        <v>6691</v>
      </c>
      <c r="B449" s="69" t="s">
        <v>5473</v>
      </c>
      <c r="C449" s="112" t="s">
        <v>6692</v>
      </c>
      <c r="D449" s="69"/>
      <c r="E449" s="69" t="s">
        <v>4768</v>
      </c>
      <c r="F449" s="69" t="s">
        <v>6693</v>
      </c>
      <c r="G449" s="69" t="s">
        <v>6694</v>
      </c>
      <c r="H449" s="119"/>
      <c r="I449" s="114" t="str">
        <f t="array" ref="I449">XLOOKUP(G449,KLUS!$A$2:$A$2010,KLUS!$E$2:$E$2010)+XLOOKUP(H449,KLUS!$A$2:$A$2010,KLUS!$E$2:$E$2010)</f>
        <v>#N/A</v>
      </c>
      <c r="J449" s="114" t="str">
        <f t="shared" si="1"/>
        <v>#N/A</v>
      </c>
      <c r="K449" s="115" t="str">
        <f t="shared" si="2"/>
        <v>#N/A</v>
      </c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</row>
    <row r="450" ht="15.75" customHeight="1">
      <c r="A450" s="69" t="s">
        <v>6695</v>
      </c>
      <c r="B450" s="69" t="s">
        <v>5473</v>
      </c>
      <c r="C450" s="112" t="s">
        <v>6696</v>
      </c>
      <c r="D450" s="69"/>
      <c r="E450" s="69" t="s">
        <v>4770</v>
      </c>
      <c r="F450" s="69" t="s">
        <v>6697</v>
      </c>
      <c r="G450" s="69" t="s">
        <v>6698</v>
      </c>
      <c r="H450" s="119"/>
      <c r="I450" s="114" t="str">
        <f t="array" ref="I450">XLOOKUP(G450,KLUS!$A$2:$A$2010,KLUS!$E$2:$E$2010)+XLOOKUP(H450,KLUS!$A$2:$A$2010,KLUS!$E$2:$E$2010)</f>
        <v>#N/A</v>
      </c>
      <c r="J450" s="114" t="str">
        <f t="shared" si="1"/>
        <v>#N/A</v>
      </c>
      <c r="K450" s="115" t="str">
        <f t="shared" si="2"/>
        <v>#N/A</v>
      </c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</row>
    <row r="451" ht="15.75" customHeight="1">
      <c r="A451" s="69" t="s">
        <v>6699</v>
      </c>
      <c r="B451" s="69" t="s">
        <v>5473</v>
      </c>
      <c r="C451" s="112" t="s">
        <v>6700</v>
      </c>
      <c r="D451" s="69"/>
      <c r="E451" s="69" t="s">
        <v>4772</v>
      </c>
      <c r="F451" s="69" t="s">
        <v>6701</v>
      </c>
      <c r="G451" s="69" t="s">
        <v>6702</v>
      </c>
      <c r="H451" s="119"/>
      <c r="I451" s="114" t="str">
        <f t="array" ref="I451">XLOOKUP(G451,KLUS!$A$2:$A$2010,KLUS!$E$2:$E$2010)+XLOOKUP(H451,KLUS!$A$2:$A$2010,KLUS!$E$2:$E$2010)</f>
        <v>#N/A</v>
      </c>
      <c r="J451" s="114" t="str">
        <f t="shared" si="1"/>
        <v>#N/A</v>
      </c>
      <c r="K451" s="115" t="str">
        <f t="shared" si="2"/>
        <v>#N/A</v>
      </c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</row>
    <row r="452" ht="15.75" customHeight="1">
      <c r="A452" s="69" t="s">
        <v>6703</v>
      </c>
      <c r="B452" s="69" t="s">
        <v>5473</v>
      </c>
      <c r="C452" s="112" t="s">
        <v>6704</v>
      </c>
      <c r="D452" s="69"/>
      <c r="E452" s="69" t="s">
        <v>4774</v>
      </c>
      <c r="F452" s="69" t="s">
        <v>6705</v>
      </c>
      <c r="G452" s="69" t="s">
        <v>6706</v>
      </c>
      <c r="H452" s="119"/>
      <c r="I452" s="114" t="str">
        <f t="array" ref="I452">XLOOKUP(G452,KLUS!$A$2:$A$2010,KLUS!$E$2:$E$2010)+XLOOKUP(H452,KLUS!$A$2:$A$2010,KLUS!$E$2:$E$2010)</f>
        <v>#N/A</v>
      </c>
      <c r="J452" s="114" t="str">
        <f t="shared" si="1"/>
        <v>#N/A</v>
      </c>
      <c r="K452" s="115" t="str">
        <f t="shared" si="2"/>
        <v>#N/A</v>
      </c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</row>
    <row r="453" ht="15.75" customHeight="1">
      <c r="A453" s="69" t="s">
        <v>6707</v>
      </c>
      <c r="B453" s="69" t="s">
        <v>5473</v>
      </c>
      <c r="C453" s="112" t="s">
        <v>6708</v>
      </c>
      <c r="D453" s="69"/>
      <c r="E453" s="69" t="s">
        <v>4776</v>
      </c>
      <c r="F453" s="69" t="s">
        <v>6709</v>
      </c>
      <c r="G453" s="69" t="s">
        <v>490</v>
      </c>
      <c r="H453" s="119"/>
      <c r="I453" s="114" t="str">
        <f t="array" ref="I453">XLOOKUP(G453,KLUS!$A$2:$A$2010,KLUS!$E$2:$E$2010)+XLOOKUP(H453,KLUS!$A$2:$A$2010,KLUS!$E$2:$E$2010)</f>
        <v>#N/A</v>
      </c>
      <c r="J453" s="114" t="str">
        <f t="shared" si="1"/>
        <v>#N/A</v>
      </c>
      <c r="K453" s="115" t="str">
        <f t="shared" si="2"/>
        <v>#N/A</v>
      </c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</row>
    <row r="454" ht="15.75" customHeight="1">
      <c r="A454" s="69" t="s">
        <v>6710</v>
      </c>
      <c r="B454" s="69" t="s">
        <v>5473</v>
      </c>
      <c r="C454" s="112" t="s">
        <v>6711</v>
      </c>
      <c r="D454" s="69"/>
      <c r="E454" s="69" t="s">
        <v>4778</v>
      </c>
      <c r="F454" s="69" t="s">
        <v>6712</v>
      </c>
      <c r="G454" s="69" t="s">
        <v>493</v>
      </c>
      <c r="H454" s="119"/>
      <c r="I454" s="114" t="str">
        <f t="array" ref="I454">XLOOKUP(G454,KLUS!$A$2:$A$2010,KLUS!$E$2:$E$2010)+XLOOKUP(H454,KLUS!$A$2:$A$2010,KLUS!$E$2:$E$2010)</f>
        <v>#N/A</v>
      </c>
      <c r="J454" s="114" t="str">
        <f t="shared" si="1"/>
        <v>#N/A</v>
      </c>
      <c r="K454" s="115" t="str">
        <f t="shared" si="2"/>
        <v>#N/A</v>
      </c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</row>
    <row r="455" ht="15.75" customHeight="1">
      <c r="A455" s="69" t="s">
        <v>6713</v>
      </c>
      <c r="B455" s="69" t="s">
        <v>5473</v>
      </c>
      <c r="C455" s="112" t="s">
        <v>6714</v>
      </c>
      <c r="D455" s="69"/>
      <c r="E455" s="69" t="s">
        <v>6715</v>
      </c>
      <c r="F455" s="69" t="s">
        <v>6716</v>
      </c>
      <c r="G455" s="69" t="s">
        <v>495</v>
      </c>
      <c r="H455" s="119"/>
      <c r="I455" s="114" t="str">
        <f t="array" ref="I455">XLOOKUP(G455,KLUS!$A$2:$A$2010,KLUS!$E$2:$E$2010)+XLOOKUP(H455,KLUS!$A$2:$A$2010,KLUS!$E$2:$E$2010)</f>
        <v>#N/A</v>
      </c>
      <c r="J455" s="114" t="str">
        <f t="shared" si="1"/>
        <v>#N/A</v>
      </c>
      <c r="K455" s="115" t="str">
        <f t="shared" si="2"/>
        <v>#N/A</v>
      </c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</row>
    <row r="456" ht="15.75" customHeight="1">
      <c r="A456" s="69" t="s">
        <v>6717</v>
      </c>
      <c r="B456" s="69" t="s">
        <v>5473</v>
      </c>
      <c r="C456" s="112" t="s">
        <v>6371</v>
      </c>
      <c r="D456" s="69"/>
      <c r="E456" s="69" t="s">
        <v>4782</v>
      </c>
      <c r="F456" s="69" t="s">
        <v>6718</v>
      </c>
      <c r="G456" s="69" t="s">
        <v>497</v>
      </c>
      <c r="H456" s="119"/>
      <c r="I456" s="114" t="str">
        <f t="array" ref="I456">XLOOKUP(G456,KLUS!$A$2:$A$2010,KLUS!$E$2:$E$2010)+XLOOKUP(H456,KLUS!$A$2:$A$2010,KLUS!$E$2:$E$2010)</f>
        <v>#N/A</v>
      </c>
      <c r="J456" s="114" t="str">
        <f t="shared" si="1"/>
        <v>#N/A</v>
      </c>
      <c r="K456" s="115" t="str">
        <f t="shared" si="2"/>
        <v>#N/A</v>
      </c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</row>
    <row r="457" ht="15.75" customHeight="1">
      <c r="A457" s="69" t="s">
        <v>6719</v>
      </c>
      <c r="B457" s="69" t="s">
        <v>5473</v>
      </c>
      <c r="C457" s="112" t="s">
        <v>6720</v>
      </c>
      <c r="D457" s="69"/>
      <c r="E457" s="69" t="s">
        <v>4784</v>
      </c>
      <c r="F457" s="69" t="s">
        <v>6721</v>
      </c>
      <c r="G457" s="69" t="s">
        <v>500</v>
      </c>
      <c r="H457" s="119"/>
      <c r="I457" s="114" t="str">
        <f t="array" ref="I457">XLOOKUP(G457,KLUS!$A$2:$A$2010,KLUS!$E$2:$E$2010)+XLOOKUP(H457,KLUS!$A$2:$A$2010,KLUS!$E$2:$E$2010)</f>
        <v>#N/A</v>
      </c>
      <c r="J457" s="114" t="str">
        <f t="shared" si="1"/>
        <v>#N/A</v>
      </c>
      <c r="K457" s="115" t="str">
        <f t="shared" si="2"/>
        <v>#N/A</v>
      </c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</row>
    <row r="458" ht="15.75" customHeight="1">
      <c r="A458" s="69" t="s">
        <v>6722</v>
      </c>
      <c r="B458" s="69" t="s">
        <v>5473</v>
      </c>
      <c r="C458" s="112" t="s">
        <v>6723</v>
      </c>
      <c r="D458" s="69"/>
      <c r="E458" s="69" t="s">
        <v>4786</v>
      </c>
      <c r="F458" s="69" t="s">
        <v>6724</v>
      </c>
      <c r="G458" s="69" t="s">
        <v>502</v>
      </c>
      <c r="H458" s="119"/>
      <c r="I458" s="114" t="str">
        <f t="array" ref="I458">XLOOKUP(G458,KLUS!$A$2:$A$2010,KLUS!$E$2:$E$2010)+XLOOKUP(H458,KLUS!$A$2:$A$2010,KLUS!$E$2:$E$2010)</f>
        <v>#N/A</v>
      </c>
      <c r="J458" s="114" t="str">
        <f t="shared" si="1"/>
        <v>#N/A</v>
      </c>
      <c r="K458" s="115" t="str">
        <f t="shared" si="2"/>
        <v>#N/A</v>
      </c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</row>
    <row r="459" ht="15.75" customHeight="1">
      <c r="A459" s="69" t="s">
        <v>6725</v>
      </c>
      <c r="B459" s="69" t="s">
        <v>5473</v>
      </c>
      <c r="C459" s="112" t="s">
        <v>6726</v>
      </c>
      <c r="D459" s="69"/>
      <c r="E459" s="69" t="s">
        <v>4788</v>
      </c>
      <c r="F459" s="69" t="s">
        <v>6727</v>
      </c>
      <c r="G459" s="69" t="s">
        <v>511</v>
      </c>
      <c r="H459" s="119"/>
      <c r="I459" s="114" t="str">
        <f t="array" ref="I459">XLOOKUP(G459,KLUS!$A$2:$A$2010,KLUS!$E$2:$E$2010)+XLOOKUP(H459,KLUS!$A$2:$A$2010,KLUS!$E$2:$E$2010)</f>
        <v>#N/A</v>
      </c>
      <c r="J459" s="114" t="str">
        <f t="shared" si="1"/>
        <v>#N/A</v>
      </c>
      <c r="K459" s="115" t="str">
        <f t="shared" si="2"/>
        <v>#N/A</v>
      </c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</row>
    <row r="460" ht="15.75" customHeight="1">
      <c r="A460" s="69" t="s">
        <v>6728</v>
      </c>
      <c r="B460" s="69" t="s">
        <v>5473</v>
      </c>
      <c r="C460" s="112" t="s">
        <v>6729</v>
      </c>
      <c r="D460" s="69"/>
      <c r="E460" s="69" t="s">
        <v>4790</v>
      </c>
      <c r="F460" s="69" t="s">
        <v>6730</v>
      </c>
      <c r="G460" s="69" t="s">
        <v>6731</v>
      </c>
      <c r="H460" s="119"/>
      <c r="I460" s="114" t="str">
        <f t="array" ref="I460">XLOOKUP(G460,KLUS!$A$2:$A$2010,KLUS!$E$2:$E$2010)+XLOOKUP(H460,KLUS!$A$2:$A$2010,KLUS!$E$2:$E$2010)</f>
        <v>#N/A</v>
      </c>
      <c r="J460" s="114" t="str">
        <f t="shared" si="1"/>
        <v>#N/A</v>
      </c>
      <c r="K460" s="115" t="str">
        <f t="shared" si="2"/>
        <v>#N/A</v>
      </c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</row>
    <row r="461" ht="15.75" customHeight="1">
      <c r="A461" s="69" t="s">
        <v>6732</v>
      </c>
      <c r="B461" s="69" t="s">
        <v>5473</v>
      </c>
      <c r="C461" s="112" t="s">
        <v>6733</v>
      </c>
      <c r="D461" s="69"/>
      <c r="E461" s="69" t="s">
        <v>4792</v>
      </c>
      <c r="F461" s="69" t="s">
        <v>6734</v>
      </c>
      <c r="G461" s="69" t="s">
        <v>6735</v>
      </c>
      <c r="H461" s="119"/>
      <c r="I461" s="114" t="str">
        <f t="array" ref="I461">XLOOKUP(G461,KLUS!$A$2:$A$2010,KLUS!$E$2:$E$2010)+XLOOKUP(H461,KLUS!$A$2:$A$2010,KLUS!$E$2:$E$2010)</f>
        <v>#N/A</v>
      </c>
      <c r="J461" s="114" t="str">
        <f t="shared" si="1"/>
        <v>#N/A</v>
      </c>
      <c r="K461" s="115" t="str">
        <f t="shared" si="2"/>
        <v>#N/A</v>
      </c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</row>
    <row r="462" ht="15.75" customHeight="1">
      <c r="A462" s="69" t="s">
        <v>6736</v>
      </c>
      <c r="B462" s="69" t="s">
        <v>5473</v>
      </c>
      <c r="C462" s="112" t="s">
        <v>6737</v>
      </c>
      <c r="D462" s="69"/>
      <c r="E462" s="69" t="s">
        <v>4794</v>
      </c>
      <c r="F462" s="69" t="s">
        <v>6738</v>
      </c>
      <c r="G462" s="69" t="s">
        <v>518</v>
      </c>
      <c r="H462" s="119"/>
      <c r="I462" s="114" t="str">
        <f t="array" ref="I462">XLOOKUP(G462,KLUS!$A$2:$A$2010,KLUS!$E$2:$E$2010)+XLOOKUP(H462,KLUS!$A$2:$A$2010,KLUS!$E$2:$E$2010)</f>
        <v>#N/A</v>
      </c>
      <c r="J462" s="114" t="str">
        <f t="shared" si="1"/>
        <v>#N/A</v>
      </c>
      <c r="K462" s="115" t="str">
        <f t="shared" si="2"/>
        <v>#N/A</v>
      </c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</row>
    <row r="463" ht="15.75" customHeight="1">
      <c r="A463" s="69" t="s">
        <v>6739</v>
      </c>
      <c r="B463" s="69" t="s">
        <v>5473</v>
      </c>
      <c r="C463" s="112" t="s">
        <v>6740</v>
      </c>
      <c r="D463" s="69"/>
      <c r="E463" s="69" t="s">
        <v>4796</v>
      </c>
      <c r="F463" s="69" t="s">
        <v>6741</v>
      </c>
      <c r="G463" s="69" t="s">
        <v>521</v>
      </c>
      <c r="H463" s="119"/>
      <c r="I463" s="114" t="str">
        <f t="array" ref="I463">XLOOKUP(G463,KLUS!$A$2:$A$2010,KLUS!$E$2:$E$2010)+XLOOKUP(H463,KLUS!$A$2:$A$2010,KLUS!$E$2:$E$2010)</f>
        <v>#N/A</v>
      </c>
      <c r="J463" s="114" t="str">
        <f t="shared" si="1"/>
        <v>#N/A</v>
      </c>
      <c r="K463" s="115" t="str">
        <f t="shared" si="2"/>
        <v>#N/A</v>
      </c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</row>
    <row r="464" ht="15.75" customHeight="1">
      <c r="A464" s="69" t="s">
        <v>6742</v>
      </c>
      <c r="B464" s="69" t="s">
        <v>5473</v>
      </c>
      <c r="C464" s="112" t="s">
        <v>6743</v>
      </c>
      <c r="D464" s="69"/>
      <c r="E464" s="69" t="s">
        <v>4798</v>
      </c>
      <c r="F464" s="69" t="s">
        <v>6744</v>
      </c>
      <c r="G464" s="69" t="s">
        <v>523</v>
      </c>
      <c r="H464" s="119"/>
      <c r="I464" s="114" t="str">
        <f t="array" ref="I464">XLOOKUP(G464,KLUS!$A$2:$A$2010,KLUS!$E$2:$E$2010)+XLOOKUP(H464,KLUS!$A$2:$A$2010,KLUS!$E$2:$E$2010)</f>
        <v>#N/A</v>
      </c>
      <c r="J464" s="114" t="str">
        <f t="shared" si="1"/>
        <v>#N/A</v>
      </c>
      <c r="K464" s="115" t="str">
        <f t="shared" si="2"/>
        <v>#N/A</v>
      </c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</row>
    <row r="465" ht="15.75" customHeight="1">
      <c r="A465" s="69" t="s">
        <v>4799</v>
      </c>
      <c r="B465" s="69" t="s">
        <v>5473</v>
      </c>
      <c r="C465" s="112" t="s">
        <v>5828</v>
      </c>
      <c r="D465" s="69"/>
      <c r="E465" s="69" t="s">
        <v>4800</v>
      </c>
      <c r="F465" s="69" t="s">
        <v>6745</v>
      </c>
      <c r="G465" s="69" t="s">
        <v>309</v>
      </c>
      <c r="H465" s="119"/>
      <c r="I465" s="114" t="str">
        <f t="array" ref="I465">XLOOKUP(G465,KLUS!$A$2:$A$2010,KLUS!$E$2:$E$2010)+XLOOKUP(H465,KLUS!$A$2:$A$2010,KLUS!$E$2:$E$2010)</f>
        <v>#N/A</v>
      </c>
      <c r="J465" s="114" t="str">
        <f t="shared" si="1"/>
        <v>#N/A</v>
      </c>
      <c r="K465" s="115" t="str">
        <f t="shared" si="2"/>
        <v>#N/A</v>
      </c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</row>
    <row r="466" ht="15.75" customHeight="1">
      <c r="A466" s="69" t="s">
        <v>4801</v>
      </c>
      <c r="B466" s="69" t="s">
        <v>5473</v>
      </c>
      <c r="C466" s="112" t="s">
        <v>6746</v>
      </c>
      <c r="D466" s="69"/>
      <c r="E466" s="69" t="s">
        <v>4802</v>
      </c>
      <c r="F466" s="69" t="s">
        <v>6747</v>
      </c>
      <c r="G466" s="69" t="s">
        <v>312</v>
      </c>
      <c r="H466" s="119"/>
      <c r="I466" s="114" t="str">
        <f t="array" ref="I466">XLOOKUP(G466,KLUS!$A$2:$A$2010,KLUS!$E$2:$E$2010)+XLOOKUP(H466,KLUS!$A$2:$A$2010,KLUS!$E$2:$E$2010)</f>
        <v>#N/A</v>
      </c>
      <c r="J466" s="114" t="str">
        <f t="shared" si="1"/>
        <v>#N/A</v>
      </c>
      <c r="K466" s="115" t="str">
        <f t="shared" si="2"/>
        <v>#N/A</v>
      </c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</row>
    <row r="467" ht="15.75" customHeight="1">
      <c r="A467" s="69" t="s">
        <v>4803</v>
      </c>
      <c r="B467" s="69" t="s">
        <v>5473</v>
      </c>
      <c r="C467" s="112" t="s">
        <v>6748</v>
      </c>
      <c r="D467" s="69"/>
      <c r="E467" s="69" t="s">
        <v>4804</v>
      </c>
      <c r="F467" s="69" t="s">
        <v>6749</v>
      </c>
      <c r="G467" s="69" t="s">
        <v>314</v>
      </c>
      <c r="H467" s="119"/>
      <c r="I467" s="114" t="str">
        <f t="array" ref="I467">XLOOKUP(G467,KLUS!$A$2:$A$2010,KLUS!$E$2:$E$2010)+XLOOKUP(H467,KLUS!$A$2:$A$2010,KLUS!$E$2:$E$2010)</f>
        <v>#N/A</v>
      </c>
      <c r="J467" s="114" t="str">
        <f t="shared" si="1"/>
        <v>#N/A</v>
      </c>
      <c r="K467" s="115" t="str">
        <f t="shared" si="2"/>
        <v>#N/A</v>
      </c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</row>
    <row r="468" ht="15.75" customHeight="1">
      <c r="A468" s="69" t="s">
        <v>6750</v>
      </c>
      <c r="B468" s="69" t="s">
        <v>5473</v>
      </c>
      <c r="C468" s="112" t="s">
        <v>6751</v>
      </c>
      <c r="D468" s="69"/>
      <c r="E468" s="69" t="s">
        <v>6752</v>
      </c>
      <c r="F468" s="69" t="s">
        <v>6753</v>
      </c>
      <c r="G468" s="69" t="s">
        <v>504</v>
      </c>
      <c r="H468" s="119"/>
      <c r="I468" s="114" t="str">
        <f t="array" ref="I468">XLOOKUP(G468,KLUS!$A$2:$A$2010,KLUS!$E$2:$E$2010)+XLOOKUP(H468,KLUS!$A$2:$A$2010,KLUS!$E$2:$E$2010)</f>
        <v>#N/A</v>
      </c>
      <c r="J468" s="114" t="str">
        <f t="shared" si="1"/>
        <v>#N/A</v>
      </c>
      <c r="K468" s="115" t="str">
        <f t="shared" si="2"/>
        <v>#N/A</v>
      </c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</row>
    <row r="469" ht="15.75" customHeight="1">
      <c r="A469" s="69" t="s">
        <v>6754</v>
      </c>
      <c r="B469" s="69" t="s">
        <v>5473</v>
      </c>
      <c r="C469" s="112" t="s">
        <v>6755</v>
      </c>
      <c r="D469" s="69"/>
      <c r="E469" s="69" t="s">
        <v>4807</v>
      </c>
      <c r="F469" s="118"/>
      <c r="G469" s="69" t="s">
        <v>504</v>
      </c>
      <c r="H469" s="113" t="s">
        <v>1460</v>
      </c>
      <c r="I469" s="114">
        <f t="array" ref="I469">XLOOKUP(G469,KLUS!$A$2:$A$2010,KLUS!$E$2:$E$2010)+XLOOKUP(H469,KLUS!$A$2:$A$2010,KLUS!$E$2:$E$2010)</f>
        <v>69.5</v>
      </c>
      <c r="J469" s="114">
        <f t="shared" si="1"/>
        <v>62.55</v>
      </c>
      <c r="K469" s="115">
        <f t="shared" si="2"/>
        <v>50.04</v>
      </c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</row>
    <row r="470" ht="15.75" customHeight="1">
      <c r="A470" s="69" t="s">
        <v>6756</v>
      </c>
      <c r="B470" s="69" t="s">
        <v>5473</v>
      </c>
      <c r="C470" s="112" t="s">
        <v>6757</v>
      </c>
      <c r="D470" s="69"/>
      <c r="E470" s="69" t="s">
        <v>4809</v>
      </c>
      <c r="F470" s="69" t="s">
        <v>6758</v>
      </c>
      <c r="G470" s="69" t="s">
        <v>504</v>
      </c>
      <c r="H470" s="116" t="s">
        <v>1466</v>
      </c>
      <c r="I470" s="114">
        <f t="array" ref="I470">XLOOKUP(G470,KLUS!$A$2:$A$2010,KLUS!$E$2:$E$2010)+XLOOKUP(H470,KLUS!$A$2:$A$2010,KLUS!$E$2:$E$2010)</f>
        <v>69.5</v>
      </c>
      <c r="J470" s="114">
        <f t="shared" si="1"/>
        <v>62.55</v>
      </c>
      <c r="K470" s="115">
        <f t="shared" si="2"/>
        <v>50.04</v>
      </c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</row>
    <row r="471" ht="15.75" customHeight="1">
      <c r="A471" s="69" t="s">
        <v>6759</v>
      </c>
      <c r="B471" s="69" t="s">
        <v>5473</v>
      </c>
      <c r="C471" s="112" t="s">
        <v>6760</v>
      </c>
      <c r="D471" s="69"/>
      <c r="E471" s="69" t="s">
        <v>4811</v>
      </c>
      <c r="F471" s="69" t="s">
        <v>6761</v>
      </c>
      <c r="G471" s="69" t="s">
        <v>507</v>
      </c>
      <c r="H471" s="119"/>
      <c r="I471" s="114" t="str">
        <f t="array" ref="I471">XLOOKUP(G471,KLUS!$A$2:$A$2010,KLUS!$E$2:$E$2010)+XLOOKUP(H471,KLUS!$A$2:$A$2010,KLUS!$E$2:$E$2010)</f>
        <v>#N/A</v>
      </c>
      <c r="J471" s="114" t="str">
        <f t="shared" si="1"/>
        <v>#N/A</v>
      </c>
      <c r="K471" s="115" t="str">
        <f t="shared" si="2"/>
        <v>#N/A</v>
      </c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</row>
    <row r="472" ht="15.75" customHeight="1">
      <c r="A472" s="69" t="s">
        <v>6762</v>
      </c>
      <c r="B472" s="69" t="s">
        <v>5473</v>
      </c>
      <c r="C472" s="112" t="s">
        <v>6763</v>
      </c>
      <c r="D472" s="69"/>
      <c r="E472" s="69" t="s">
        <v>6764</v>
      </c>
      <c r="F472" s="69" t="s">
        <v>6765</v>
      </c>
      <c r="G472" s="69" t="s">
        <v>509</v>
      </c>
      <c r="H472" s="119"/>
      <c r="I472" s="114" t="str">
        <f t="array" ref="I472">XLOOKUP(G472,KLUS!$A$2:$A$2010,KLUS!$E$2:$E$2010)+XLOOKUP(H472,KLUS!$A$2:$A$2010,KLUS!$E$2:$E$2010)</f>
        <v>#N/A</v>
      </c>
      <c r="J472" s="114" t="str">
        <f t="shared" si="1"/>
        <v>#N/A</v>
      </c>
      <c r="K472" s="115" t="str">
        <f t="shared" si="2"/>
        <v>#N/A</v>
      </c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</row>
    <row r="473" ht="15.75" customHeight="1">
      <c r="A473" s="69" t="s">
        <v>6766</v>
      </c>
      <c r="B473" s="69" t="s">
        <v>5473</v>
      </c>
      <c r="C473" s="112" t="s">
        <v>6767</v>
      </c>
      <c r="D473" s="69"/>
      <c r="E473" s="69" t="s">
        <v>6768</v>
      </c>
      <c r="F473" s="69" t="s">
        <v>6769</v>
      </c>
      <c r="G473" s="69" t="s">
        <v>6768</v>
      </c>
      <c r="H473" s="119"/>
      <c r="I473" s="114" t="str">
        <f t="array" ref="I473">XLOOKUP(G473,KLUS!$A$2:$A$2010,KLUS!$E$2:$E$2010)+XLOOKUP(H473,KLUS!$A$2:$A$2010,KLUS!$E$2:$E$2010)</f>
        <v>#N/A</v>
      </c>
      <c r="J473" s="114" t="str">
        <f t="shared" si="1"/>
        <v>#N/A</v>
      </c>
      <c r="K473" s="115" t="str">
        <f t="shared" si="2"/>
        <v>#N/A</v>
      </c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</row>
    <row r="474" ht="15.75" customHeight="1">
      <c r="A474" s="69" t="s">
        <v>6770</v>
      </c>
      <c r="B474" s="69" t="s">
        <v>5473</v>
      </c>
      <c r="C474" s="112" t="s">
        <v>6755</v>
      </c>
      <c r="D474" s="69"/>
      <c r="E474" s="69" t="s">
        <v>6771</v>
      </c>
      <c r="F474" s="69" t="s">
        <v>6772</v>
      </c>
      <c r="G474" s="69" t="s">
        <v>6768</v>
      </c>
      <c r="H474" s="116" t="s">
        <v>6588</v>
      </c>
      <c r="I474" s="114" t="str">
        <f t="array" ref="I474">XLOOKUP(G474,KLUS!$A$2:$A$2010,KLUS!$E$2:$E$2010)+XLOOKUP(H474,KLUS!$A$2:$A$2010,KLUS!$E$2:$E$2010)</f>
        <v>#N/A</v>
      </c>
      <c r="J474" s="114" t="str">
        <f t="shared" si="1"/>
        <v>#N/A</v>
      </c>
      <c r="K474" s="115" t="str">
        <f t="shared" si="2"/>
        <v>#N/A</v>
      </c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</row>
    <row r="475" ht="15.75" customHeight="1">
      <c r="A475" s="69" t="s">
        <v>6773</v>
      </c>
      <c r="B475" s="69" t="s">
        <v>5473</v>
      </c>
      <c r="C475" s="112" t="s">
        <v>5881</v>
      </c>
      <c r="D475" s="69"/>
      <c r="E475" s="69" t="s">
        <v>4817</v>
      </c>
      <c r="F475" s="69" t="s">
        <v>6774</v>
      </c>
      <c r="G475" s="69" t="s">
        <v>553</v>
      </c>
      <c r="H475" s="119"/>
      <c r="I475" s="114" t="str">
        <f t="array" ref="I475">XLOOKUP(G475,KLUS!$A$2:$A$2010,KLUS!$E$2:$E$2010)+XLOOKUP(H475,KLUS!$A$2:$A$2010,KLUS!$E$2:$E$2010)</f>
        <v>#N/A</v>
      </c>
      <c r="J475" s="114" t="str">
        <f t="shared" si="1"/>
        <v>#N/A</v>
      </c>
      <c r="K475" s="115" t="str">
        <f t="shared" si="2"/>
        <v>#N/A</v>
      </c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</row>
    <row r="476" ht="15.75" customHeight="1">
      <c r="A476" s="69" t="s">
        <v>6775</v>
      </c>
      <c r="B476" s="69" t="s">
        <v>5473</v>
      </c>
      <c r="C476" s="112" t="s">
        <v>6776</v>
      </c>
      <c r="D476" s="69"/>
      <c r="E476" s="69" t="s">
        <v>4819</v>
      </c>
      <c r="F476" s="69" t="s">
        <v>6777</v>
      </c>
      <c r="G476" s="69" t="s">
        <v>555</v>
      </c>
      <c r="H476" s="119"/>
      <c r="I476" s="114" t="str">
        <f t="array" ref="I476">XLOOKUP(G476,KLUS!$A$2:$A$2010,KLUS!$E$2:$E$2010)+XLOOKUP(H476,KLUS!$A$2:$A$2010,KLUS!$E$2:$E$2010)</f>
        <v>#N/A</v>
      </c>
      <c r="J476" s="114" t="str">
        <f t="shared" si="1"/>
        <v>#N/A</v>
      </c>
      <c r="K476" s="115" t="str">
        <f t="shared" si="2"/>
        <v>#N/A</v>
      </c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</row>
    <row r="477" ht="15.75" customHeight="1">
      <c r="A477" s="69" t="s">
        <v>6778</v>
      </c>
      <c r="B477" s="69" t="s">
        <v>5473</v>
      </c>
      <c r="C477" s="112" t="s">
        <v>6779</v>
      </c>
      <c r="D477" s="69"/>
      <c r="E477" s="69" t="s">
        <v>6780</v>
      </c>
      <c r="F477" s="118"/>
      <c r="G477" s="69" t="s">
        <v>555</v>
      </c>
      <c r="H477" s="116" t="s">
        <v>1545</v>
      </c>
      <c r="I477" s="114">
        <f t="array" ref="I477">XLOOKUP(G477,KLUS!$A$2:$A$2010,KLUS!$E$2:$E$2010)+XLOOKUP(H477,KLUS!$A$2:$A$2010,KLUS!$E$2:$E$2010)</f>
        <v>168.5</v>
      </c>
      <c r="J477" s="114">
        <f t="shared" si="1"/>
        <v>151.65</v>
      </c>
      <c r="K477" s="115">
        <f t="shared" si="2"/>
        <v>121.32</v>
      </c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</row>
    <row r="478" ht="15.75" customHeight="1">
      <c r="A478" s="69" t="s">
        <v>6781</v>
      </c>
      <c r="B478" s="69" t="s">
        <v>5473</v>
      </c>
      <c r="C478" s="112" t="s">
        <v>6782</v>
      </c>
      <c r="D478" s="69"/>
      <c r="E478" s="69" t="s">
        <v>4823</v>
      </c>
      <c r="F478" s="69" t="s">
        <v>6783</v>
      </c>
      <c r="G478" s="69" t="s">
        <v>557</v>
      </c>
      <c r="H478" s="119"/>
      <c r="I478" s="114" t="str">
        <f t="array" ref="I478">XLOOKUP(G478,KLUS!$A$2:$A$2010,KLUS!$E$2:$E$2010)+XLOOKUP(H478,KLUS!$A$2:$A$2010,KLUS!$E$2:$E$2010)</f>
        <v>#N/A</v>
      </c>
      <c r="J478" s="114" t="str">
        <f t="shared" si="1"/>
        <v>#N/A</v>
      </c>
      <c r="K478" s="115" t="str">
        <f t="shared" si="2"/>
        <v>#N/A</v>
      </c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</row>
    <row r="479" ht="15.75" customHeight="1">
      <c r="A479" s="69" t="s">
        <v>6784</v>
      </c>
      <c r="B479" s="69" t="s">
        <v>5473</v>
      </c>
      <c r="C479" s="112" t="s">
        <v>6785</v>
      </c>
      <c r="D479" s="69"/>
      <c r="E479" s="69" t="s">
        <v>2762</v>
      </c>
      <c r="F479" s="69" t="s">
        <v>6786</v>
      </c>
      <c r="G479" s="69" t="s">
        <v>2762</v>
      </c>
      <c r="H479" s="119"/>
      <c r="I479" s="114" t="str">
        <f t="array" ref="I479">XLOOKUP(G479,KLUS!$A$2:$A$2010,KLUS!$E$2:$E$2010)+XLOOKUP(H479,KLUS!$A$2:$A$2010,KLUS!$E$2:$E$2010)</f>
        <v>#N/A</v>
      </c>
      <c r="J479" s="114" t="str">
        <f t="shared" si="1"/>
        <v>#N/A</v>
      </c>
      <c r="K479" s="115" t="str">
        <f t="shared" si="2"/>
        <v>#N/A</v>
      </c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</row>
    <row r="480" ht="15.75" customHeight="1">
      <c r="A480" s="69" t="s">
        <v>6787</v>
      </c>
      <c r="B480" s="69" t="s">
        <v>5473</v>
      </c>
      <c r="C480" s="112" t="s">
        <v>6788</v>
      </c>
      <c r="D480" s="69"/>
      <c r="E480" s="69" t="s">
        <v>2765</v>
      </c>
      <c r="F480" s="69" t="s">
        <v>6789</v>
      </c>
      <c r="G480" s="69" t="s">
        <v>2765</v>
      </c>
      <c r="H480" s="119"/>
      <c r="I480" s="114" t="str">
        <f t="array" ref="I480">XLOOKUP(G480,KLUS!$A$2:$A$2010,KLUS!$E$2:$E$2010)+XLOOKUP(H480,KLUS!$A$2:$A$2010,KLUS!$E$2:$E$2010)</f>
        <v>#N/A</v>
      </c>
      <c r="J480" s="114" t="str">
        <f t="shared" si="1"/>
        <v>#N/A</v>
      </c>
      <c r="K480" s="115" t="str">
        <f t="shared" si="2"/>
        <v>#N/A</v>
      </c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</row>
    <row r="481" ht="15.75" customHeight="1">
      <c r="A481" s="69" t="s">
        <v>6790</v>
      </c>
      <c r="B481" s="69" t="s">
        <v>5473</v>
      </c>
      <c r="C481" s="112" t="s">
        <v>6791</v>
      </c>
      <c r="D481" s="69"/>
      <c r="E481" s="69" t="s">
        <v>2767</v>
      </c>
      <c r="F481" s="69" t="s">
        <v>6792</v>
      </c>
      <c r="G481" s="69" t="s">
        <v>2767</v>
      </c>
      <c r="H481" s="119"/>
      <c r="I481" s="114" t="str">
        <f t="array" ref="I481">XLOOKUP(G481,KLUS!$A$2:$A$2010,KLUS!$E$2:$E$2010)+XLOOKUP(H481,KLUS!$A$2:$A$2010,KLUS!$E$2:$E$2010)</f>
        <v>#N/A</v>
      </c>
      <c r="J481" s="114" t="str">
        <f t="shared" si="1"/>
        <v>#N/A</v>
      </c>
      <c r="K481" s="115" t="str">
        <f t="shared" si="2"/>
        <v>#N/A</v>
      </c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</row>
    <row r="482" ht="15.75" customHeight="1">
      <c r="A482" s="69" t="s">
        <v>6793</v>
      </c>
      <c r="B482" s="69" t="s">
        <v>5473</v>
      </c>
      <c r="C482" s="112" t="s">
        <v>6794</v>
      </c>
      <c r="D482" s="69"/>
      <c r="E482" s="69" t="s">
        <v>1573</v>
      </c>
      <c r="F482" s="69" t="s">
        <v>6795</v>
      </c>
      <c r="G482" s="69" t="s">
        <v>1573</v>
      </c>
      <c r="H482" s="119"/>
      <c r="I482" s="114" t="str">
        <f t="array" ref="I482">XLOOKUP(G482,KLUS!$A$2:$A$2010,KLUS!$E$2:$E$2010)+XLOOKUP(H482,KLUS!$A$2:$A$2010,KLUS!$E$2:$E$2010)</f>
        <v>#N/A</v>
      </c>
      <c r="J482" s="114" t="str">
        <f t="shared" si="1"/>
        <v>#N/A</v>
      </c>
      <c r="K482" s="115" t="str">
        <f t="shared" si="2"/>
        <v>#N/A</v>
      </c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</row>
    <row r="483" ht="15.75" customHeight="1">
      <c r="A483" s="69" t="s">
        <v>6796</v>
      </c>
      <c r="B483" s="69" t="s">
        <v>5473</v>
      </c>
      <c r="C483" s="112" t="s">
        <v>6797</v>
      </c>
      <c r="D483" s="69"/>
      <c r="E483" s="69" t="s">
        <v>1576</v>
      </c>
      <c r="F483" s="69" t="s">
        <v>6798</v>
      </c>
      <c r="G483" s="69" t="s">
        <v>1576</v>
      </c>
      <c r="H483" s="119"/>
      <c r="I483" s="114" t="str">
        <f t="array" ref="I483">XLOOKUP(G483,KLUS!$A$2:$A$2010,KLUS!$E$2:$E$2010)+XLOOKUP(H483,KLUS!$A$2:$A$2010,KLUS!$E$2:$E$2010)</f>
        <v>#N/A</v>
      </c>
      <c r="J483" s="114" t="str">
        <f t="shared" si="1"/>
        <v>#N/A</v>
      </c>
      <c r="K483" s="115" t="str">
        <f t="shared" si="2"/>
        <v>#N/A</v>
      </c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</row>
    <row r="484" ht="15.75" customHeight="1">
      <c r="A484" s="69" t="s">
        <v>6799</v>
      </c>
      <c r="B484" s="69" t="s">
        <v>5473</v>
      </c>
      <c r="C484" s="112" t="s">
        <v>6800</v>
      </c>
      <c r="D484" s="69"/>
      <c r="E484" s="69" t="s">
        <v>1578</v>
      </c>
      <c r="F484" s="69" t="s">
        <v>6801</v>
      </c>
      <c r="G484" s="69" t="s">
        <v>1578</v>
      </c>
      <c r="H484" s="119"/>
      <c r="I484" s="114" t="str">
        <f t="array" ref="I484">XLOOKUP(G484,KLUS!$A$2:$A$2010,KLUS!$E$2:$E$2010)+XLOOKUP(H484,KLUS!$A$2:$A$2010,KLUS!$E$2:$E$2010)</f>
        <v>#N/A</v>
      </c>
      <c r="J484" s="114" t="str">
        <f t="shared" si="1"/>
        <v>#N/A</v>
      </c>
      <c r="K484" s="115" t="str">
        <f t="shared" si="2"/>
        <v>#N/A</v>
      </c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</row>
    <row r="485" ht="15.75" customHeight="1">
      <c r="A485" s="69" t="s">
        <v>6802</v>
      </c>
      <c r="B485" s="69" t="s">
        <v>5473</v>
      </c>
      <c r="C485" s="112" t="s">
        <v>6803</v>
      </c>
      <c r="D485" s="69"/>
      <c r="E485" s="69" t="s">
        <v>1583</v>
      </c>
      <c r="F485" s="69" t="s">
        <v>6804</v>
      </c>
      <c r="G485" s="69" t="s">
        <v>1583</v>
      </c>
      <c r="H485" s="119"/>
      <c r="I485" s="114" t="str">
        <f t="array" ref="I485">XLOOKUP(G485,KLUS!$A$2:$A$2010,KLUS!$E$2:$E$2010)+XLOOKUP(H485,KLUS!$A$2:$A$2010,KLUS!$E$2:$E$2010)</f>
        <v>#N/A</v>
      </c>
      <c r="J485" s="114" t="str">
        <f t="shared" si="1"/>
        <v>#N/A</v>
      </c>
      <c r="K485" s="115" t="str">
        <f t="shared" si="2"/>
        <v>#N/A</v>
      </c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</row>
    <row r="486" ht="15.75" customHeight="1">
      <c r="A486" s="69" t="s">
        <v>6805</v>
      </c>
      <c r="B486" s="69" t="s">
        <v>5473</v>
      </c>
      <c r="C486" s="112" t="s">
        <v>5474</v>
      </c>
      <c r="D486" s="69"/>
      <c r="E486" s="69" t="s">
        <v>1585</v>
      </c>
      <c r="F486" s="69" t="s">
        <v>6806</v>
      </c>
      <c r="G486" s="69" t="s">
        <v>1585</v>
      </c>
      <c r="H486" s="119"/>
      <c r="I486" s="114" t="str">
        <f t="array" ref="I486">XLOOKUP(G486,KLUS!$A$2:$A$2010,KLUS!$E$2:$E$2010)+XLOOKUP(H486,KLUS!$A$2:$A$2010,KLUS!$E$2:$E$2010)</f>
        <v>#N/A</v>
      </c>
      <c r="J486" s="114" t="str">
        <f t="shared" si="1"/>
        <v>#N/A</v>
      </c>
      <c r="K486" s="115" t="str">
        <f t="shared" si="2"/>
        <v>#N/A</v>
      </c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</row>
    <row r="487" ht="15.75" customHeight="1">
      <c r="A487" s="69" t="s">
        <v>6807</v>
      </c>
      <c r="B487" s="69" t="s">
        <v>5473</v>
      </c>
      <c r="C487" s="112" t="s">
        <v>6808</v>
      </c>
      <c r="D487" s="69"/>
      <c r="E487" s="69" t="s">
        <v>1744</v>
      </c>
      <c r="F487" s="69" t="s">
        <v>6809</v>
      </c>
      <c r="G487" s="69" t="s">
        <v>1744</v>
      </c>
      <c r="H487" s="119"/>
      <c r="I487" s="114" t="str">
        <f t="array" ref="I487">XLOOKUP(G487,KLUS!$A$2:$A$2010,KLUS!$E$2:$E$2010)+XLOOKUP(H487,KLUS!$A$2:$A$2010,KLUS!$E$2:$E$2010)</f>
        <v>#N/A</v>
      </c>
      <c r="J487" s="114" t="str">
        <f t="shared" si="1"/>
        <v>#N/A</v>
      </c>
      <c r="K487" s="115" t="str">
        <f t="shared" si="2"/>
        <v>#N/A</v>
      </c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</row>
    <row r="488" ht="15.75" customHeight="1">
      <c r="A488" s="69" t="s">
        <v>6810</v>
      </c>
      <c r="B488" s="69" t="s">
        <v>5473</v>
      </c>
      <c r="C488" s="112" t="s">
        <v>6106</v>
      </c>
      <c r="D488" s="69"/>
      <c r="E488" s="69" t="s">
        <v>1746</v>
      </c>
      <c r="F488" s="69" t="s">
        <v>6811</v>
      </c>
      <c r="G488" s="69" t="s">
        <v>1746</v>
      </c>
      <c r="H488" s="119"/>
      <c r="I488" s="114" t="str">
        <f t="array" ref="I488">XLOOKUP(G488,KLUS!$A$2:$A$2010,KLUS!$E$2:$E$2010)+XLOOKUP(H488,KLUS!$A$2:$A$2010,KLUS!$E$2:$E$2010)</f>
        <v>#N/A</v>
      </c>
      <c r="J488" s="114" t="str">
        <f t="shared" si="1"/>
        <v>#N/A</v>
      </c>
      <c r="K488" s="115" t="str">
        <f t="shared" si="2"/>
        <v>#N/A</v>
      </c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</row>
    <row r="489" ht="15.75" customHeight="1">
      <c r="A489" s="69" t="s">
        <v>6812</v>
      </c>
      <c r="B489" s="69" t="s">
        <v>5473</v>
      </c>
      <c r="C489" s="112" t="s">
        <v>6813</v>
      </c>
      <c r="D489" s="69"/>
      <c r="E489" s="69" t="s">
        <v>1645</v>
      </c>
      <c r="F489" s="69" t="s">
        <v>6814</v>
      </c>
      <c r="G489" s="69" t="s">
        <v>1645</v>
      </c>
      <c r="H489" s="119"/>
      <c r="I489" s="114" t="str">
        <f t="array" ref="I489">XLOOKUP(G489,KLUS!$A$2:$A$2010,KLUS!$E$2:$E$2010)+XLOOKUP(H489,KLUS!$A$2:$A$2010,KLUS!$E$2:$E$2010)</f>
        <v>#N/A</v>
      </c>
      <c r="J489" s="114" t="str">
        <f t="shared" si="1"/>
        <v>#N/A</v>
      </c>
      <c r="K489" s="115" t="str">
        <f t="shared" si="2"/>
        <v>#N/A</v>
      </c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</row>
    <row r="490" ht="15.75" customHeight="1">
      <c r="A490" s="69" t="s">
        <v>6815</v>
      </c>
      <c r="B490" s="69" t="s">
        <v>5473</v>
      </c>
      <c r="C490" s="112" t="s">
        <v>6816</v>
      </c>
      <c r="D490" s="69"/>
      <c r="E490" s="69" t="s">
        <v>1648</v>
      </c>
      <c r="F490" s="69" t="s">
        <v>6817</v>
      </c>
      <c r="G490" s="69" t="s">
        <v>1648</v>
      </c>
      <c r="H490" s="119"/>
      <c r="I490" s="114" t="str">
        <f t="array" ref="I490">XLOOKUP(G490,KLUS!$A$2:$A$2010,KLUS!$E$2:$E$2010)+XLOOKUP(H490,KLUS!$A$2:$A$2010,KLUS!$E$2:$E$2010)</f>
        <v>#N/A</v>
      </c>
      <c r="J490" s="114" t="str">
        <f t="shared" si="1"/>
        <v>#N/A</v>
      </c>
      <c r="K490" s="115" t="str">
        <f t="shared" si="2"/>
        <v>#N/A</v>
      </c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</row>
    <row r="491" ht="15.75" customHeight="1">
      <c r="A491" s="69" t="s">
        <v>6818</v>
      </c>
      <c r="B491" s="69" t="s">
        <v>5473</v>
      </c>
      <c r="C491" s="112" t="s">
        <v>6819</v>
      </c>
      <c r="D491" s="69"/>
      <c r="E491" s="69" t="s">
        <v>1650</v>
      </c>
      <c r="F491" s="69" t="s">
        <v>6820</v>
      </c>
      <c r="G491" s="69" t="s">
        <v>1650</v>
      </c>
      <c r="H491" s="119"/>
      <c r="I491" s="114" t="str">
        <f t="array" ref="I491">XLOOKUP(G491,KLUS!$A$2:$A$2010,KLUS!$E$2:$E$2010)+XLOOKUP(H491,KLUS!$A$2:$A$2010,KLUS!$E$2:$E$2010)</f>
        <v>#N/A</v>
      </c>
      <c r="J491" s="114" t="str">
        <f t="shared" si="1"/>
        <v>#N/A</v>
      </c>
      <c r="K491" s="115" t="str">
        <f t="shared" si="2"/>
        <v>#N/A</v>
      </c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</row>
    <row r="492" ht="15.75" customHeight="1">
      <c r="A492" s="69" t="s">
        <v>6821</v>
      </c>
      <c r="B492" s="69" t="s">
        <v>5473</v>
      </c>
      <c r="C492" s="112" t="s">
        <v>6822</v>
      </c>
      <c r="D492" s="69"/>
      <c r="E492" s="69" t="s">
        <v>2769</v>
      </c>
      <c r="F492" s="69" t="s">
        <v>6823</v>
      </c>
      <c r="G492" s="69" t="s">
        <v>2769</v>
      </c>
      <c r="H492" s="119"/>
      <c r="I492" s="114" t="str">
        <f t="array" ref="I492">XLOOKUP(G492,KLUS!$A$2:$A$2010,KLUS!$E$2:$E$2010)+XLOOKUP(H492,KLUS!$A$2:$A$2010,KLUS!$E$2:$E$2010)</f>
        <v>#N/A</v>
      </c>
      <c r="J492" s="114" t="str">
        <f t="shared" si="1"/>
        <v>#N/A</v>
      </c>
      <c r="K492" s="115" t="str">
        <f t="shared" si="2"/>
        <v>#N/A</v>
      </c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</row>
    <row r="493" ht="15.75" customHeight="1">
      <c r="A493" s="69" t="s">
        <v>6824</v>
      </c>
      <c r="B493" s="69" t="s">
        <v>5473</v>
      </c>
      <c r="C493" s="112" t="s">
        <v>6825</v>
      </c>
      <c r="D493" s="69"/>
      <c r="E493" s="69" t="s">
        <v>2772</v>
      </c>
      <c r="F493" s="69" t="s">
        <v>6826</v>
      </c>
      <c r="G493" s="69" t="s">
        <v>2772</v>
      </c>
      <c r="H493" s="119"/>
      <c r="I493" s="114" t="str">
        <f t="array" ref="I493">XLOOKUP(G493,KLUS!$A$2:$A$2010,KLUS!$E$2:$E$2010)+XLOOKUP(H493,KLUS!$A$2:$A$2010,KLUS!$E$2:$E$2010)</f>
        <v>#N/A</v>
      </c>
      <c r="J493" s="114" t="str">
        <f t="shared" si="1"/>
        <v>#N/A</v>
      </c>
      <c r="K493" s="115" t="str">
        <f t="shared" si="2"/>
        <v>#N/A</v>
      </c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</row>
    <row r="494" ht="15.75" customHeight="1">
      <c r="A494" s="69" t="s">
        <v>6827</v>
      </c>
      <c r="B494" s="69" t="s">
        <v>5473</v>
      </c>
      <c r="C494" s="112" t="s">
        <v>6828</v>
      </c>
      <c r="D494" s="69"/>
      <c r="E494" s="69" t="s">
        <v>2774</v>
      </c>
      <c r="F494" s="69" t="s">
        <v>6829</v>
      </c>
      <c r="G494" s="69" t="s">
        <v>2774</v>
      </c>
      <c r="H494" s="119"/>
      <c r="I494" s="114" t="str">
        <f t="array" ref="I494">XLOOKUP(G494,KLUS!$A$2:$A$2010,KLUS!$E$2:$E$2010)+XLOOKUP(H494,KLUS!$A$2:$A$2010,KLUS!$E$2:$E$2010)</f>
        <v>#N/A</v>
      </c>
      <c r="J494" s="114" t="str">
        <f t="shared" si="1"/>
        <v>#N/A</v>
      </c>
      <c r="K494" s="115" t="str">
        <f t="shared" si="2"/>
        <v>#N/A</v>
      </c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</row>
    <row r="495" ht="15.75" customHeight="1">
      <c r="A495" s="69" t="s">
        <v>4824</v>
      </c>
      <c r="B495" s="69" t="s">
        <v>5473</v>
      </c>
      <c r="C495" s="112" t="s">
        <v>6830</v>
      </c>
      <c r="D495" s="69"/>
      <c r="E495" s="69" t="s">
        <v>4825</v>
      </c>
      <c r="F495" s="118"/>
      <c r="G495" s="69" t="s">
        <v>326</v>
      </c>
      <c r="H495" s="116" t="s">
        <v>1359</v>
      </c>
      <c r="I495" s="114">
        <f t="array" ref="I495">XLOOKUP(G495,KLUS!$A$2:$A$2010,KLUS!$E$2:$E$2010)+XLOOKUP(H495,KLUS!$A$2:$A$2010,KLUS!$E$2:$E$2010)</f>
        <v>52.9</v>
      </c>
      <c r="J495" s="114">
        <f t="shared" si="1"/>
        <v>47.61</v>
      </c>
      <c r="K495" s="115">
        <f t="shared" si="2"/>
        <v>38.088</v>
      </c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</row>
    <row r="496" ht="15.75" customHeight="1">
      <c r="A496" s="69" t="s">
        <v>4826</v>
      </c>
      <c r="B496" s="69" t="s">
        <v>5473</v>
      </c>
      <c r="C496" s="112" t="s">
        <v>6831</v>
      </c>
      <c r="D496" s="69"/>
      <c r="E496" s="69" t="s">
        <v>1023</v>
      </c>
      <c r="F496" s="69" t="s">
        <v>6832</v>
      </c>
      <c r="G496" s="69" t="s">
        <v>1023</v>
      </c>
      <c r="H496" s="119"/>
      <c r="I496" s="114" t="str">
        <f t="array" ref="I496">XLOOKUP(G496,KLUS!$A$2:$A$2010,KLUS!$E$2:$E$2010)+XLOOKUP(H496,KLUS!$A$2:$A$2010,KLUS!$E$2:$E$2010)</f>
        <v>#N/A</v>
      </c>
      <c r="J496" s="114" t="str">
        <f t="shared" si="1"/>
        <v>#N/A</v>
      </c>
      <c r="K496" s="115" t="str">
        <f t="shared" si="2"/>
        <v>#N/A</v>
      </c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</row>
    <row r="497" ht="15.75" customHeight="1">
      <c r="A497" s="69" t="s">
        <v>4828</v>
      </c>
      <c r="B497" s="69" t="s">
        <v>5473</v>
      </c>
      <c r="C497" s="112" t="s">
        <v>6833</v>
      </c>
      <c r="D497" s="69"/>
      <c r="E497" s="69" t="s">
        <v>6834</v>
      </c>
      <c r="F497" s="69" t="s">
        <v>6835</v>
      </c>
      <c r="G497" s="69" t="s">
        <v>446</v>
      </c>
      <c r="H497" s="119"/>
      <c r="I497" s="114" t="str">
        <f t="array" ref="I497">XLOOKUP(G497,KLUS!$A$2:$A$2010,KLUS!$E$2:$E$2010)+XLOOKUP(H497,KLUS!$A$2:$A$2010,KLUS!$E$2:$E$2010)</f>
        <v>#N/A</v>
      </c>
      <c r="J497" s="114" t="str">
        <f t="shared" si="1"/>
        <v>#N/A</v>
      </c>
      <c r="K497" s="115" t="str">
        <f t="shared" si="2"/>
        <v>#N/A</v>
      </c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</row>
    <row r="498" ht="15.75" customHeight="1">
      <c r="A498" s="69" t="s">
        <v>6836</v>
      </c>
      <c r="B498" s="69" t="s">
        <v>5473</v>
      </c>
      <c r="C498" s="112" t="s">
        <v>6837</v>
      </c>
      <c r="D498" s="69"/>
      <c r="E498" s="69" t="s">
        <v>4719</v>
      </c>
      <c r="F498" s="69" t="s">
        <v>6838</v>
      </c>
      <c r="G498" s="69" t="s">
        <v>446</v>
      </c>
      <c r="H498" s="116" t="s">
        <v>1314</v>
      </c>
      <c r="I498" s="114">
        <f t="array" ref="I498">XLOOKUP(G498,KLUS!$A$2:$A$2010,KLUS!$E$2:$E$2010)+XLOOKUP(H498,KLUS!$A$2:$A$2010,KLUS!$E$2:$E$2010)</f>
        <v>23.5</v>
      </c>
      <c r="J498" s="114">
        <f t="shared" si="1"/>
        <v>21.15</v>
      </c>
      <c r="K498" s="115">
        <f t="shared" si="2"/>
        <v>16.92</v>
      </c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</row>
    <row r="499" ht="15.75" customHeight="1">
      <c r="A499" s="69" t="s">
        <v>4830</v>
      </c>
      <c r="B499" s="69" t="s">
        <v>5473</v>
      </c>
      <c r="C499" s="112" t="s">
        <v>6839</v>
      </c>
      <c r="D499" s="69"/>
      <c r="E499" s="69" t="s">
        <v>6840</v>
      </c>
      <c r="F499" s="69" t="s">
        <v>6841</v>
      </c>
      <c r="G499" s="69" t="s">
        <v>449</v>
      </c>
      <c r="H499" s="119"/>
      <c r="I499" s="114" t="str">
        <f t="array" ref="I499">XLOOKUP(G499,KLUS!$A$2:$A$2010,KLUS!$E$2:$E$2010)+XLOOKUP(H499,KLUS!$A$2:$A$2010,KLUS!$E$2:$E$2010)</f>
        <v>#N/A</v>
      </c>
      <c r="J499" s="114" t="str">
        <f t="shared" si="1"/>
        <v>#N/A</v>
      </c>
      <c r="K499" s="115" t="str">
        <f t="shared" si="2"/>
        <v>#N/A</v>
      </c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</row>
    <row r="500" ht="15.75" customHeight="1">
      <c r="A500" s="69" t="s">
        <v>4832</v>
      </c>
      <c r="B500" s="69" t="s">
        <v>5486</v>
      </c>
      <c r="C500" s="112" t="s">
        <v>6842</v>
      </c>
      <c r="D500" s="69"/>
      <c r="E500" s="69" t="s">
        <v>4833</v>
      </c>
      <c r="F500" s="69" t="s">
        <v>6843</v>
      </c>
      <c r="G500" s="69" t="s">
        <v>449</v>
      </c>
      <c r="H500" s="113" t="s">
        <v>1317</v>
      </c>
      <c r="I500" s="114">
        <f t="array" ref="I500">XLOOKUP(G500,KLUS!$A$2:$A$2010,KLUS!$E$2:$E$2010)+XLOOKUP(H500,KLUS!$A$2:$A$2010,KLUS!$E$2:$E$2010)</f>
        <v>47.1</v>
      </c>
      <c r="J500" s="114">
        <f t="shared" si="1"/>
        <v>42.39</v>
      </c>
      <c r="K500" s="115">
        <f t="shared" si="2"/>
        <v>33.912</v>
      </c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</row>
    <row r="501" ht="15.75" customHeight="1">
      <c r="A501" s="69" t="s">
        <v>4834</v>
      </c>
      <c r="B501" s="69" t="s">
        <v>5473</v>
      </c>
      <c r="C501" s="112" t="s">
        <v>6844</v>
      </c>
      <c r="D501" s="69"/>
      <c r="E501" s="69" t="s">
        <v>4835</v>
      </c>
      <c r="F501" s="69" t="s">
        <v>6845</v>
      </c>
      <c r="G501" s="69" t="s">
        <v>421</v>
      </c>
      <c r="H501" s="119"/>
      <c r="I501" s="114" t="str">
        <f t="array" ref="I501">XLOOKUP(G501,KLUS!$A$2:$A$2010,KLUS!$E$2:$E$2010)+XLOOKUP(H501,KLUS!$A$2:$A$2010,KLUS!$E$2:$E$2010)</f>
        <v>#N/A</v>
      </c>
      <c r="J501" s="114" t="str">
        <f t="shared" si="1"/>
        <v>#N/A</v>
      </c>
      <c r="K501" s="115" t="str">
        <f t="shared" si="2"/>
        <v>#N/A</v>
      </c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</row>
    <row r="502" ht="15.75" customHeight="1">
      <c r="A502" s="69" t="s">
        <v>4836</v>
      </c>
      <c r="B502" s="69" t="s">
        <v>5473</v>
      </c>
      <c r="C502" s="112" t="s">
        <v>6846</v>
      </c>
      <c r="D502" s="69"/>
      <c r="E502" s="69" t="s">
        <v>6847</v>
      </c>
      <c r="F502" s="69" t="s">
        <v>6848</v>
      </c>
      <c r="G502" s="69" t="s">
        <v>426</v>
      </c>
      <c r="H502" s="119"/>
      <c r="I502" s="114" t="str">
        <f t="array" ref="I502">XLOOKUP(G502,KLUS!$A$2:$A$2010,KLUS!$E$2:$E$2010)+XLOOKUP(H502,KLUS!$A$2:$A$2010,KLUS!$E$2:$E$2010)</f>
        <v>#N/A</v>
      </c>
      <c r="J502" s="114" t="str">
        <f t="shared" si="1"/>
        <v>#N/A</v>
      </c>
      <c r="K502" s="115" t="str">
        <f t="shared" si="2"/>
        <v>#N/A</v>
      </c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</row>
    <row r="503" ht="15.75" customHeight="1">
      <c r="A503" s="69" t="s">
        <v>6849</v>
      </c>
      <c r="B503" s="69" t="s">
        <v>5473</v>
      </c>
      <c r="C503" s="112" t="s">
        <v>6850</v>
      </c>
      <c r="D503" s="69"/>
      <c r="E503" s="69" t="s">
        <v>4721</v>
      </c>
      <c r="F503" s="69" t="s">
        <v>6851</v>
      </c>
      <c r="G503" s="69" t="s">
        <v>426</v>
      </c>
      <c r="H503" s="116" t="s">
        <v>1314</v>
      </c>
      <c r="I503" s="114">
        <f t="array" ref="I503">XLOOKUP(G503,KLUS!$A$2:$A$2010,KLUS!$E$2:$E$2010)+XLOOKUP(H503,KLUS!$A$2:$A$2010,KLUS!$E$2:$E$2010)</f>
        <v>20.2</v>
      </c>
      <c r="J503" s="114">
        <f t="shared" si="1"/>
        <v>18.18</v>
      </c>
      <c r="K503" s="115">
        <f t="shared" si="2"/>
        <v>14.544</v>
      </c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</row>
    <row r="504" ht="15.75" customHeight="1">
      <c r="A504" s="69" t="s">
        <v>6852</v>
      </c>
      <c r="B504" s="69" t="s">
        <v>5486</v>
      </c>
      <c r="C504" s="112" t="s">
        <v>6853</v>
      </c>
      <c r="D504" s="69"/>
      <c r="E504" s="69" t="s">
        <v>4723</v>
      </c>
      <c r="F504" s="69" t="s">
        <v>6854</v>
      </c>
      <c r="G504" s="69" t="s">
        <v>6855</v>
      </c>
      <c r="H504" s="116" t="s">
        <v>1314</v>
      </c>
      <c r="I504" s="114" t="str">
        <f t="array" ref="I504">XLOOKUP(G504,KLUS!$A$2:$A$2010,KLUS!$E$2:$E$2010)+XLOOKUP(H504,KLUS!$A$2:$A$2010,KLUS!$E$2:$E$2010)</f>
        <v>#N/A</v>
      </c>
      <c r="J504" s="114" t="str">
        <f t="shared" si="1"/>
        <v>#N/A</v>
      </c>
      <c r="K504" s="115" t="str">
        <f t="shared" si="2"/>
        <v>#N/A</v>
      </c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</row>
    <row r="505" ht="15.75" customHeight="1">
      <c r="A505" s="69" t="s">
        <v>4838</v>
      </c>
      <c r="B505" s="69" t="s">
        <v>5473</v>
      </c>
      <c r="C505" s="112" t="s">
        <v>6856</v>
      </c>
      <c r="D505" s="69"/>
      <c r="E505" s="69" t="s">
        <v>4839</v>
      </c>
      <c r="F505" s="69" t="s">
        <v>6857</v>
      </c>
      <c r="G505" s="69" t="s">
        <v>424</v>
      </c>
      <c r="H505" s="119"/>
      <c r="I505" s="114" t="str">
        <f t="array" ref="I505">XLOOKUP(G505,KLUS!$A$2:$A$2010,KLUS!$E$2:$E$2010)+XLOOKUP(H505,KLUS!$A$2:$A$2010,KLUS!$E$2:$E$2010)</f>
        <v>#N/A</v>
      </c>
      <c r="J505" s="114" t="str">
        <f t="shared" si="1"/>
        <v>#N/A</v>
      </c>
      <c r="K505" s="115" t="str">
        <f t="shared" si="2"/>
        <v>#N/A</v>
      </c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</row>
    <row r="506" ht="15.75" customHeight="1">
      <c r="A506" s="69" t="s">
        <v>4840</v>
      </c>
      <c r="B506" s="69" t="s">
        <v>5473</v>
      </c>
      <c r="C506" s="112" t="s">
        <v>6642</v>
      </c>
      <c r="D506" s="69"/>
      <c r="E506" s="69" t="s">
        <v>6858</v>
      </c>
      <c r="F506" s="69" t="s">
        <v>6859</v>
      </c>
      <c r="G506" s="69" t="s">
        <v>429</v>
      </c>
      <c r="H506" s="119"/>
      <c r="I506" s="114" t="str">
        <f t="array" ref="I506">XLOOKUP(G506,KLUS!$A$2:$A$2010,KLUS!$E$2:$E$2010)+XLOOKUP(H506,KLUS!$A$2:$A$2010,KLUS!$E$2:$E$2010)</f>
        <v>#N/A</v>
      </c>
      <c r="J506" s="114" t="str">
        <f t="shared" si="1"/>
        <v>#N/A</v>
      </c>
      <c r="K506" s="115" t="str">
        <f t="shared" si="2"/>
        <v>#N/A</v>
      </c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</row>
    <row r="507" ht="15.75" customHeight="1">
      <c r="A507" s="69" t="s">
        <v>4842</v>
      </c>
      <c r="B507" s="69" t="s">
        <v>5473</v>
      </c>
      <c r="C507" s="112" t="s">
        <v>6860</v>
      </c>
      <c r="D507" s="69"/>
      <c r="E507" s="69" t="s">
        <v>4843</v>
      </c>
      <c r="F507" s="69" t="s">
        <v>6861</v>
      </c>
      <c r="G507" s="69" t="s">
        <v>429</v>
      </c>
      <c r="H507" s="113" t="s">
        <v>1317</v>
      </c>
      <c r="I507" s="114">
        <f t="array" ref="I507">XLOOKUP(G507,KLUS!$A$2:$A$2010,KLUS!$E$2:$E$2010)+XLOOKUP(H507,KLUS!$A$2:$A$2010,KLUS!$E$2:$E$2010)</f>
        <v>40.3</v>
      </c>
      <c r="J507" s="114">
        <f t="shared" si="1"/>
        <v>36.27</v>
      </c>
      <c r="K507" s="115">
        <f t="shared" si="2"/>
        <v>29.016</v>
      </c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</row>
    <row r="508" ht="15.75" customHeight="1">
      <c r="A508" s="69" t="s">
        <v>4844</v>
      </c>
      <c r="B508" s="69" t="s">
        <v>5486</v>
      </c>
      <c r="C508" s="112" t="s">
        <v>6862</v>
      </c>
      <c r="D508" s="69"/>
      <c r="E508" s="69" t="s">
        <v>4845</v>
      </c>
      <c r="F508" s="69" t="s">
        <v>6863</v>
      </c>
      <c r="G508" s="69" t="s">
        <v>6864</v>
      </c>
      <c r="H508" s="113" t="s">
        <v>1317</v>
      </c>
      <c r="I508" s="114" t="str">
        <f t="array" ref="I508">XLOOKUP(G508,KLUS!$A$2:$A$2010,KLUS!$E$2:$E$2010)+XLOOKUP(H508,KLUS!$A$2:$A$2010,KLUS!$E$2:$E$2010)</f>
        <v>#N/A</v>
      </c>
      <c r="J508" s="114" t="str">
        <f t="shared" si="1"/>
        <v>#N/A</v>
      </c>
      <c r="K508" s="115" t="str">
        <f t="shared" si="2"/>
        <v>#N/A</v>
      </c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</row>
    <row r="509" ht="15.75" customHeight="1">
      <c r="A509" s="69" t="s">
        <v>4846</v>
      </c>
      <c r="B509" s="69" t="s">
        <v>5473</v>
      </c>
      <c r="C509" s="112" t="s">
        <v>6865</v>
      </c>
      <c r="D509" s="69"/>
      <c r="E509" s="69" t="s">
        <v>6866</v>
      </c>
      <c r="F509" s="69" t="s">
        <v>6867</v>
      </c>
      <c r="G509" s="69" t="s">
        <v>436</v>
      </c>
      <c r="H509" s="119"/>
      <c r="I509" s="114" t="str">
        <f t="array" ref="I509">XLOOKUP(G509,KLUS!$A$2:$A$2010,KLUS!$E$2:$E$2010)+XLOOKUP(H509,KLUS!$A$2:$A$2010,KLUS!$E$2:$E$2010)</f>
        <v>#N/A</v>
      </c>
      <c r="J509" s="114" t="str">
        <f t="shared" si="1"/>
        <v>#N/A</v>
      </c>
      <c r="K509" s="115" t="str">
        <f t="shared" si="2"/>
        <v>#N/A</v>
      </c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</row>
    <row r="510" ht="15.75" customHeight="1">
      <c r="A510" s="69" t="s">
        <v>4848</v>
      </c>
      <c r="B510" s="69" t="s">
        <v>5473</v>
      </c>
      <c r="C510" s="112" t="s">
        <v>6097</v>
      </c>
      <c r="D510" s="69"/>
      <c r="E510" s="69" t="s">
        <v>6868</v>
      </c>
      <c r="F510" s="69" t="s">
        <v>6869</v>
      </c>
      <c r="G510" s="69" t="s">
        <v>441</v>
      </c>
      <c r="H510" s="119"/>
      <c r="I510" s="114" t="str">
        <f t="array" ref="I510">XLOOKUP(G510,KLUS!$A$2:$A$2010,KLUS!$E$2:$E$2010)+XLOOKUP(H510,KLUS!$A$2:$A$2010,KLUS!$E$2:$E$2010)</f>
        <v>#N/A</v>
      </c>
      <c r="J510" s="114" t="str">
        <f t="shared" si="1"/>
        <v>#N/A</v>
      </c>
      <c r="K510" s="115" t="str">
        <f t="shared" si="2"/>
        <v>#N/A</v>
      </c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</row>
    <row r="511" ht="15.75" customHeight="1">
      <c r="A511" s="69" t="s">
        <v>4850</v>
      </c>
      <c r="B511" s="69" t="s">
        <v>5473</v>
      </c>
      <c r="C511" s="112" t="s">
        <v>6870</v>
      </c>
      <c r="D511" s="69"/>
      <c r="E511" s="69" t="s">
        <v>4851</v>
      </c>
      <c r="F511" s="69" t="s">
        <v>6871</v>
      </c>
      <c r="G511" s="69" t="s">
        <v>441</v>
      </c>
      <c r="H511" s="116" t="s">
        <v>1314</v>
      </c>
      <c r="I511" s="114">
        <f t="array" ref="I511">XLOOKUP(G511,KLUS!$A$2:$A$2010,KLUS!$E$2:$E$2010)+XLOOKUP(H511,KLUS!$A$2:$A$2010,KLUS!$E$2:$E$2010)</f>
        <v>27.6</v>
      </c>
      <c r="J511" s="114">
        <f t="shared" si="1"/>
        <v>24.84</v>
      </c>
      <c r="K511" s="115">
        <f t="shared" si="2"/>
        <v>19.872</v>
      </c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</row>
    <row r="512" ht="15.75" customHeight="1">
      <c r="A512" s="69" t="s">
        <v>4852</v>
      </c>
      <c r="B512" s="69" t="s">
        <v>5486</v>
      </c>
      <c r="C512" s="112" t="s">
        <v>6872</v>
      </c>
      <c r="D512" s="69"/>
      <c r="E512" s="69" t="s">
        <v>4853</v>
      </c>
      <c r="F512" s="69" t="s">
        <v>6873</v>
      </c>
      <c r="G512" s="69" t="s">
        <v>6874</v>
      </c>
      <c r="H512" s="116" t="s">
        <v>1314</v>
      </c>
      <c r="I512" s="114" t="str">
        <f t="array" ref="I512">XLOOKUP(G512,KLUS!$A$2:$A$2010,KLUS!$E$2:$E$2010)+XLOOKUP(H512,KLUS!$A$2:$A$2010,KLUS!$E$2:$E$2010)</f>
        <v>#N/A</v>
      </c>
      <c r="J512" s="114" t="str">
        <f t="shared" si="1"/>
        <v>#N/A</v>
      </c>
      <c r="K512" s="115" t="str">
        <f t="shared" si="2"/>
        <v>#N/A</v>
      </c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</row>
    <row r="513" ht="15.75" customHeight="1">
      <c r="A513" s="69" t="s">
        <v>4854</v>
      </c>
      <c r="B513" s="69" t="s">
        <v>5473</v>
      </c>
      <c r="C513" s="112" t="s">
        <v>6875</v>
      </c>
      <c r="D513" s="69"/>
      <c r="E513" s="69" t="s">
        <v>6876</v>
      </c>
      <c r="F513" s="69" t="s">
        <v>6877</v>
      </c>
      <c r="G513" s="69" t="s">
        <v>439</v>
      </c>
      <c r="H513" s="119"/>
      <c r="I513" s="114" t="str">
        <f t="array" ref="I513">XLOOKUP(G513,KLUS!$A$2:$A$2010,KLUS!$E$2:$E$2010)+XLOOKUP(H513,KLUS!$A$2:$A$2010,KLUS!$E$2:$E$2010)</f>
        <v>#N/A</v>
      </c>
      <c r="J513" s="114" t="str">
        <f t="shared" si="1"/>
        <v>#N/A</v>
      </c>
      <c r="K513" s="115" t="str">
        <f t="shared" si="2"/>
        <v>#N/A</v>
      </c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</row>
    <row r="514" ht="15.75" customHeight="1">
      <c r="A514" s="69" t="s">
        <v>4856</v>
      </c>
      <c r="B514" s="69" t="s">
        <v>5473</v>
      </c>
      <c r="C514" s="112" t="s">
        <v>6114</v>
      </c>
      <c r="D514" s="69"/>
      <c r="E514" s="69" t="s">
        <v>6878</v>
      </c>
      <c r="F514" s="69" t="s">
        <v>6879</v>
      </c>
      <c r="G514" s="69" t="s">
        <v>444</v>
      </c>
      <c r="H514" s="119"/>
      <c r="I514" s="114" t="str">
        <f t="array" ref="I514">XLOOKUP(G514,KLUS!$A$2:$A$2010,KLUS!$E$2:$E$2010)+XLOOKUP(H514,KLUS!$A$2:$A$2010,KLUS!$E$2:$E$2010)</f>
        <v>#N/A</v>
      </c>
      <c r="J514" s="114" t="str">
        <f t="shared" si="1"/>
        <v>#N/A</v>
      </c>
      <c r="K514" s="115" t="str">
        <f t="shared" si="2"/>
        <v>#N/A</v>
      </c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</row>
    <row r="515" ht="15.75" customHeight="1">
      <c r="A515" s="69" t="s">
        <v>4858</v>
      </c>
      <c r="B515" s="69" t="s">
        <v>5473</v>
      </c>
      <c r="C515" s="112" t="s">
        <v>6880</v>
      </c>
      <c r="D515" s="69"/>
      <c r="E515" s="69" t="s">
        <v>4859</v>
      </c>
      <c r="F515" s="69" t="s">
        <v>6881</v>
      </c>
      <c r="G515" s="69" t="s">
        <v>444</v>
      </c>
      <c r="H515" s="113" t="s">
        <v>1317</v>
      </c>
      <c r="I515" s="114">
        <f t="array" ref="I515">XLOOKUP(G515,KLUS!$A$2:$A$2010,KLUS!$E$2:$E$2010)+XLOOKUP(H515,KLUS!$A$2:$A$2010,KLUS!$E$2:$E$2010)</f>
        <v>55.2</v>
      </c>
      <c r="J515" s="114">
        <f t="shared" si="1"/>
        <v>49.68</v>
      </c>
      <c r="K515" s="115">
        <f t="shared" si="2"/>
        <v>39.744</v>
      </c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</row>
    <row r="516" ht="15.75" customHeight="1">
      <c r="A516" s="69" t="s">
        <v>4860</v>
      </c>
      <c r="B516" s="69" t="s">
        <v>5473</v>
      </c>
      <c r="C516" s="112" t="s">
        <v>6005</v>
      </c>
      <c r="D516" s="69"/>
      <c r="E516" s="69" t="s">
        <v>4861</v>
      </c>
      <c r="F516" s="69" t="s">
        <v>6882</v>
      </c>
      <c r="G516" s="69" t="s">
        <v>6883</v>
      </c>
      <c r="H516" s="113" t="s">
        <v>1317</v>
      </c>
      <c r="I516" s="114" t="str">
        <f t="array" ref="I516">XLOOKUP(G516,KLUS!$A$2:$A$2010,KLUS!$E$2:$E$2010)+XLOOKUP(H516,KLUS!$A$2:$A$2010,KLUS!$E$2:$E$2010)</f>
        <v>#N/A</v>
      </c>
      <c r="J516" s="114" t="str">
        <f t="shared" si="1"/>
        <v>#N/A</v>
      </c>
      <c r="K516" s="115" t="str">
        <f t="shared" si="2"/>
        <v>#N/A</v>
      </c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</row>
    <row r="517" ht="15.75" customHeight="1">
      <c r="A517" s="69" t="s">
        <v>4862</v>
      </c>
      <c r="B517" s="69" t="s">
        <v>5473</v>
      </c>
      <c r="C517" s="112" t="s">
        <v>6884</v>
      </c>
      <c r="D517" s="69"/>
      <c r="E517" s="69" t="s">
        <v>6885</v>
      </c>
      <c r="F517" s="69" t="s">
        <v>6886</v>
      </c>
      <c r="G517" s="69" t="s">
        <v>451</v>
      </c>
      <c r="H517" s="119"/>
      <c r="I517" s="114" t="str">
        <f t="array" ref="I517">XLOOKUP(G517,KLUS!$A$2:$A$2010,KLUS!$E$2:$E$2010)+XLOOKUP(H517,KLUS!$A$2:$A$2010,KLUS!$E$2:$E$2010)</f>
        <v>#N/A</v>
      </c>
      <c r="J517" s="114" t="str">
        <f t="shared" si="1"/>
        <v>#N/A</v>
      </c>
      <c r="K517" s="115" t="str">
        <f t="shared" si="2"/>
        <v>#N/A</v>
      </c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</row>
    <row r="518" ht="15.75" customHeight="1">
      <c r="A518" s="69" t="s">
        <v>4864</v>
      </c>
      <c r="B518" s="69" t="s">
        <v>5473</v>
      </c>
      <c r="C518" s="112" t="s">
        <v>6887</v>
      </c>
      <c r="D518" s="69"/>
      <c r="E518" s="69" t="s">
        <v>4865</v>
      </c>
      <c r="F518" s="69" t="s">
        <v>6888</v>
      </c>
      <c r="G518" s="69" t="s">
        <v>451</v>
      </c>
      <c r="H518" s="116" t="s">
        <v>1314</v>
      </c>
      <c r="I518" s="114">
        <f t="array" ref="I518">XLOOKUP(G518,KLUS!$A$2:$A$2010,KLUS!$E$2:$E$2010)+XLOOKUP(H518,KLUS!$A$2:$A$2010,KLUS!$E$2:$E$2010)</f>
        <v>29.5</v>
      </c>
      <c r="J518" s="114">
        <f t="shared" si="1"/>
        <v>26.55</v>
      </c>
      <c r="K518" s="115">
        <f t="shared" si="2"/>
        <v>21.24</v>
      </c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</row>
    <row r="519" ht="15.75" customHeight="1">
      <c r="A519" s="69" t="s">
        <v>4866</v>
      </c>
      <c r="B519" s="69" t="s">
        <v>5473</v>
      </c>
      <c r="C519" s="112" t="s">
        <v>6889</v>
      </c>
      <c r="D519" s="69"/>
      <c r="E519" s="69" t="s">
        <v>4867</v>
      </c>
      <c r="F519" s="69" t="s">
        <v>6890</v>
      </c>
      <c r="G519" s="69" t="s">
        <v>454</v>
      </c>
      <c r="H519" s="119"/>
      <c r="I519" s="114" t="str">
        <f t="array" ref="I519">XLOOKUP(G519,KLUS!$A$2:$A$2010,KLUS!$E$2:$E$2010)+XLOOKUP(H519,KLUS!$A$2:$A$2010,KLUS!$E$2:$E$2010)</f>
        <v>#N/A</v>
      </c>
      <c r="J519" s="114" t="str">
        <f t="shared" si="1"/>
        <v>#N/A</v>
      </c>
      <c r="K519" s="115" t="str">
        <f t="shared" si="2"/>
        <v>#N/A</v>
      </c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</row>
    <row r="520" ht="15.75" customHeight="1">
      <c r="A520" s="69" t="s">
        <v>4868</v>
      </c>
      <c r="B520" s="69" t="s">
        <v>5473</v>
      </c>
      <c r="C520" s="112" t="s">
        <v>6891</v>
      </c>
      <c r="D520" s="69"/>
      <c r="E520" s="69" t="s">
        <v>4869</v>
      </c>
      <c r="F520" s="69" t="s">
        <v>6892</v>
      </c>
      <c r="G520" s="69" t="s">
        <v>454</v>
      </c>
      <c r="H520" s="113" t="s">
        <v>1317</v>
      </c>
      <c r="I520" s="114">
        <f t="array" ref="I520">XLOOKUP(G520,KLUS!$A$2:$A$2010,KLUS!$E$2:$E$2010)+XLOOKUP(H520,KLUS!$A$2:$A$2010,KLUS!$E$2:$E$2010)</f>
        <v>59</v>
      </c>
      <c r="J520" s="114">
        <f t="shared" si="1"/>
        <v>53.1</v>
      </c>
      <c r="K520" s="115">
        <f t="shared" si="2"/>
        <v>42.48</v>
      </c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</row>
    <row r="521" ht="15.75" customHeight="1">
      <c r="A521" s="69" t="s">
        <v>4992</v>
      </c>
      <c r="B521" s="69" t="s">
        <v>5473</v>
      </c>
      <c r="C521" s="112" t="s">
        <v>6893</v>
      </c>
      <c r="D521" s="69"/>
      <c r="E521" s="69" t="s">
        <v>6894</v>
      </c>
      <c r="F521" s="69" t="s">
        <v>6895</v>
      </c>
      <c r="G521" s="69" t="s">
        <v>6894</v>
      </c>
      <c r="H521" s="119"/>
      <c r="I521" s="114" t="str">
        <f t="array" ref="I521">XLOOKUP(G521,KLUS!$A$2:$A$2010,KLUS!$E$2:$E$2010)+XLOOKUP(H521,KLUS!$A$2:$A$2010,KLUS!$E$2:$E$2010)</f>
        <v>#N/A</v>
      </c>
      <c r="J521" s="114" t="str">
        <f t="shared" si="1"/>
        <v>#N/A</v>
      </c>
      <c r="K521" s="115" t="str">
        <f t="shared" si="2"/>
        <v>#N/A</v>
      </c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5.14"/>
    <col customWidth="1" min="2" max="2" width="8.29"/>
    <col customWidth="1" min="3" max="3" width="19.71"/>
    <col customWidth="1" min="4" max="5" width="18.43"/>
    <col customWidth="1" min="6" max="6" width="17.86"/>
    <col customWidth="1" min="7" max="7" width="24.57"/>
    <col customWidth="1" min="8" max="9" width="17.86"/>
    <col customWidth="1" min="10" max="10" width="14.0"/>
    <col customWidth="1" min="11" max="11" width="8.71"/>
    <col customWidth="1" min="16" max="16" width="15.29"/>
  </cols>
  <sheetData>
    <row r="1">
      <c r="A1" s="120" t="s">
        <v>5460</v>
      </c>
      <c r="B1" s="104" t="s">
        <v>5461</v>
      </c>
      <c r="C1" s="104" t="s">
        <v>5462</v>
      </c>
      <c r="D1" s="104" t="s">
        <v>2926</v>
      </c>
      <c r="E1" s="104" t="s">
        <v>5463</v>
      </c>
      <c r="F1" s="104" t="s">
        <v>5464</v>
      </c>
      <c r="G1" s="104" t="s">
        <v>5465</v>
      </c>
      <c r="H1" s="104" t="s">
        <v>5465</v>
      </c>
      <c r="I1" s="105" t="s">
        <v>5466</v>
      </c>
      <c r="J1" s="106" t="s">
        <v>5467</v>
      </c>
      <c r="K1" s="106" t="s">
        <v>5468</v>
      </c>
      <c r="L1" s="121" t="s">
        <v>6896</v>
      </c>
      <c r="M1" s="122" t="s">
        <v>6897</v>
      </c>
      <c r="N1" s="123" t="s">
        <v>5468</v>
      </c>
      <c r="O1" s="123" t="s">
        <v>6898</v>
      </c>
      <c r="P1" s="124" t="s">
        <v>6899</v>
      </c>
      <c r="Q1" s="124" t="s">
        <v>6900</v>
      </c>
      <c r="R1" s="124" t="s">
        <v>6901</v>
      </c>
      <c r="S1" s="124" t="s">
        <v>6902</v>
      </c>
    </row>
    <row r="2">
      <c r="A2" s="104"/>
      <c r="B2" s="104"/>
      <c r="C2" s="104" t="s">
        <v>5469</v>
      </c>
      <c r="D2" s="104" t="s">
        <v>5470</v>
      </c>
      <c r="E2" s="104" t="s">
        <v>5470</v>
      </c>
      <c r="F2" s="104" t="s">
        <v>5470</v>
      </c>
      <c r="G2" s="104" t="s">
        <v>5471</v>
      </c>
      <c r="H2" s="108" t="s">
        <v>5472</v>
      </c>
      <c r="I2" s="109"/>
      <c r="J2" s="110">
        <v>0.1</v>
      </c>
      <c r="K2" s="110">
        <v>0.2</v>
      </c>
      <c r="L2" s="125"/>
      <c r="M2" s="126"/>
      <c r="N2" s="127"/>
      <c r="O2" s="127"/>
      <c r="P2" s="128">
        <v>0.0</v>
      </c>
      <c r="Q2" s="128">
        <v>0.0</v>
      </c>
      <c r="R2" s="128">
        <v>-0.2</v>
      </c>
      <c r="S2" s="128">
        <v>-0.2</v>
      </c>
    </row>
    <row r="3">
      <c r="A3" s="69" t="s">
        <v>3359</v>
      </c>
      <c r="B3" s="69" t="s">
        <v>5473</v>
      </c>
      <c r="C3" s="112" t="s">
        <v>5474</v>
      </c>
      <c r="D3" s="101">
        <v>42817.0</v>
      </c>
      <c r="E3" s="69" t="s">
        <v>3360</v>
      </c>
      <c r="F3" s="69" t="s">
        <v>5475</v>
      </c>
      <c r="G3" s="69" t="s">
        <v>376</v>
      </c>
      <c r="H3" s="113" t="s">
        <v>1369</v>
      </c>
      <c r="I3" s="114">
        <f t="array" ref="I3">XLOOKUP(G3,KLUS!$A$2:$A$2010,KLUS!$E$2:$E$2010)+XLOOKUP(H3,KLUS!$A$2:$A$2010,KLUS!$E$2:$E$2010)</f>
        <v>27.3</v>
      </c>
      <c r="J3" s="114">
        <f t="shared" ref="J3:J521" si="1">I3*(1-$J$2)</f>
        <v>24.57</v>
      </c>
      <c r="K3" s="115">
        <f t="shared" ref="K3:K521" si="2">J3*(1-$K$2)</f>
        <v>19.656</v>
      </c>
      <c r="L3" s="125">
        <f t="shared" ref="L3:L15" si="3">ROUND(M3/1.23,100)</f>
        <v>24.55284553</v>
      </c>
      <c r="M3" s="129">
        <f t="shared" ref="M3:M30" si="4">ROUND(J3*1.23,1)</f>
        <v>30.2</v>
      </c>
      <c r="N3" s="127">
        <f t="shared" ref="N3:N23" si="5">round(L3*0.8,1)</f>
        <v>19.6</v>
      </c>
      <c r="O3" s="127">
        <f t="shared" ref="O3:O16" si="6">round(N3*1.23,100)</f>
        <v>24.108</v>
      </c>
    </row>
    <row r="4">
      <c r="A4" s="69" t="s">
        <v>3361</v>
      </c>
      <c r="B4" s="69" t="s">
        <v>5473</v>
      </c>
      <c r="C4" s="112" t="s">
        <v>5476</v>
      </c>
      <c r="D4" s="130">
        <v>42817.0</v>
      </c>
      <c r="E4" s="69" t="s">
        <v>3362</v>
      </c>
      <c r="F4" s="69" t="s">
        <v>5477</v>
      </c>
      <c r="G4" s="69" t="s">
        <v>376</v>
      </c>
      <c r="H4" s="116" t="s">
        <v>1356</v>
      </c>
      <c r="I4" s="114">
        <f t="array" ref="I4">XLOOKUP(G4,KLUS!$A$2:$A$2010,KLUS!$E$2:$E$2010)+XLOOKUP(H4,KLUS!$A$2:$A$2010,KLUS!$E$2:$E$2010)</f>
        <v>21.5</v>
      </c>
      <c r="J4" s="114">
        <f t="shared" si="1"/>
        <v>19.35</v>
      </c>
      <c r="K4" s="115">
        <f t="shared" si="2"/>
        <v>15.48</v>
      </c>
      <c r="L4" s="125">
        <f t="shared" si="3"/>
        <v>19.3495935</v>
      </c>
      <c r="M4" s="129">
        <f t="shared" si="4"/>
        <v>23.8</v>
      </c>
      <c r="N4" s="127">
        <f t="shared" si="5"/>
        <v>15.5</v>
      </c>
      <c r="O4" s="127">
        <f t="shared" si="6"/>
        <v>19.065</v>
      </c>
    </row>
    <row r="5">
      <c r="A5" s="69" t="s">
        <v>3363</v>
      </c>
      <c r="B5" s="69" t="s">
        <v>5473</v>
      </c>
      <c r="C5" s="112" t="s">
        <v>5478</v>
      </c>
      <c r="D5" s="101">
        <v>42907.0</v>
      </c>
      <c r="E5" s="69" t="s">
        <v>3364</v>
      </c>
      <c r="F5" s="69" t="s">
        <v>5479</v>
      </c>
      <c r="G5" s="69" t="s">
        <v>376</v>
      </c>
      <c r="H5" s="113" t="s">
        <v>1406</v>
      </c>
      <c r="I5" s="114">
        <f t="array" ref="I5">XLOOKUP(G5,KLUS!$A$2:$A$2010,KLUS!$E$2:$E$2010)+XLOOKUP(H5,KLUS!$A$2:$A$2010,KLUS!$E$2:$E$2010)</f>
        <v>33.7</v>
      </c>
      <c r="J5" s="114">
        <f t="shared" si="1"/>
        <v>30.33</v>
      </c>
      <c r="K5" s="115">
        <f t="shared" si="2"/>
        <v>24.264</v>
      </c>
      <c r="L5" s="125">
        <f t="shared" si="3"/>
        <v>30.32520325</v>
      </c>
      <c r="M5" s="129">
        <f t="shared" si="4"/>
        <v>37.3</v>
      </c>
      <c r="N5" s="127">
        <f t="shared" si="5"/>
        <v>24.3</v>
      </c>
      <c r="O5" s="127">
        <f t="shared" si="6"/>
        <v>29.889</v>
      </c>
    </row>
    <row r="6">
      <c r="A6" s="69" t="s">
        <v>3365</v>
      </c>
      <c r="B6" s="69" t="s">
        <v>5473</v>
      </c>
      <c r="C6" s="112" t="s">
        <v>5480</v>
      </c>
      <c r="D6" s="130">
        <v>42907.0</v>
      </c>
      <c r="E6" s="69" t="s">
        <v>3366</v>
      </c>
      <c r="F6" s="69" t="s">
        <v>5481</v>
      </c>
      <c r="G6" s="69" t="s">
        <v>376</v>
      </c>
      <c r="H6" s="113" t="s">
        <v>1376</v>
      </c>
      <c r="I6" s="114">
        <f t="array" ref="I6">XLOOKUP(G6,KLUS!$A$2:$A$2010,KLUS!$E$2:$E$2010)+XLOOKUP(H6,KLUS!$A$2:$A$2010,KLUS!$E$2:$E$2010)</f>
        <v>27.3</v>
      </c>
      <c r="J6" s="114">
        <f t="shared" si="1"/>
        <v>24.57</v>
      </c>
      <c r="K6" s="115">
        <f t="shared" si="2"/>
        <v>19.656</v>
      </c>
      <c r="L6" s="125">
        <f t="shared" si="3"/>
        <v>24.55284553</v>
      </c>
      <c r="M6" s="129">
        <f t="shared" si="4"/>
        <v>30.2</v>
      </c>
      <c r="N6" s="127">
        <f t="shared" si="5"/>
        <v>19.6</v>
      </c>
      <c r="O6" s="127">
        <f t="shared" si="6"/>
        <v>24.108</v>
      </c>
    </row>
    <row r="7">
      <c r="A7" s="69" t="s">
        <v>3367</v>
      </c>
      <c r="B7" s="69" t="s">
        <v>5473</v>
      </c>
      <c r="C7" s="112" t="s">
        <v>5482</v>
      </c>
      <c r="D7" s="101">
        <v>42909.0</v>
      </c>
      <c r="E7" s="69" t="s">
        <v>3368</v>
      </c>
      <c r="F7" s="69" t="s">
        <v>5483</v>
      </c>
      <c r="G7" s="69" t="s">
        <v>376</v>
      </c>
      <c r="H7" s="113" t="s">
        <v>1363</v>
      </c>
      <c r="I7" s="114">
        <f t="array" ref="I7">XLOOKUP(G7,KLUS!$A$2:$A$2010,KLUS!$E$2:$E$2010)+XLOOKUP(H7,KLUS!$A$2:$A$2010,KLUS!$E$2:$E$2010)</f>
        <v>21.5</v>
      </c>
      <c r="J7" s="114">
        <f t="shared" si="1"/>
        <v>19.35</v>
      </c>
      <c r="K7" s="115">
        <f t="shared" si="2"/>
        <v>15.48</v>
      </c>
      <c r="L7" s="125">
        <f t="shared" si="3"/>
        <v>19.3495935</v>
      </c>
      <c r="M7" s="129">
        <f t="shared" si="4"/>
        <v>23.8</v>
      </c>
      <c r="N7" s="127">
        <f t="shared" si="5"/>
        <v>15.5</v>
      </c>
      <c r="O7" s="127">
        <f t="shared" si="6"/>
        <v>19.065</v>
      </c>
    </row>
    <row r="8">
      <c r="A8" s="69" t="s">
        <v>3371</v>
      </c>
      <c r="B8" s="69" t="s">
        <v>5473</v>
      </c>
      <c r="C8" s="112" t="s">
        <v>5484</v>
      </c>
      <c r="D8" s="130">
        <v>42909.0</v>
      </c>
      <c r="E8" s="69" t="s">
        <v>3372</v>
      </c>
      <c r="F8" s="69" t="s">
        <v>5485</v>
      </c>
      <c r="G8" s="69" t="s">
        <v>379</v>
      </c>
      <c r="H8" s="113" t="s">
        <v>1372</v>
      </c>
      <c r="I8" s="114">
        <f t="array" ref="I8">XLOOKUP(G8,KLUS!$A$2:$A$2010,KLUS!$E$2:$E$2010)+XLOOKUP(H8,KLUS!$A$2:$A$2010,KLUS!$E$2:$E$2010)</f>
        <v>54.5</v>
      </c>
      <c r="J8" s="114">
        <f t="shared" si="1"/>
        <v>49.05</v>
      </c>
      <c r="K8" s="115">
        <f t="shared" si="2"/>
        <v>39.24</v>
      </c>
      <c r="L8" s="125">
        <f t="shared" si="3"/>
        <v>49.02439024</v>
      </c>
      <c r="M8" s="129">
        <f t="shared" si="4"/>
        <v>60.3</v>
      </c>
      <c r="N8" s="127">
        <f t="shared" si="5"/>
        <v>39.2</v>
      </c>
      <c r="O8" s="127">
        <f t="shared" si="6"/>
        <v>48.216</v>
      </c>
    </row>
    <row r="9">
      <c r="A9" s="69" t="s">
        <v>3373</v>
      </c>
      <c r="B9" s="69" t="s">
        <v>5486</v>
      </c>
      <c r="C9" s="112" t="s">
        <v>5487</v>
      </c>
      <c r="D9" s="69"/>
      <c r="E9" s="69" t="s">
        <v>3374</v>
      </c>
      <c r="F9" s="69" t="s">
        <v>5488</v>
      </c>
      <c r="G9" s="69" t="s">
        <v>379</v>
      </c>
      <c r="H9" s="113" t="s">
        <v>1359</v>
      </c>
      <c r="I9" s="114">
        <f t="array" ref="I9">XLOOKUP(G9,KLUS!$A$2:$A$2010,KLUS!$E$2:$E$2010)+XLOOKUP(H9,KLUS!$A$2:$A$2010,KLUS!$E$2:$E$2010)</f>
        <v>43</v>
      </c>
      <c r="J9" s="114">
        <f t="shared" si="1"/>
        <v>38.7</v>
      </c>
      <c r="K9" s="115">
        <f t="shared" si="2"/>
        <v>30.96</v>
      </c>
      <c r="L9" s="125">
        <f t="shared" si="3"/>
        <v>38.69918699</v>
      </c>
      <c r="M9" s="129">
        <f t="shared" si="4"/>
        <v>47.6</v>
      </c>
      <c r="N9" s="127">
        <f t="shared" si="5"/>
        <v>31</v>
      </c>
      <c r="O9" s="127">
        <f t="shared" si="6"/>
        <v>38.13</v>
      </c>
    </row>
    <row r="10">
      <c r="A10" s="69" t="s">
        <v>3375</v>
      </c>
      <c r="B10" s="69" t="s">
        <v>5473</v>
      </c>
      <c r="C10" s="112" t="s">
        <v>5489</v>
      </c>
      <c r="D10" s="101">
        <v>342.0</v>
      </c>
      <c r="E10" s="69" t="s">
        <v>3376</v>
      </c>
      <c r="F10" s="69" t="s">
        <v>5490</v>
      </c>
      <c r="G10" s="69" t="s">
        <v>379</v>
      </c>
      <c r="H10" s="113" t="s">
        <v>1408</v>
      </c>
      <c r="I10" s="114">
        <f t="array" ref="I10">XLOOKUP(G10,KLUS!$A$2:$A$2010,KLUS!$E$2:$E$2010)+XLOOKUP(H10,KLUS!$A$2:$A$2010,KLUS!$E$2:$E$2010)</f>
        <v>67.4</v>
      </c>
      <c r="J10" s="114">
        <f t="shared" si="1"/>
        <v>60.66</v>
      </c>
      <c r="K10" s="115">
        <f t="shared" si="2"/>
        <v>48.528</v>
      </c>
      <c r="L10" s="125">
        <f t="shared" si="3"/>
        <v>60.6504065</v>
      </c>
      <c r="M10" s="129">
        <f t="shared" si="4"/>
        <v>74.6</v>
      </c>
      <c r="N10" s="127">
        <f t="shared" si="5"/>
        <v>48.5</v>
      </c>
      <c r="O10" s="127">
        <f t="shared" si="6"/>
        <v>59.655</v>
      </c>
    </row>
    <row r="11">
      <c r="A11" s="69" t="s">
        <v>3377</v>
      </c>
      <c r="B11" s="69" t="s">
        <v>5473</v>
      </c>
      <c r="C11" s="112" t="s">
        <v>5491</v>
      </c>
      <c r="D11" s="69"/>
      <c r="E11" s="69" t="s">
        <v>3378</v>
      </c>
      <c r="F11" s="69" t="s">
        <v>5492</v>
      </c>
      <c r="G11" s="69" t="s">
        <v>379</v>
      </c>
      <c r="H11" s="113" t="s">
        <v>1378</v>
      </c>
      <c r="I11" s="114">
        <f t="array" ref="I11">XLOOKUP(G11,KLUS!$A$2:$A$2010,KLUS!$E$2:$E$2010)+XLOOKUP(H11,KLUS!$A$2:$A$2010,KLUS!$E$2:$E$2010)</f>
        <v>54.5</v>
      </c>
      <c r="J11" s="114">
        <f t="shared" si="1"/>
        <v>49.05</v>
      </c>
      <c r="K11" s="115">
        <f t="shared" si="2"/>
        <v>39.24</v>
      </c>
      <c r="L11" s="125">
        <f t="shared" si="3"/>
        <v>49.02439024</v>
      </c>
      <c r="M11" s="129">
        <f t="shared" si="4"/>
        <v>60.3</v>
      </c>
      <c r="N11" s="127">
        <f t="shared" si="5"/>
        <v>39.2</v>
      </c>
      <c r="O11" s="127">
        <f t="shared" si="6"/>
        <v>48.216</v>
      </c>
    </row>
    <row r="12">
      <c r="A12" s="69" t="s">
        <v>3379</v>
      </c>
      <c r="B12" s="69" t="s">
        <v>5473</v>
      </c>
      <c r="C12" s="112" t="s">
        <v>5493</v>
      </c>
      <c r="D12" s="69"/>
      <c r="E12" s="69" t="s">
        <v>3380</v>
      </c>
      <c r="F12" s="69" t="s">
        <v>5494</v>
      </c>
      <c r="G12" s="69" t="s">
        <v>379</v>
      </c>
      <c r="H12" s="113" t="s">
        <v>1365</v>
      </c>
      <c r="I12" s="114">
        <f t="array" ref="I12">XLOOKUP(G12,KLUS!$A$2:$A$2010,KLUS!$E$2:$E$2010)+XLOOKUP(H12,KLUS!$A$2:$A$2010,KLUS!$E$2:$E$2010)</f>
        <v>43</v>
      </c>
      <c r="J12" s="114">
        <f t="shared" si="1"/>
        <v>38.7</v>
      </c>
      <c r="K12" s="115">
        <f t="shared" si="2"/>
        <v>30.96</v>
      </c>
      <c r="L12" s="125">
        <f t="shared" si="3"/>
        <v>38.69918699</v>
      </c>
      <c r="M12" s="129">
        <f t="shared" si="4"/>
        <v>47.6</v>
      </c>
      <c r="N12" s="127">
        <f t="shared" si="5"/>
        <v>31</v>
      </c>
      <c r="O12" s="127">
        <f t="shared" si="6"/>
        <v>38.13</v>
      </c>
    </row>
    <row r="13">
      <c r="A13" s="69" t="s">
        <v>3383</v>
      </c>
      <c r="B13" s="69" t="s">
        <v>5473</v>
      </c>
      <c r="C13" s="112" t="s">
        <v>5495</v>
      </c>
      <c r="D13" s="69"/>
      <c r="E13" s="69" t="s">
        <v>3384</v>
      </c>
      <c r="F13" s="69" t="s">
        <v>5496</v>
      </c>
      <c r="G13" s="69" t="s">
        <v>381</v>
      </c>
      <c r="H13" s="117" t="s">
        <v>1374</v>
      </c>
      <c r="I13" s="114">
        <f t="array" ref="I13">XLOOKUP(G13,KLUS!$A$2:$A$2010,KLUS!$E$2:$E$2010)+XLOOKUP(H13,KLUS!$A$2:$A$2010,KLUS!$E$2:$E$2010)</f>
        <v>81.7</v>
      </c>
      <c r="J13" s="114">
        <f t="shared" si="1"/>
        <v>73.53</v>
      </c>
      <c r="K13" s="115">
        <f t="shared" si="2"/>
        <v>58.824</v>
      </c>
      <c r="L13" s="125">
        <f t="shared" si="3"/>
        <v>73.49593496</v>
      </c>
      <c r="M13" s="129">
        <f t="shared" si="4"/>
        <v>90.4</v>
      </c>
      <c r="N13" s="127">
        <f t="shared" si="5"/>
        <v>58.8</v>
      </c>
      <c r="O13" s="127">
        <f t="shared" si="6"/>
        <v>72.324</v>
      </c>
    </row>
    <row r="14">
      <c r="A14" s="69" t="s">
        <v>3385</v>
      </c>
      <c r="B14" s="69" t="s">
        <v>5473</v>
      </c>
      <c r="C14" s="112" t="s">
        <v>5497</v>
      </c>
      <c r="D14" s="69"/>
      <c r="E14" s="69" t="s">
        <v>3386</v>
      </c>
      <c r="F14" s="69" t="s">
        <v>5498</v>
      </c>
      <c r="G14" s="69" t="s">
        <v>381</v>
      </c>
      <c r="H14" s="113" t="s">
        <v>1361</v>
      </c>
      <c r="I14" s="114">
        <f t="array" ref="I14">XLOOKUP(G14,KLUS!$A$2:$A$2010,KLUS!$E$2:$E$2010)+XLOOKUP(H14,KLUS!$A$2:$A$2010,KLUS!$E$2:$E$2010)</f>
        <v>64.4</v>
      </c>
      <c r="J14" s="114">
        <f t="shared" si="1"/>
        <v>57.96</v>
      </c>
      <c r="K14" s="115">
        <f t="shared" si="2"/>
        <v>46.368</v>
      </c>
      <c r="L14" s="125">
        <f t="shared" si="3"/>
        <v>57.96747967</v>
      </c>
      <c r="M14" s="129">
        <f t="shared" si="4"/>
        <v>71.3</v>
      </c>
      <c r="N14" s="127">
        <f t="shared" si="5"/>
        <v>46.4</v>
      </c>
      <c r="O14" s="127">
        <f t="shared" si="6"/>
        <v>57.072</v>
      </c>
    </row>
    <row r="15">
      <c r="A15" s="69" t="s">
        <v>3387</v>
      </c>
      <c r="B15" s="69" t="s">
        <v>5473</v>
      </c>
      <c r="C15" s="112" t="s">
        <v>5499</v>
      </c>
      <c r="D15" s="69"/>
      <c r="E15" s="69" t="s">
        <v>3388</v>
      </c>
      <c r="F15" s="69" t="s">
        <v>5500</v>
      </c>
      <c r="G15" s="69" t="s">
        <v>381</v>
      </c>
      <c r="H15" s="113" t="s">
        <v>1410</v>
      </c>
      <c r="I15" s="114">
        <f t="array" ref="I15">XLOOKUP(G15,KLUS!$A$2:$A$2010,KLUS!$E$2:$E$2010)+XLOOKUP(H15,KLUS!$A$2:$A$2010,KLUS!$E$2:$E$2010)</f>
        <v>101</v>
      </c>
      <c r="J15" s="114">
        <f t="shared" si="1"/>
        <v>90.9</v>
      </c>
      <c r="K15" s="115">
        <f t="shared" si="2"/>
        <v>72.72</v>
      </c>
      <c r="L15" s="125">
        <f t="shared" si="3"/>
        <v>90.89430894</v>
      </c>
      <c r="M15" s="129">
        <f t="shared" si="4"/>
        <v>111.8</v>
      </c>
      <c r="N15" s="127">
        <f t="shared" si="5"/>
        <v>72.7</v>
      </c>
      <c r="O15" s="127">
        <f t="shared" si="6"/>
        <v>89.421</v>
      </c>
    </row>
    <row r="16">
      <c r="A16" s="69" t="s">
        <v>3389</v>
      </c>
      <c r="B16" s="69" t="s">
        <v>5473</v>
      </c>
      <c r="C16" s="112" t="s">
        <v>5495</v>
      </c>
      <c r="D16" s="69"/>
      <c r="E16" s="69" t="s">
        <v>3390</v>
      </c>
      <c r="F16" s="69" t="s">
        <v>5501</v>
      </c>
      <c r="G16" s="69" t="s">
        <v>381</v>
      </c>
      <c r="H16" s="113" t="s">
        <v>1380</v>
      </c>
      <c r="I16" s="114">
        <f t="array" ref="I16">XLOOKUP(G16,KLUS!$A$2:$A$2010,KLUS!$E$2:$E$2010)+XLOOKUP(H16,KLUS!$A$2:$A$2010,KLUS!$E$2:$E$2010)</f>
        <v>81.7</v>
      </c>
      <c r="J16" s="114">
        <f t="shared" si="1"/>
        <v>73.53</v>
      </c>
      <c r="K16" s="115">
        <f t="shared" si="2"/>
        <v>58.824</v>
      </c>
      <c r="L16" s="125"/>
      <c r="M16" s="129">
        <f t="shared" si="4"/>
        <v>90.4</v>
      </c>
      <c r="N16" s="127">
        <f t="shared" si="5"/>
        <v>0</v>
      </c>
      <c r="O16" s="127">
        <f t="shared" si="6"/>
        <v>0</v>
      </c>
    </row>
    <row r="17">
      <c r="A17" s="69" t="s">
        <v>3391</v>
      </c>
      <c r="B17" s="69" t="s">
        <v>5473</v>
      </c>
      <c r="C17" s="112" t="s">
        <v>5497</v>
      </c>
      <c r="D17" s="69"/>
      <c r="E17" s="69" t="s">
        <v>3392</v>
      </c>
      <c r="F17" s="69" t="s">
        <v>5502</v>
      </c>
      <c r="G17" s="69" t="s">
        <v>381</v>
      </c>
      <c r="H17" s="113" t="s">
        <v>1367</v>
      </c>
      <c r="I17" s="114">
        <f t="array" ref="I17">XLOOKUP(G17,KLUS!$A$2:$A$2010,KLUS!$E$2:$E$2010)+XLOOKUP(H17,KLUS!$A$2:$A$2010,KLUS!$E$2:$E$2010)</f>
        <v>64.4</v>
      </c>
      <c r="J17" s="114">
        <f t="shared" si="1"/>
        <v>57.96</v>
      </c>
      <c r="K17" s="115">
        <f t="shared" si="2"/>
        <v>46.368</v>
      </c>
      <c r="L17" s="125"/>
      <c r="M17" s="129">
        <f t="shared" si="4"/>
        <v>71.3</v>
      </c>
      <c r="N17" s="127">
        <f t="shared" si="5"/>
        <v>0</v>
      </c>
      <c r="O17" s="127"/>
    </row>
    <row r="18">
      <c r="A18" s="69" t="s">
        <v>3397</v>
      </c>
      <c r="B18" s="69" t="s">
        <v>5473</v>
      </c>
      <c r="C18" s="112" t="s">
        <v>5503</v>
      </c>
      <c r="D18" s="69"/>
      <c r="E18" s="69" t="s">
        <v>3398</v>
      </c>
      <c r="F18" s="69" t="s">
        <v>5504</v>
      </c>
      <c r="G18" s="69" t="s">
        <v>390</v>
      </c>
      <c r="H18" s="113" t="s">
        <v>1369</v>
      </c>
      <c r="I18" s="114">
        <f t="array" ref="I18">XLOOKUP(G18,KLUS!$A$2:$A$2010,KLUS!$E$2:$E$2010)+XLOOKUP(H18,KLUS!$A$2:$A$2010,KLUS!$E$2:$E$2010)</f>
        <v>35.6</v>
      </c>
      <c r="J18" s="114">
        <f t="shared" si="1"/>
        <v>32.04</v>
      </c>
      <c r="K18" s="115">
        <f t="shared" si="2"/>
        <v>25.632</v>
      </c>
      <c r="L18" s="125"/>
      <c r="M18" s="129">
        <f t="shared" si="4"/>
        <v>39.4</v>
      </c>
      <c r="N18" s="127">
        <f t="shared" si="5"/>
        <v>0</v>
      </c>
      <c r="O18" s="127"/>
    </row>
    <row r="19">
      <c r="A19" s="69" t="s">
        <v>3399</v>
      </c>
      <c r="B19" s="69" t="s">
        <v>5473</v>
      </c>
      <c r="C19" s="112" t="s">
        <v>5505</v>
      </c>
      <c r="D19" s="69"/>
      <c r="E19" s="69" t="s">
        <v>3400</v>
      </c>
      <c r="F19" s="69" t="s">
        <v>5506</v>
      </c>
      <c r="G19" s="69" t="s">
        <v>390</v>
      </c>
      <c r="H19" s="113" t="s">
        <v>1356</v>
      </c>
      <c r="I19" s="114">
        <f t="array" ref="I19">XLOOKUP(G19,KLUS!$A$2:$A$2010,KLUS!$E$2:$E$2010)+XLOOKUP(H19,KLUS!$A$2:$A$2010,KLUS!$E$2:$E$2010)</f>
        <v>29.8</v>
      </c>
      <c r="J19" s="114">
        <f t="shared" si="1"/>
        <v>26.82</v>
      </c>
      <c r="K19" s="115">
        <f t="shared" si="2"/>
        <v>21.456</v>
      </c>
      <c r="L19" s="125"/>
      <c r="M19" s="129">
        <f t="shared" si="4"/>
        <v>33</v>
      </c>
      <c r="N19" s="127">
        <f t="shared" si="5"/>
        <v>0</v>
      </c>
      <c r="O19" s="127"/>
    </row>
    <row r="20">
      <c r="A20" s="69" t="s">
        <v>3401</v>
      </c>
      <c r="B20" s="69" t="s">
        <v>5473</v>
      </c>
      <c r="C20" s="112" t="s">
        <v>5503</v>
      </c>
      <c r="D20" s="69"/>
      <c r="E20" s="69" t="s">
        <v>3402</v>
      </c>
      <c r="F20" s="69" t="s">
        <v>5507</v>
      </c>
      <c r="G20" s="69" t="s">
        <v>390</v>
      </c>
      <c r="H20" s="113" t="s">
        <v>1376</v>
      </c>
      <c r="I20" s="114">
        <f t="array" ref="I20">XLOOKUP(G20,KLUS!$A$2:$A$2010,KLUS!$E$2:$E$2010)+XLOOKUP(H20,KLUS!$A$2:$A$2010,KLUS!$E$2:$E$2010)</f>
        <v>35.6</v>
      </c>
      <c r="J20" s="114">
        <f t="shared" si="1"/>
        <v>32.04</v>
      </c>
      <c r="K20" s="115">
        <f t="shared" si="2"/>
        <v>25.632</v>
      </c>
      <c r="L20" s="125"/>
      <c r="M20" s="129">
        <f t="shared" si="4"/>
        <v>39.4</v>
      </c>
      <c r="N20" s="127">
        <f t="shared" si="5"/>
        <v>0</v>
      </c>
      <c r="O20" s="127"/>
    </row>
    <row r="21">
      <c r="A21" s="69" t="s">
        <v>3403</v>
      </c>
      <c r="B21" s="69" t="s">
        <v>5473</v>
      </c>
      <c r="C21" s="112" t="s">
        <v>5505</v>
      </c>
      <c r="D21" s="69"/>
      <c r="E21" s="69" t="s">
        <v>3404</v>
      </c>
      <c r="F21" s="69" t="s">
        <v>5508</v>
      </c>
      <c r="G21" s="69" t="s">
        <v>390</v>
      </c>
      <c r="H21" s="113" t="s">
        <v>1363</v>
      </c>
      <c r="I21" s="114">
        <f t="array" ref="I21">XLOOKUP(G21,KLUS!$A$2:$A$2010,KLUS!$E$2:$E$2010)+XLOOKUP(H21,KLUS!$A$2:$A$2010,KLUS!$E$2:$E$2010)</f>
        <v>29.8</v>
      </c>
      <c r="J21" s="114">
        <f t="shared" si="1"/>
        <v>26.82</v>
      </c>
      <c r="K21" s="115">
        <f t="shared" si="2"/>
        <v>21.456</v>
      </c>
      <c r="L21" s="125"/>
      <c r="M21" s="129">
        <f t="shared" si="4"/>
        <v>33</v>
      </c>
      <c r="N21" s="127">
        <f t="shared" si="5"/>
        <v>0</v>
      </c>
      <c r="O21" s="127"/>
    </row>
    <row r="22">
      <c r="A22" s="69" t="s">
        <v>3407</v>
      </c>
      <c r="B22" s="69" t="s">
        <v>5486</v>
      </c>
      <c r="C22" s="112" t="s">
        <v>5484</v>
      </c>
      <c r="D22" s="69"/>
      <c r="E22" s="69" t="s">
        <v>3408</v>
      </c>
      <c r="F22" s="69" t="s">
        <v>5509</v>
      </c>
      <c r="G22" s="69" t="s">
        <v>403</v>
      </c>
      <c r="H22" s="113" t="s">
        <v>1369</v>
      </c>
      <c r="I22" s="114">
        <f t="array" ref="I22">XLOOKUP(G22,KLUS!$A$2:$A$2010,KLUS!$E$2:$E$2010)+XLOOKUP(H22,KLUS!$A$2:$A$2010,KLUS!$E$2:$E$2010)</f>
        <v>56.4</v>
      </c>
      <c r="J22" s="114">
        <f t="shared" si="1"/>
        <v>50.76</v>
      </c>
      <c r="K22" s="115">
        <f t="shared" si="2"/>
        <v>40.608</v>
      </c>
      <c r="L22" s="125"/>
      <c r="M22" s="129">
        <f t="shared" si="4"/>
        <v>62.4</v>
      </c>
      <c r="N22" s="127">
        <f t="shared" si="5"/>
        <v>0</v>
      </c>
      <c r="O22" s="127"/>
    </row>
    <row r="23">
      <c r="A23" s="69" t="s">
        <v>3411</v>
      </c>
      <c r="B23" s="69" t="s">
        <v>5473</v>
      </c>
      <c r="C23" s="112" t="s">
        <v>5510</v>
      </c>
      <c r="D23" s="69"/>
      <c r="E23" s="69" t="s">
        <v>5511</v>
      </c>
      <c r="F23" s="69" t="s">
        <v>5512</v>
      </c>
      <c r="G23" s="69" t="s">
        <v>396</v>
      </c>
      <c r="H23" s="113" t="s">
        <v>1369</v>
      </c>
      <c r="I23" s="114">
        <f t="array" ref="I23">XLOOKUP(G23,KLUS!$A$2:$A$2010,KLUS!$E$2:$E$2010)+XLOOKUP(H23,KLUS!$A$2:$A$2010,KLUS!$E$2:$E$2010)</f>
        <v>39.7</v>
      </c>
      <c r="J23" s="114">
        <f t="shared" si="1"/>
        <v>35.73</v>
      </c>
      <c r="K23" s="115">
        <f t="shared" si="2"/>
        <v>28.584</v>
      </c>
      <c r="L23" s="125"/>
      <c r="M23" s="129">
        <f t="shared" si="4"/>
        <v>43.9</v>
      </c>
      <c r="N23" s="127">
        <f t="shared" si="5"/>
        <v>0</v>
      </c>
      <c r="O23" s="127"/>
    </row>
    <row r="24">
      <c r="A24" s="69" t="s">
        <v>3415</v>
      </c>
      <c r="B24" s="69" t="s">
        <v>5473</v>
      </c>
      <c r="C24" s="112" t="s">
        <v>5513</v>
      </c>
      <c r="D24" s="69"/>
      <c r="E24" s="69" t="s">
        <v>3416</v>
      </c>
      <c r="F24" s="69" t="s">
        <v>5514</v>
      </c>
      <c r="G24" s="69" t="s">
        <v>383</v>
      </c>
      <c r="H24" s="113" t="s">
        <v>1369</v>
      </c>
      <c r="I24" s="114">
        <f t="array" ref="I24">XLOOKUP(G24,KLUS!$A$2:$A$2010,KLUS!$E$2:$E$2010)+XLOOKUP(H24,KLUS!$A$2:$A$2010,KLUS!$E$2:$E$2010)</f>
        <v>32.5</v>
      </c>
      <c r="J24" s="114">
        <f t="shared" si="1"/>
        <v>29.25</v>
      </c>
      <c r="K24" s="115">
        <f t="shared" si="2"/>
        <v>23.4</v>
      </c>
      <c r="L24" s="125"/>
      <c r="M24" s="129">
        <f t="shared" si="4"/>
        <v>36</v>
      </c>
      <c r="N24" s="127"/>
      <c r="O24" s="127"/>
    </row>
    <row r="25">
      <c r="A25" s="69" t="s">
        <v>3417</v>
      </c>
      <c r="B25" s="69" t="s">
        <v>5473</v>
      </c>
      <c r="C25" s="112" t="s">
        <v>5505</v>
      </c>
      <c r="D25" s="69"/>
      <c r="E25" s="69" t="s">
        <v>3418</v>
      </c>
      <c r="F25" s="69" t="s">
        <v>5515</v>
      </c>
      <c r="G25" s="69" t="s">
        <v>383</v>
      </c>
      <c r="H25" s="113" t="s">
        <v>1356</v>
      </c>
      <c r="I25" s="114">
        <f t="array" ref="I25">XLOOKUP(G25,KLUS!$A$2:$A$2010,KLUS!$E$2:$E$2010)+XLOOKUP(H25,KLUS!$A$2:$A$2010,KLUS!$E$2:$E$2010)</f>
        <v>26.7</v>
      </c>
      <c r="J25" s="114">
        <f t="shared" si="1"/>
        <v>24.03</v>
      </c>
      <c r="K25" s="115">
        <f t="shared" si="2"/>
        <v>19.224</v>
      </c>
      <c r="L25" s="125"/>
      <c r="M25" s="129">
        <f t="shared" si="4"/>
        <v>29.6</v>
      </c>
      <c r="N25" s="127"/>
      <c r="O25" s="127"/>
    </row>
    <row r="26">
      <c r="A26" s="69" t="s">
        <v>3419</v>
      </c>
      <c r="B26" s="69" t="s">
        <v>5473</v>
      </c>
      <c r="C26" s="112" t="s">
        <v>5513</v>
      </c>
      <c r="D26" s="69"/>
      <c r="E26" s="69" t="s">
        <v>3420</v>
      </c>
      <c r="F26" s="69" t="s">
        <v>5516</v>
      </c>
      <c r="G26" s="69" t="s">
        <v>383</v>
      </c>
      <c r="H26" s="113" t="s">
        <v>1376</v>
      </c>
      <c r="I26" s="114">
        <f t="array" ref="I26">XLOOKUP(G26,KLUS!$A$2:$A$2010,KLUS!$E$2:$E$2010)+XLOOKUP(H26,KLUS!$A$2:$A$2010,KLUS!$E$2:$E$2010)</f>
        <v>32.5</v>
      </c>
      <c r="J26" s="114">
        <f t="shared" si="1"/>
        <v>29.25</v>
      </c>
      <c r="K26" s="115">
        <f t="shared" si="2"/>
        <v>23.4</v>
      </c>
      <c r="L26" s="125"/>
      <c r="M26" s="129">
        <f t="shared" si="4"/>
        <v>36</v>
      </c>
      <c r="N26" s="127"/>
      <c r="O26" s="127"/>
    </row>
    <row r="27">
      <c r="A27" s="69" t="s">
        <v>3421</v>
      </c>
      <c r="B27" s="69" t="s">
        <v>5473</v>
      </c>
      <c r="C27" s="112" t="s">
        <v>5517</v>
      </c>
      <c r="D27" s="69"/>
      <c r="E27" s="69" t="s">
        <v>3422</v>
      </c>
      <c r="F27" s="69" t="s">
        <v>5518</v>
      </c>
      <c r="G27" s="69" t="s">
        <v>383</v>
      </c>
      <c r="H27" s="113" t="s">
        <v>1363</v>
      </c>
      <c r="I27" s="114">
        <f t="array" ref="I27">XLOOKUP(G27,KLUS!$A$2:$A$2010,KLUS!$E$2:$E$2010)+XLOOKUP(H27,KLUS!$A$2:$A$2010,KLUS!$E$2:$E$2010)</f>
        <v>26.7</v>
      </c>
      <c r="J27" s="114">
        <f t="shared" si="1"/>
        <v>24.03</v>
      </c>
      <c r="K27" s="115">
        <f t="shared" si="2"/>
        <v>19.224</v>
      </c>
      <c r="L27" s="125"/>
      <c r="M27" s="129">
        <f t="shared" si="4"/>
        <v>29.6</v>
      </c>
      <c r="N27" s="127"/>
      <c r="O27" s="127"/>
    </row>
    <row r="28">
      <c r="A28" s="69" t="s">
        <v>3427</v>
      </c>
      <c r="B28" s="69" t="s">
        <v>5486</v>
      </c>
      <c r="C28" s="112" t="s">
        <v>5519</v>
      </c>
      <c r="D28" s="69"/>
      <c r="E28" s="69" t="s">
        <v>3428</v>
      </c>
      <c r="F28" s="69" t="s">
        <v>5520</v>
      </c>
      <c r="G28" s="69" t="s">
        <v>392</v>
      </c>
      <c r="H28" s="113" t="s">
        <v>1372</v>
      </c>
      <c r="I28" s="114">
        <f t="array" ref="I28">XLOOKUP(G28,KLUS!$A$2:$A$2010,KLUS!$E$2:$E$2010)+XLOOKUP(H28,KLUS!$A$2:$A$2010,KLUS!$E$2:$E$2010)</f>
        <v>71.2</v>
      </c>
      <c r="J28" s="114">
        <f t="shared" si="1"/>
        <v>64.08</v>
      </c>
      <c r="K28" s="115">
        <f t="shared" si="2"/>
        <v>51.264</v>
      </c>
      <c r="L28" s="125"/>
      <c r="M28" s="129">
        <f t="shared" si="4"/>
        <v>78.8</v>
      </c>
      <c r="N28" s="131"/>
      <c r="O28" s="127"/>
    </row>
    <row r="29">
      <c r="A29" s="69" t="s">
        <v>3429</v>
      </c>
      <c r="B29" s="69" t="s">
        <v>5486</v>
      </c>
      <c r="C29" s="112" t="s">
        <v>5521</v>
      </c>
      <c r="D29" s="69"/>
      <c r="E29" s="69" t="s">
        <v>3430</v>
      </c>
      <c r="F29" s="69" t="s">
        <v>5522</v>
      </c>
      <c r="G29" s="69" t="s">
        <v>392</v>
      </c>
      <c r="H29" s="113" t="s">
        <v>1359</v>
      </c>
      <c r="I29" s="114">
        <f t="array" ref="I29">XLOOKUP(G29,KLUS!$A$2:$A$2010,KLUS!$E$2:$E$2010)+XLOOKUP(H29,KLUS!$A$2:$A$2010,KLUS!$E$2:$E$2010)</f>
        <v>59.7</v>
      </c>
      <c r="J29" s="114">
        <f t="shared" si="1"/>
        <v>53.73</v>
      </c>
      <c r="K29" s="115">
        <f t="shared" si="2"/>
        <v>42.984</v>
      </c>
      <c r="L29" s="125"/>
      <c r="M29" s="129">
        <f t="shared" si="4"/>
        <v>66.1</v>
      </c>
      <c r="N29" s="127"/>
      <c r="O29" s="127"/>
    </row>
    <row r="30">
      <c r="A30" s="69" t="s">
        <v>3431</v>
      </c>
      <c r="B30" s="69" t="s">
        <v>5473</v>
      </c>
      <c r="C30" s="112" t="s">
        <v>5519</v>
      </c>
      <c r="D30" s="69"/>
      <c r="E30" s="69" t="s">
        <v>3432</v>
      </c>
      <c r="F30" s="69" t="s">
        <v>5523</v>
      </c>
      <c r="G30" s="69" t="s">
        <v>392</v>
      </c>
      <c r="H30" s="113" t="s">
        <v>1378</v>
      </c>
      <c r="I30" s="114">
        <f t="array" ref="I30">XLOOKUP(G30,KLUS!$A$2:$A$2010,KLUS!$E$2:$E$2010)+XLOOKUP(H30,KLUS!$A$2:$A$2010,KLUS!$E$2:$E$2010)</f>
        <v>71.2</v>
      </c>
      <c r="J30" s="114">
        <f t="shared" si="1"/>
        <v>64.08</v>
      </c>
      <c r="K30" s="115">
        <f t="shared" si="2"/>
        <v>51.264</v>
      </c>
      <c r="L30" s="125"/>
      <c r="M30" s="129">
        <f t="shared" si="4"/>
        <v>78.8</v>
      </c>
      <c r="N30" s="127"/>
      <c r="O30" s="127"/>
    </row>
    <row r="31">
      <c r="A31" s="69" t="s">
        <v>3433</v>
      </c>
      <c r="B31" s="69" t="s">
        <v>5486</v>
      </c>
      <c r="C31" s="112" t="s">
        <v>5521</v>
      </c>
      <c r="D31" s="69"/>
      <c r="E31" s="69" t="s">
        <v>3434</v>
      </c>
      <c r="F31" s="69" t="s">
        <v>5524</v>
      </c>
      <c r="G31" s="69" t="s">
        <v>392</v>
      </c>
      <c r="H31" s="116" t="s">
        <v>1365</v>
      </c>
      <c r="I31" s="114">
        <f t="array" ref="I31">XLOOKUP(G31,KLUS!$A$2:$A$2010,KLUS!$E$2:$E$2010)+XLOOKUP(H31,KLUS!$A$2:$A$2010,KLUS!$E$2:$E$2010)</f>
        <v>59.7</v>
      </c>
      <c r="J31" s="114">
        <f t="shared" si="1"/>
        <v>53.73</v>
      </c>
      <c r="K31" s="115">
        <f t="shared" si="2"/>
        <v>42.984</v>
      </c>
      <c r="L31" s="125"/>
      <c r="M31" s="126"/>
      <c r="N31" s="127"/>
      <c r="O31" s="127"/>
    </row>
    <row r="32">
      <c r="A32" s="69" t="s">
        <v>3437</v>
      </c>
      <c r="B32" s="69" t="s">
        <v>5473</v>
      </c>
      <c r="C32" s="112" t="s">
        <v>5510</v>
      </c>
      <c r="D32" s="69"/>
      <c r="E32" s="69" t="s">
        <v>3438</v>
      </c>
      <c r="F32" s="69" t="s">
        <v>5525</v>
      </c>
      <c r="G32" s="69" t="s">
        <v>405</v>
      </c>
      <c r="H32" s="113" t="s">
        <v>1372</v>
      </c>
      <c r="I32" s="114">
        <f t="array" ref="I32">XLOOKUP(G32,KLUS!$A$2:$A$2010,KLUS!$E$2:$E$2010)+XLOOKUP(H32,KLUS!$A$2:$A$2010,KLUS!$E$2:$E$2010)</f>
        <v>112.6</v>
      </c>
      <c r="J32" s="114">
        <f t="shared" si="1"/>
        <v>101.34</v>
      </c>
      <c r="K32" s="115">
        <f t="shared" si="2"/>
        <v>81.072</v>
      </c>
      <c r="L32" s="125"/>
      <c r="M32" s="126"/>
      <c r="N32" s="127"/>
      <c r="O32" s="127"/>
    </row>
    <row r="33">
      <c r="A33" s="69" t="s">
        <v>3439</v>
      </c>
      <c r="B33" s="69" t="s">
        <v>5473</v>
      </c>
      <c r="C33" s="112" t="s">
        <v>5526</v>
      </c>
      <c r="D33" s="69"/>
      <c r="E33" s="69" t="s">
        <v>3440</v>
      </c>
      <c r="F33" s="69" t="s">
        <v>5527</v>
      </c>
      <c r="G33" s="69" t="s">
        <v>405</v>
      </c>
      <c r="H33" s="116" t="s">
        <v>1359</v>
      </c>
      <c r="I33" s="114">
        <f t="array" ref="I33">XLOOKUP(G33,KLUS!$A$2:$A$2010,KLUS!$E$2:$E$2010)+XLOOKUP(H33,KLUS!$A$2:$A$2010,KLUS!$E$2:$E$2010)</f>
        <v>101.1</v>
      </c>
      <c r="J33" s="114">
        <f t="shared" si="1"/>
        <v>90.99</v>
      </c>
      <c r="K33" s="115">
        <f t="shared" si="2"/>
        <v>72.792</v>
      </c>
      <c r="L33" s="125"/>
      <c r="M33" s="126"/>
      <c r="N33" s="127"/>
      <c r="O33" s="127"/>
    </row>
    <row r="34">
      <c r="A34" s="69" t="s">
        <v>3443</v>
      </c>
      <c r="B34" s="69" t="s">
        <v>5473</v>
      </c>
      <c r="C34" s="112" t="s">
        <v>5510</v>
      </c>
      <c r="D34" s="69"/>
      <c r="E34" s="69" t="s">
        <v>5528</v>
      </c>
      <c r="F34" s="69" t="s">
        <v>5529</v>
      </c>
      <c r="G34" s="69" t="s">
        <v>399</v>
      </c>
      <c r="H34" s="116" t="s">
        <v>1372</v>
      </c>
      <c r="I34" s="114">
        <f t="array" ref="I34">XLOOKUP(G34,KLUS!$A$2:$A$2010,KLUS!$E$2:$E$2010)+XLOOKUP(H34,KLUS!$A$2:$A$2010,KLUS!$E$2:$E$2010)</f>
        <v>79.3</v>
      </c>
      <c r="J34" s="114">
        <f t="shared" si="1"/>
        <v>71.37</v>
      </c>
      <c r="K34" s="115">
        <f t="shared" si="2"/>
        <v>57.096</v>
      </c>
      <c r="L34" s="125"/>
      <c r="M34" s="126"/>
      <c r="N34" s="127"/>
      <c r="O34" s="127"/>
    </row>
    <row r="35">
      <c r="A35" s="69" t="s">
        <v>3449</v>
      </c>
      <c r="B35" s="69" t="s">
        <v>5473</v>
      </c>
      <c r="C35" s="112" t="s">
        <v>5530</v>
      </c>
      <c r="D35" s="69"/>
      <c r="E35" s="69" t="s">
        <v>3450</v>
      </c>
      <c r="F35" s="69" t="s">
        <v>5531</v>
      </c>
      <c r="G35" s="69" t="s">
        <v>386</v>
      </c>
      <c r="H35" s="113" t="s">
        <v>1372</v>
      </c>
      <c r="I35" s="114">
        <f t="array" ref="I35">XLOOKUP(G35,KLUS!$A$2:$A$2010,KLUS!$E$2:$E$2010)+XLOOKUP(H35,KLUS!$A$2:$A$2010,KLUS!$E$2:$E$2010)</f>
        <v>64.9</v>
      </c>
      <c r="J35" s="114">
        <f t="shared" si="1"/>
        <v>58.41</v>
      </c>
      <c r="K35" s="115">
        <f t="shared" si="2"/>
        <v>46.728</v>
      </c>
      <c r="L35" s="125"/>
      <c r="M35" s="126"/>
      <c r="N35" s="127"/>
      <c r="O35" s="127"/>
    </row>
    <row r="36">
      <c r="A36" s="69" t="s">
        <v>3451</v>
      </c>
      <c r="B36" s="69" t="s">
        <v>5486</v>
      </c>
      <c r="C36" s="112" t="s">
        <v>5532</v>
      </c>
      <c r="D36" s="69"/>
      <c r="E36" s="69" t="s">
        <v>3452</v>
      </c>
      <c r="F36" s="69" t="s">
        <v>5533</v>
      </c>
      <c r="G36" s="69" t="s">
        <v>386</v>
      </c>
      <c r="H36" s="116" t="s">
        <v>1359</v>
      </c>
      <c r="I36" s="114">
        <f t="array" ref="I36">XLOOKUP(G36,KLUS!$A$2:$A$2010,KLUS!$E$2:$E$2010)+XLOOKUP(H36,KLUS!$A$2:$A$2010,KLUS!$E$2:$E$2010)</f>
        <v>53.4</v>
      </c>
      <c r="J36" s="114">
        <f t="shared" si="1"/>
        <v>48.06</v>
      </c>
      <c r="K36" s="115">
        <f t="shared" si="2"/>
        <v>38.448</v>
      </c>
      <c r="L36" s="125"/>
      <c r="M36" s="126"/>
      <c r="N36" s="127"/>
      <c r="O36" s="127"/>
    </row>
    <row r="37">
      <c r="A37" s="69" t="s">
        <v>3453</v>
      </c>
      <c r="B37" s="69" t="s">
        <v>5473</v>
      </c>
      <c r="C37" s="112" t="s">
        <v>5530</v>
      </c>
      <c r="D37" s="69"/>
      <c r="E37" s="69" t="s">
        <v>3454</v>
      </c>
      <c r="F37" s="69" t="s">
        <v>5534</v>
      </c>
      <c r="G37" s="69" t="s">
        <v>386</v>
      </c>
      <c r="H37" s="113" t="s">
        <v>1378</v>
      </c>
      <c r="I37" s="114">
        <f t="array" ref="I37">XLOOKUP(G37,KLUS!$A$2:$A$2010,KLUS!$E$2:$E$2010)+XLOOKUP(H37,KLUS!$A$2:$A$2010,KLUS!$E$2:$E$2010)</f>
        <v>64.9</v>
      </c>
      <c r="J37" s="114">
        <f t="shared" si="1"/>
        <v>58.41</v>
      </c>
      <c r="K37" s="115">
        <f t="shared" si="2"/>
        <v>46.728</v>
      </c>
      <c r="L37" s="125"/>
      <c r="M37" s="126"/>
      <c r="N37" s="127"/>
      <c r="O37" s="127"/>
    </row>
    <row r="38">
      <c r="A38" s="69" t="s">
        <v>3455</v>
      </c>
      <c r="B38" s="69" t="s">
        <v>5486</v>
      </c>
      <c r="C38" s="112" t="s">
        <v>5532</v>
      </c>
      <c r="D38" s="69"/>
      <c r="E38" s="69" t="s">
        <v>3456</v>
      </c>
      <c r="F38" s="69" t="s">
        <v>5535</v>
      </c>
      <c r="G38" s="69" t="s">
        <v>386</v>
      </c>
      <c r="H38" s="113" t="s">
        <v>1365</v>
      </c>
      <c r="I38" s="114">
        <f t="array" ref="I38">XLOOKUP(G38,KLUS!$A$2:$A$2010,KLUS!$E$2:$E$2010)+XLOOKUP(H38,KLUS!$A$2:$A$2010,KLUS!$E$2:$E$2010)</f>
        <v>53.4</v>
      </c>
      <c r="J38" s="114">
        <f t="shared" si="1"/>
        <v>48.06</v>
      </c>
      <c r="K38" s="115">
        <f t="shared" si="2"/>
        <v>38.448</v>
      </c>
      <c r="L38" s="125"/>
      <c r="M38" s="126"/>
      <c r="N38" s="127"/>
      <c r="O38" s="127"/>
    </row>
    <row r="39">
      <c r="A39" s="69" t="s">
        <v>3461</v>
      </c>
      <c r="B39" s="69" t="s">
        <v>5473</v>
      </c>
      <c r="C39" s="112" t="s">
        <v>5536</v>
      </c>
      <c r="D39" s="69"/>
      <c r="E39" s="69" t="s">
        <v>3462</v>
      </c>
      <c r="F39" s="69" t="s">
        <v>5537</v>
      </c>
      <c r="G39" s="69" t="s">
        <v>394</v>
      </c>
      <c r="H39" s="113" t="s">
        <v>1374</v>
      </c>
      <c r="I39" s="114">
        <f t="array" ref="I39">XLOOKUP(G39,KLUS!$A$2:$A$2010,KLUS!$E$2:$E$2010)+XLOOKUP(H39,KLUS!$A$2:$A$2010,KLUS!$E$2:$E$2010)</f>
        <v>106.8</v>
      </c>
      <c r="J39" s="114">
        <f t="shared" si="1"/>
        <v>96.12</v>
      </c>
      <c r="K39" s="115">
        <f t="shared" si="2"/>
        <v>76.896</v>
      </c>
      <c r="L39" s="125"/>
      <c r="M39" s="126"/>
      <c r="N39" s="127"/>
      <c r="O39" s="127"/>
    </row>
    <row r="40">
      <c r="A40" s="69" t="s">
        <v>3463</v>
      </c>
      <c r="B40" s="69" t="s">
        <v>5473</v>
      </c>
      <c r="C40" s="112" t="s">
        <v>5538</v>
      </c>
      <c r="D40" s="69"/>
      <c r="E40" s="69" t="s">
        <v>5539</v>
      </c>
      <c r="F40" s="69" t="s">
        <v>5540</v>
      </c>
      <c r="G40" s="69" t="s">
        <v>394</v>
      </c>
      <c r="H40" s="113" t="s">
        <v>1361</v>
      </c>
      <c r="I40" s="114">
        <f t="array" ref="I40">XLOOKUP(G40,KLUS!$A$2:$A$2010,KLUS!$E$2:$E$2010)+XLOOKUP(H40,KLUS!$A$2:$A$2010,KLUS!$E$2:$E$2010)</f>
        <v>89.5</v>
      </c>
      <c r="J40" s="114">
        <f t="shared" si="1"/>
        <v>80.55</v>
      </c>
      <c r="K40" s="115">
        <f t="shared" si="2"/>
        <v>64.44</v>
      </c>
      <c r="L40" s="125"/>
      <c r="M40" s="126"/>
      <c r="N40" s="127"/>
      <c r="O40" s="127"/>
    </row>
    <row r="41">
      <c r="A41" s="69" t="s">
        <v>3465</v>
      </c>
      <c r="B41" s="69" t="s">
        <v>5473</v>
      </c>
      <c r="C41" s="112" t="s">
        <v>5536</v>
      </c>
      <c r="D41" s="69"/>
      <c r="E41" s="69" t="s">
        <v>3466</v>
      </c>
      <c r="F41" s="69" t="s">
        <v>5541</v>
      </c>
      <c r="G41" s="69" t="s">
        <v>394</v>
      </c>
      <c r="H41" s="113" t="s">
        <v>1380</v>
      </c>
      <c r="I41" s="114">
        <f t="array" ref="I41">XLOOKUP(G41,KLUS!$A$2:$A$2010,KLUS!$E$2:$E$2010)+XLOOKUP(H41,KLUS!$A$2:$A$2010,KLUS!$E$2:$E$2010)</f>
        <v>106.8</v>
      </c>
      <c r="J41" s="114">
        <f t="shared" si="1"/>
        <v>96.12</v>
      </c>
      <c r="K41" s="115">
        <f t="shared" si="2"/>
        <v>76.896</v>
      </c>
      <c r="L41" s="125"/>
      <c r="M41" s="126"/>
      <c r="N41" s="127"/>
      <c r="O41" s="127"/>
    </row>
    <row r="42">
      <c r="A42" s="69" t="s">
        <v>3467</v>
      </c>
      <c r="B42" s="69" t="s">
        <v>5473</v>
      </c>
      <c r="C42" s="112" t="s">
        <v>5538</v>
      </c>
      <c r="D42" s="69"/>
      <c r="E42" s="69" t="s">
        <v>5542</v>
      </c>
      <c r="F42" s="69" t="s">
        <v>5543</v>
      </c>
      <c r="G42" s="69" t="s">
        <v>394</v>
      </c>
      <c r="H42" s="113" t="s">
        <v>1367</v>
      </c>
      <c r="I42" s="114">
        <f t="array" ref="I42">XLOOKUP(G42,KLUS!$A$2:$A$2010,KLUS!$E$2:$E$2010)+XLOOKUP(H42,KLUS!$A$2:$A$2010,KLUS!$E$2:$E$2010)</f>
        <v>89.5</v>
      </c>
      <c r="J42" s="114">
        <f t="shared" si="1"/>
        <v>80.55</v>
      </c>
      <c r="K42" s="115">
        <f t="shared" si="2"/>
        <v>64.44</v>
      </c>
      <c r="L42" s="125"/>
      <c r="M42" s="126"/>
      <c r="N42" s="127"/>
      <c r="O42" s="127"/>
    </row>
    <row r="43">
      <c r="A43" s="69" t="s">
        <v>3472</v>
      </c>
      <c r="B43" s="69" t="s">
        <v>5473</v>
      </c>
      <c r="C43" s="112" t="s">
        <v>5544</v>
      </c>
      <c r="D43" s="69"/>
      <c r="E43" s="69" t="s">
        <v>3473</v>
      </c>
      <c r="F43" s="69" t="s">
        <v>5545</v>
      </c>
      <c r="G43" s="69" t="s">
        <v>388</v>
      </c>
      <c r="H43" s="113" t="s">
        <v>1374</v>
      </c>
      <c r="I43" s="114">
        <f t="array" ref="I43">XLOOKUP(G43,KLUS!$A$2:$A$2010,KLUS!$E$2:$E$2010)+XLOOKUP(H43,KLUS!$A$2:$A$2010,KLUS!$E$2:$E$2010)</f>
        <v>97.3</v>
      </c>
      <c r="J43" s="114">
        <f t="shared" si="1"/>
        <v>87.57</v>
      </c>
      <c r="K43" s="115">
        <f t="shared" si="2"/>
        <v>70.056</v>
      </c>
      <c r="L43" s="125"/>
      <c r="M43" s="126"/>
      <c r="N43" s="127"/>
      <c r="O43" s="127"/>
    </row>
    <row r="44">
      <c r="A44" s="69" t="s">
        <v>3474</v>
      </c>
      <c r="B44" s="69" t="s">
        <v>5473</v>
      </c>
      <c r="C44" s="112" t="s">
        <v>5546</v>
      </c>
      <c r="D44" s="69"/>
      <c r="E44" s="69" t="s">
        <v>5547</v>
      </c>
      <c r="F44" s="69" t="s">
        <v>5548</v>
      </c>
      <c r="G44" s="69" t="s">
        <v>388</v>
      </c>
      <c r="H44" s="113" t="s">
        <v>1361</v>
      </c>
      <c r="I44" s="114">
        <f t="array" ref="I44">XLOOKUP(G44,KLUS!$A$2:$A$2010,KLUS!$E$2:$E$2010)+XLOOKUP(H44,KLUS!$A$2:$A$2010,KLUS!$E$2:$E$2010)</f>
        <v>80</v>
      </c>
      <c r="J44" s="114">
        <f t="shared" si="1"/>
        <v>72</v>
      </c>
      <c r="K44" s="115">
        <f t="shared" si="2"/>
        <v>57.6</v>
      </c>
      <c r="L44" s="125"/>
      <c r="M44" s="126"/>
      <c r="N44" s="127"/>
      <c r="O44" s="127"/>
    </row>
    <row r="45">
      <c r="A45" s="69" t="s">
        <v>3476</v>
      </c>
      <c r="B45" s="69" t="s">
        <v>5473</v>
      </c>
      <c r="C45" s="112" t="s">
        <v>5544</v>
      </c>
      <c r="D45" s="69"/>
      <c r="E45" s="69" t="s">
        <v>3477</v>
      </c>
      <c r="F45" s="69" t="s">
        <v>5549</v>
      </c>
      <c r="G45" s="69" t="s">
        <v>388</v>
      </c>
      <c r="H45" s="113" t="s">
        <v>1380</v>
      </c>
      <c r="I45" s="114">
        <f t="array" ref="I45">XLOOKUP(G45,KLUS!$A$2:$A$2010,KLUS!$E$2:$E$2010)+XLOOKUP(H45,KLUS!$A$2:$A$2010,KLUS!$E$2:$E$2010)</f>
        <v>97.3</v>
      </c>
      <c r="J45" s="114">
        <f t="shared" si="1"/>
        <v>87.57</v>
      </c>
      <c r="K45" s="115">
        <f t="shared" si="2"/>
        <v>70.056</v>
      </c>
      <c r="L45" s="125"/>
      <c r="M45" s="126"/>
      <c r="N45" s="127"/>
      <c r="O45" s="127"/>
    </row>
    <row r="46">
      <c r="A46" s="69" t="s">
        <v>3478</v>
      </c>
      <c r="B46" s="69" t="s">
        <v>5473</v>
      </c>
      <c r="C46" s="112" t="s">
        <v>5546</v>
      </c>
      <c r="D46" s="69"/>
      <c r="E46" s="69" t="s">
        <v>5550</v>
      </c>
      <c r="F46" s="69" t="s">
        <v>5551</v>
      </c>
      <c r="G46" s="69" t="s">
        <v>388</v>
      </c>
      <c r="H46" s="113" t="s">
        <v>1367</v>
      </c>
      <c r="I46" s="114">
        <f t="array" ref="I46">XLOOKUP(G46,KLUS!$A$2:$A$2010,KLUS!$E$2:$E$2010)+XLOOKUP(H46,KLUS!$A$2:$A$2010,KLUS!$E$2:$E$2010)</f>
        <v>80</v>
      </c>
      <c r="J46" s="114">
        <f t="shared" si="1"/>
        <v>72</v>
      </c>
      <c r="K46" s="115">
        <f t="shared" si="2"/>
        <v>57.6</v>
      </c>
      <c r="L46" s="125"/>
      <c r="M46" s="126"/>
      <c r="N46" s="127"/>
      <c r="O46" s="127"/>
    </row>
    <row r="47">
      <c r="A47" s="69" t="s">
        <v>5552</v>
      </c>
      <c r="B47" s="69" t="s">
        <v>5473</v>
      </c>
      <c r="C47" s="112" t="s">
        <v>5553</v>
      </c>
      <c r="D47" s="69"/>
      <c r="E47" s="69" t="s">
        <v>3538</v>
      </c>
      <c r="F47" s="69" t="s">
        <v>5554</v>
      </c>
      <c r="G47" s="69" t="s">
        <v>881</v>
      </c>
      <c r="H47" s="113" t="s">
        <v>1536</v>
      </c>
      <c r="I47" s="114">
        <f t="array" ref="I47">XLOOKUP(G47,KLUS!$A$2:$A$2010,KLUS!$E$2:$E$2010)+XLOOKUP(H47,KLUS!$A$2:$A$2010,KLUS!$E$2:$E$2010)</f>
        <v>45.1</v>
      </c>
      <c r="J47" s="114">
        <f t="shared" si="1"/>
        <v>40.59</v>
      </c>
      <c r="K47" s="115">
        <f t="shared" si="2"/>
        <v>32.472</v>
      </c>
      <c r="L47" s="125"/>
      <c r="M47" s="126"/>
      <c r="N47" s="127"/>
      <c r="O47" s="127"/>
    </row>
    <row r="48">
      <c r="A48" s="69" t="s">
        <v>5555</v>
      </c>
      <c r="B48" s="69" t="s">
        <v>5473</v>
      </c>
      <c r="C48" s="112" t="s">
        <v>5553</v>
      </c>
      <c r="D48" s="69"/>
      <c r="E48" s="69" t="s">
        <v>3540</v>
      </c>
      <c r="F48" s="69" t="s">
        <v>5556</v>
      </c>
      <c r="G48" s="69" t="s">
        <v>881</v>
      </c>
      <c r="H48" s="113" t="s">
        <v>1543</v>
      </c>
      <c r="I48" s="114">
        <f t="array" ref="I48">XLOOKUP(G48,KLUS!$A$2:$A$2010,KLUS!$E$2:$E$2010)+XLOOKUP(H48,KLUS!$A$2:$A$2010,KLUS!$E$2:$E$2010)</f>
        <v>45.1</v>
      </c>
      <c r="J48" s="114">
        <f t="shared" si="1"/>
        <v>40.59</v>
      </c>
      <c r="K48" s="115">
        <f t="shared" si="2"/>
        <v>32.472</v>
      </c>
      <c r="L48" s="125"/>
      <c r="M48" s="126"/>
      <c r="N48" s="127"/>
      <c r="O48" s="127"/>
    </row>
    <row r="49">
      <c r="A49" s="69" t="s">
        <v>5557</v>
      </c>
      <c r="B49" s="69" t="s">
        <v>5473</v>
      </c>
      <c r="C49" s="112" t="s">
        <v>5558</v>
      </c>
      <c r="D49" s="69"/>
      <c r="E49" s="69" t="s">
        <v>3544</v>
      </c>
      <c r="F49" s="69" t="s">
        <v>5559</v>
      </c>
      <c r="G49" s="69" t="s">
        <v>884</v>
      </c>
      <c r="H49" s="113" t="s">
        <v>1539</v>
      </c>
      <c r="I49" s="114">
        <f t="array" ref="I49">XLOOKUP(G49,KLUS!$A$2:$A$2010,KLUS!$E$2:$E$2010)+XLOOKUP(H49,KLUS!$A$2:$A$2010,KLUS!$E$2:$E$2010)</f>
        <v>90.3</v>
      </c>
      <c r="J49" s="114">
        <f t="shared" si="1"/>
        <v>81.27</v>
      </c>
      <c r="K49" s="115">
        <f t="shared" si="2"/>
        <v>65.016</v>
      </c>
      <c r="L49" s="125"/>
      <c r="M49" s="126"/>
      <c r="N49" s="127"/>
      <c r="O49" s="127"/>
    </row>
    <row r="50">
      <c r="A50" s="69" t="s">
        <v>5560</v>
      </c>
      <c r="B50" s="69" t="s">
        <v>5473</v>
      </c>
      <c r="C50" s="112" t="s">
        <v>5558</v>
      </c>
      <c r="D50" s="69"/>
      <c r="E50" s="69" t="s">
        <v>3546</v>
      </c>
      <c r="F50" s="69" t="s">
        <v>5561</v>
      </c>
      <c r="G50" s="69" t="s">
        <v>884</v>
      </c>
      <c r="H50" s="113" t="s">
        <v>1545</v>
      </c>
      <c r="I50" s="114">
        <f t="array" ref="I50">XLOOKUP(G50,KLUS!$A$2:$A$2010,KLUS!$E$2:$E$2010)+XLOOKUP(H50,KLUS!$A$2:$A$2010,KLUS!$E$2:$E$2010)</f>
        <v>90.3</v>
      </c>
      <c r="J50" s="114">
        <f t="shared" si="1"/>
        <v>81.27</v>
      </c>
      <c r="K50" s="115">
        <f t="shared" si="2"/>
        <v>65.016</v>
      </c>
      <c r="L50" s="125"/>
      <c r="M50" s="126"/>
      <c r="N50" s="127"/>
      <c r="O50" s="127"/>
    </row>
    <row r="51">
      <c r="A51" s="69" t="s">
        <v>5562</v>
      </c>
      <c r="B51" s="69" t="s">
        <v>5473</v>
      </c>
      <c r="C51" s="112" t="s">
        <v>5563</v>
      </c>
      <c r="D51" s="69"/>
      <c r="E51" s="69" t="s">
        <v>3550</v>
      </c>
      <c r="F51" s="69" t="s">
        <v>5564</v>
      </c>
      <c r="G51" s="69" t="s">
        <v>886</v>
      </c>
      <c r="H51" s="113" t="s">
        <v>1541</v>
      </c>
      <c r="I51" s="114">
        <f t="array" ref="I51">XLOOKUP(G51,KLUS!$A$2:$A$2010,KLUS!$E$2:$E$2010)+XLOOKUP(H51,KLUS!$A$2:$A$2010,KLUS!$E$2:$E$2010)</f>
        <v>135.4</v>
      </c>
      <c r="J51" s="114">
        <f t="shared" si="1"/>
        <v>121.86</v>
      </c>
      <c r="K51" s="115">
        <f t="shared" si="2"/>
        <v>97.488</v>
      </c>
      <c r="L51" s="125"/>
      <c r="M51" s="126"/>
      <c r="N51" s="127"/>
      <c r="O51" s="127"/>
    </row>
    <row r="52">
      <c r="A52" s="69" t="s">
        <v>5560</v>
      </c>
      <c r="B52" s="69" t="s">
        <v>5473</v>
      </c>
      <c r="C52" s="112" t="s">
        <v>5563</v>
      </c>
      <c r="D52" s="69"/>
      <c r="E52" s="69" t="s">
        <v>3552</v>
      </c>
      <c r="F52" s="69" t="s">
        <v>5565</v>
      </c>
      <c r="G52" s="69" t="s">
        <v>886</v>
      </c>
      <c r="H52" s="113" t="s">
        <v>1547</v>
      </c>
      <c r="I52" s="114">
        <f t="array" ref="I52">XLOOKUP(G52,KLUS!$A$2:$A$2010,KLUS!$E$2:$E$2010)+XLOOKUP(H52,KLUS!$A$2:$A$2010,KLUS!$E$2:$E$2010)</f>
        <v>135.4</v>
      </c>
      <c r="J52" s="114">
        <f t="shared" si="1"/>
        <v>121.86</v>
      </c>
      <c r="K52" s="115">
        <f t="shared" si="2"/>
        <v>97.488</v>
      </c>
      <c r="L52" s="125"/>
      <c r="M52" s="126"/>
      <c r="N52" s="127"/>
      <c r="O52" s="127"/>
    </row>
    <row r="53">
      <c r="A53" s="69" t="s">
        <v>5566</v>
      </c>
      <c r="B53" s="69" t="s">
        <v>5473</v>
      </c>
      <c r="C53" s="112" t="s">
        <v>5567</v>
      </c>
      <c r="D53" s="69"/>
      <c r="E53" s="69" t="s">
        <v>5568</v>
      </c>
      <c r="F53" s="69" t="s">
        <v>5569</v>
      </c>
      <c r="G53" s="69" t="s">
        <v>407</v>
      </c>
      <c r="H53" s="113" t="s">
        <v>1356</v>
      </c>
      <c r="I53" s="114">
        <f t="array" ref="I53">XLOOKUP(G53,KLUS!$A$2:$A$2010,KLUS!$E$2:$E$2010)+XLOOKUP(H53,KLUS!$A$2:$A$2010,KLUS!$E$2:$E$2010)</f>
        <v>38.5</v>
      </c>
      <c r="J53" s="114">
        <f t="shared" si="1"/>
        <v>34.65</v>
      </c>
      <c r="K53" s="115">
        <f t="shared" si="2"/>
        <v>27.72</v>
      </c>
      <c r="L53" s="125"/>
      <c r="M53" s="126"/>
      <c r="N53" s="127"/>
      <c r="O53" s="127"/>
    </row>
    <row r="54">
      <c r="A54" s="69" t="s">
        <v>5570</v>
      </c>
      <c r="B54" s="69" t="s">
        <v>5486</v>
      </c>
      <c r="C54" s="112" t="s">
        <v>5571</v>
      </c>
      <c r="D54" s="69"/>
      <c r="E54" s="69" t="s">
        <v>5572</v>
      </c>
      <c r="F54" s="69" t="s">
        <v>5573</v>
      </c>
      <c r="G54" s="69" t="s">
        <v>410</v>
      </c>
      <c r="H54" s="113" t="s">
        <v>1359</v>
      </c>
      <c r="I54" s="114">
        <f t="array" ref="I54">XLOOKUP(G54,KLUS!$A$2:$A$2010,KLUS!$E$2:$E$2010)+XLOOKUP(H54,KLUS!$A$2:$A$2010,KLUS!$E$2:$E$2010)</f>
        <v>77.1</v>
      </c>
      <c r="J54" s="114">
        <f t="shared" si="1"/>
        <v>69.39</v>
      </c>
      <c r="K54" s="115">
        <f t="shared" si="2"/>
        <v>55.512</v>
      </c>
      <c r="L54" s="125"/>
      <c r="M54" s="126"/>
      <c r="N54" s="127"/>
      <c r="O54" s="127"/>
    </row>
    <row r="55">
      <c r="A55" s="69" t="s">
        <v>5574</v>
      </c>
      <c r="B55" s="69" t="s">
        <v>5473</v>
      </c>
      <c r="C55" s="112" t="s">
        <v>5575</v>
      </c>
      <c r="D55" s="69"/>
      <c r="E55" s="69" t="s">
        <v>5576</v>
      </c>
      <c r="F55" s="69" t="s">
        <v>5577</v>
      </c>
      <c r="G55" s="69" t="s">
        <v>412</v>
      </c>
      <c r="H55" s="113" t="s">
        <v>1361</v>
      </c>
      <c r="I55" s="114">
        <f t="array" ref="I55">XLOOKUP(G55,KLUS!$A$2:$A$2010,KLUS!$E$2:$E$2010)+XLOOKUP(H55,KLUS!$A$2:$A$2010,KLUS!$E$2:$E$2010)</f>
        <v>115.6</v>
      </c>
      <c r="J55" s="114">
        <f t="shared" si="1"/>
        <v>104.04</v>
      </c>
      <c r="K55" s="115">
        <f t="shared" si="2"/>
        <v>83.232</v>
      </c>
      <c r="L55" s="125"/>
      <c r="M55" s="126"/>
      <c r="N55" s="127"/>
      <c r="O55" s="127"/>
    </row>
    <row r="56">
      <c r="A56" s="69" t="s">
        <v>3599</v>
      </c>
      <c r="B56" s="69" t="s">
        <v>5486</v>
      </c>
      <c r="C56" s="112" t="s">
        <v>5578</v>
      </c>
      <c r="D56" s="69"/>
      <c r="E56" s="69" t="s">
        <v>3600</v>
      </c>
      <c r="F56" s="69" t="s">
        <v>5579</v>
      </c>
      <c r="G56" s="69" t="s">
        <v>636</v>
      </c>
      <c r="H56" s="113" t="s">
        <v>1714</v>
      </c>
      <c r="I56" s="114">
        <f t="array" ref="I56">XLOOKUP(G56,KLUS!$A$2:$A$2010,KLUS!$E$2:$E$2010)+XLOOKUP(H56,KLUS!$A$2:$A$2010,KLUS!$E$2:$E$2010)</f>
        <v>39</v>
      </c>
      <c r="J56" s="114">
        <f t="shared" si="1"/>
        <v>35.1</v>
      </c>
      <c r="K56" s="115">
        <f t="shared" si="2"/>
        <v>28.08</v>
      </c>
      <c r="L56" s="125"/>
      <c r="M56" s="126"/>
      <c r="N56" s="127"/>
      <c r="O56" s="127"/>
    </row>
    <row r="57">
      <c r="A57" s="69" t="s">
        <v>3601</v>
      </c>
      <c r="B57" s="69" t="s">
        <v>5486</v>
      </c>
      <c r="C57" s="112" t="s">
        <v>5580</v>
      </c>
      <c r="D57" s="69"/>
      <c r="E57" s="69" t="s">
        <v>3602</v>
      </c>
      <c r="F57" s="69" t="s">
        <v>5581</v>
      </c>
      <c r="G57" s="69" t="s">
        <v>629</v>
      </c>
      <c r="H57" s="113" t="s">
        <v>1714</v>
      </c>
      <c r="I57" s="114">
        <f t="array" ref="I57">XLOOKUP(G57,KLUS!$A$2:$A$2010,KLUS!$E$2:$E$2010)+XLOOKUP(H57,KLUS!$A$2:$A$2010,KLUS!$E$2:$E$2010)</f>
        <v>33.3</v>
      </c>
      <c r="J57" s="114">
        <f t="shared" si="1"/>
        <v>29.97</v>
      </c>
      <c r="K57" s="115">
        <f t="shared" si="2"/>
        <v>23.976</v>
      </c>
      <c r="L57" s="125"/>
      <c r="M57" s="126"/>
      <c r="N57" s="127"/>
      <c r="O57" s="127"/>
    </row>
    <row r="58">
      <c r="A58" s="69" t="s">
        <v>3607</v>
      </c>
      <c r="B58" s="69" t="s">
        <v>5486</v>
      </c>
      <c r="C58" s="112" t="s">
        <v>5582</v>
      </c>
      <c r="D58" s="69"/>
      <c r="E58" s="69" t="s">
        <v>3608</v>
      </c>
      <c r="F58" s="69" t="s">
        <v>5583</v>
      </c>
      <c r="G58" s="69" t="s">
        <v>639</v>
      </c>
      <c r="H58" s="113" t="s">
        <v>1717</v>
      </c>
      <c r="I58" s="114">
        <f t="array" ref="I58">XLOOKUP(G58,KLUS!$A$2:$A$2010,KLUS!$E$2:$E$2010)+XLOOKUP(H58,KLUS!$A$2:$A$2010,KLUS!$E$2:$E$2010)</f>
        <v>78</v>
      </c>
      <c r="J58" s="114">
        <f t="shared" si="1"/>
        <v>70.2</v>
      </c>
      <c r="K58" s="115">
        <f t="shared" si="2"/>
        <v>56.16</v>
      </c>
      <c r="L58" s="125"/>
      <c r="M58" s="126"/>
      <c r="N58" s="127"/>
      <c r="O58" s="127"/>
    </row>
    <row r="59">
      <c r="A59" s="69" t="s">
        <v>3609</v>
      </c>
      <c r="B59" s="69" t="s">
        <v>5473</v>
      </c>
      <c r="C59" s="112" t="s">
        <v>5519</v>
      </c>
      <c r="D59" s="69"/>
      <c r="E59" s="69" t="s">
        <v>3610</v>
      </c>
      <c r="F59" s="69" t="s">
        <v>5584</v>
      </c>
      <c r="G59" s="69" t="s">
        <v>632</v>
      </c>
      <c r="H59" s="113" t="s">
        <v>1717</v>
      </c>
      <c r="I59" s="114">
        <f t="array" ref="I59">XLOOKUP(G59,KLUS!$A$2:$A$2010,KLUS!$E$2:$E$2010)+XLOOKUP(H59,KLUS!$A$2:$A$2010,KLUS!$E$2:$E$2010)</f>
        <v>66.5</v>
      </c>
      <c r="J59" s="114">
        <f t="shared" si="1"/>
        <v>59.85</v>
      </c>
      <c r="K59" s="115">
        <f t="shared" si="2"/>
        <v>47.88</v>
      </c>
      <c r="L59" s="125"/>
      <c r="M59" s="126"/>
      <c r="N59" s="127"/>
      <c r="O59" s="127"/>
    </row>
    <row r="60">
      <c r="A60" s="69" t="s">
        <v>3615</v>
      </c>
      <c r="B60" s="69" t="s">
        <v>5473</v>
      </c>
      <c r="C60" s="112" t="s">
        <v>5585</v>
      </c>
      <c r="D60" s="69"/>
      <c r="E60" s="69" t="s">
        <v>3616</v>
      </c>
      <c r="F60" s="69" t="s">
        <v>5586</v>
      </c>
      <c r="G60" s="69" t="s">
        <v>641</v>
      </c>
      <c r="H60" s="113" t="s">
        <v>1719</v>
      </c>
      <c r="I60" s="114">
        <f t="array" ref="I60">XLOOKUP(G60,KLUS!$A$2:$A$2010,KLUS!$E$2:$E$2010)+XLOOKUP(H60,KLUS!$A$2:$A$2010,KLUS!$E$2:$E$2010)</f>
        <v>116.9</v>
      </c>
      <c r="J60" s="114">
        <f t="shared" si="1"/>
        <v>105.21</v>
      </c>
      <c r="K60" s="115">
        <f t="shared" si="2"/>
        <v>84.168</v>
      </c>
      <c r="L60" s="125"/>
      <c r="M60" s="126"/>
      <c r="N60" s="127"/>
      <c r="O60" s="127"/>
    </row>
    <row r="61">
      <c r="A61" s="69" t="s">
        <v>3617</v>
      </c>
      <c r="B61" s="69" t="s">
        <v>5473</v>
      </c>
      <c r="C61" s="112" t="s">
        <v>5587</v>
      </c>
      <c r="D61" s="69"/>
      <c r="E61" s="69" t="s">
        <v>3618</v>
      </c>
      <c r="F61" s="69" t="s">
        <v>5588</v>
      </c>
      <c r="G61" s="69" t="s">
        <v>634</v>
      </c>
      <c r="H61" s="113" t="s">
        <v>1719</v>
      </c>
      <c r="I61" s="114">
        <f t="array" ref="I61">XLOOKUP(G61,KLUS!$A$2:$A$2010,KLUS!$E$2:$E$2010)+XLOOKUP(H61,KLUS!$A$2:$A$2010,KLUS!$E$2:$E$2010)</f>
        <v>99.8</v>
      </c>
      <c r="J61" s="114">
        <f t="shared" si="1"/>
        <v>89.82</v>
      </c>
      <c r="K61" s="115">
        <f t="shared" si="2"/>
        <v>71.856</v>
      </c>
      <c r="L61" s="125"/>
      <c r="M61" s="126"/>
      <c r="N61" s="127"/>
      <c r="O61" s="127"/>
    </row>
    <row r="62">
      <c r="A62" s="69" t="s">
        <v>5589</v>
      </c>
      <c r="B62" s="69" t="s">
        <v>5473</v>
      </c>
      <c r="C62" s="112" t="s">
        <v>5590</v>
      </c>
      <c r="D62" s="69"/>
      <c r="E62" s="69" t="s">
        <v>3659</v>
      </c>
      <c r="F62" s="69" t="s">
        <v>5591</v>
      </c>
      <c r="G62" s="69" t="s">
        <v>1117</v>
      </c>
      <c r="H62" s="113" t="s">
        <v>1668</v>
      </c>
      <c r="I62" s="114">
        <f t="array" ref="I62">XLOOKUP(G62,KLUS!$A$2:$A$2010,KLUS!$E$2:$E$2010)+XLOOKUP(H62,KLUS!$A$2:$A$2010,KLUS!$E$2:$E$2010)</f>
        <v>152.7</v>
      </c>
      <c r="J62" s="114">
        <f t="shared" si="1"/>
        <v>137.43</v>
      </c>
      <c r="K62" s="115">
        <f t="shared" si="2"/>
        <v>109.944</v>
      </c>
      <c r="L62" s="125"/>
      <c r="M62" s="126"/>
      <c r="N62" s="127"/>
      <c r="O62" s="127"/>
    </row>
    <row r="63">
      <c r="A63" s="69" t="s">
        <v>5592</v>
      </c>
      <c r="B63" s="69" t="s">
        <v>5473</v>
      </c>
      <c r="C63" s="112" t="s">
        <v>5593</v>
      </c>
      <c r="D63" s="69"/>
      <c r="E63" s="69" t="s">
        <v>3663</v>
      </c>
      <c r="F63" s="69" t="s">
        <v>5594</v>
      </c>
      <c r="G63" s="69" t="s">
        <v>1120</v>
      </c>
      <c r="H63" s="113" t="s">
        <v>1671</v>
      </c>
      <c r="I63" s="114">
        <f t="array" ref="I63">XLOOKUP(G63,KLUS!$A$2:$A$2010,KLUS!$E$2:$E$2010)+XLOOKUP(H63,KLUS!$A$2:$A$2010,KLUS!$E$2:$E$2010)</f>
        <v>305.3</v>
      </c>
      <c r="J63" s="114">
        <f t="shared" si="1"/>
        <v>274.77</v>
      </c>
      <c r="K63" s="115">
        <f t="shared" si="2"/>
        <v>219.816</v>
      </c>
      <c r="L63" s="125"/>
      <c r="M63" s="126"/>
      <c r="N63" s="127"/>
      <c r="O63" s="127"/>
    </row>
    <row r="64">
      <c r="A64" s="69" t="s">
        <v>5595</v>
      </c>
      <c r="B64" s="69" t="s">
        <v>5473</v>
      </c>
      <c r="C64" s="112" t="s">
        <v>5596</v>
      </c>
      <c r="D64" s="69"/>
      <c r="E64" s="69" t="s">
        <v>3667</v>
      </c>
      <c r="F64" s="69" t="s">
        <v>5597</v>
      </c>
      <c r="G64" s="69" t="s">
        <v>1122</v>
      </c>
      <c r="H64" s="113" t="s">
        <v>1673</v>
      </c>
      <c r="I64" s="114">
        <f t="array" ref="I64">XLOOKUP(G64,KLUS!$A$2:$A$2010,KLUS!$E$2:$E$2010)+XLOOKUP(H64,KLUS!$A$2:$A$2010,KLUS!$E$2:$E$2010)</f>
        <v>458</v>
      </c>
      <c r="J64" s="114">
        <f t="shared" si="1"/>
        <v>412.2</v>
      </c>
      <c r="K64" s="115">
        <f t="shared" si="2"/>
        <v>329.76</v>
      </c>
      <c r="L64" s="125"/>
      <c r="M64" s="126"/>
      <c r="N64" s="127"/>
      <c r="O64" s="127"/>
    </row>
    <row r="65">
      <c r="A65" s="69" t="s">
        <v>5598</v>
      </c>
      <c r="B65" s="69" t="s">
        <v>5473</v>
      </c>
      <c r="C65" s="112" t="s">
        <v>5599</v>
      </c>
      <c r="D65" s="69"/>
      <c r="E65" s="69" t="s">
        <v>3671</v>
      </c>
      <c r="F65" s="69" t="s">
        <v>5600</v>
      </c>
      <c r="G65" s="69" t="s">
        <v>1110</v>
      </c>
      <c r="H65" s="113" t="s">
        <v>1668</v>
      </c>
      <c r="I65" s="114">
        <f t="array" ref="I65">XLOOKUP(G65,KLUS!$A$2:$A$2010,KLUS!$E$2:$E$2010)+XLOOKUP(H65,KLUS!$A$2:$A$2010,KLUS!$E$2:$E$2010)</f>
        <v>149.5</v>
      </c>
      <c r="J65" s="114">
        <f t="shared" si="1"/>
        <v>134.55</v>
      </c>
      <c r="K65" s="115">
        <f t="shared" si="2"/>
        <v>107.64</v>
      </c>
      <c r="L65" s="125"/>
      <c r="M65" s="126"/>
      <c r="N65" s="127"/>
      <c r="O65" s="127"/>
    </row>
    <row r="66">
      <c r="A66" s="69" t="s">
        <v>5601</v>
      </c>
      <c r="B66" s="69" t="s">
        <v>5473</v>
      </c>
      <c r="C66" s="112" t="s">
        <v>5602</v>
      </c>
      <c r="D66" s="69"/>
      <c r="E66" s="69" t="s">
        <v>3675</v>
      </c>
      <c r="F66" s="69" t="s">
        <v>5603</v>
      </c>
      <c r="G66" s="69" t="s">
        <v>1113</v>
      </c>
      <c r="H66" s="113" t="s">
        <v>1671</v>
      </c>
      <c r="I66" s="114">
        <f t="array" ref="I66">XLOOKUP(G66,KLUS!$A$2:$A$2010,KLUS!$E$2:$E$2010)+XLOOKUP(H66,KLUS!$A$2:$A$2010,KLUS!$E$2:$E$2010)</f>
        <v>298.9</v>
      </c>
      <c r="J66" s="114">
        <f t="shared" si="1"/>
        <v>269.01</v>
      </c>
      <c r="K66" s="115">
        <f t="shared" si="2"/>
        <v>215.208</v>
      </c>
      <c r="L66" s="125"/>
      <c r="M66" s="126"/>
      <c r="N66" s="127"/>
      <c r="O66" s="127"/>
    </row>
    <row r="67">
      <c r="A67" s="69" t="s">
        <v>5604</v>
      </c>
      <c r="B67" s="69" t="s">
        <v>5473</v>
      </c>
      <c r="C67" s="112" t="s">
        <v>5605</v>
      </c>
      <c r="D67" s="69"/>
      <c r="E67" s="69" t="s">
        <v>3679</v>
      </c>
      <c r="F67" s="69" t="s">
        <v>5606</v>
      </c>
      <c r="G67" s="69" t="s">
        <v>1115</v>
      </c>
      <c r="H67" s="113" t="s">
        <v>1673</v>
      </c>
      <c r="I67" s="114">
        <f t="array" ref="I67">XLOOKUP(G67,KLUS!$A$2:$A$2010,KLUS!$E$2:$E$2010)+XLOOKUP(H67,KLUS!$A$2:$A$2010,KLUS!$E$2:$E$2010)</f>
        <v>448.5</v>
      </c>
      <c r="J67" s="114">
        <f t="shared" si="1"/>
        <v>403.65</v>
      </c>
      <c r="K67" s="115">
        <f t="shared" si="2"/>
        <v>322.92</v>
      </c>
      <c r="L67" s="125"/>
      <c r="M67" s="126"/>
      <c r="N67" s="127"/>
      <c r="O67" s="127"/>
    </row>
    <row r="68">
      <c r="A68" s="69" t="s">
        <v>5607</v>
      </c>
      <c r="B68" s="69" t="s">
        <v>5473</v>
      </c>
      <c r="C68" s="112" t="s">
        <v>5608</v>
      </c>
      <c r="D68" s="69"/>
      <c r="E68" s="69" t="s">
        <v>3683</v>
      </c>
      <c r="F68" s="69" t="s">
        <v>5609</v>
      </c>
      <c r="G68" s="69" t="s">
        <v>1103</v>
      </c>
      <c r="H68" s="113" t="s">
        <v>1668</v>
      </c>
      <c r="I68" s="114">
        <f t="array" ref="I68">XLOOKUP(G68,KLUS!$A$2:$A$2010,KLUS!$E$2:$E$2010)+XLOOKUP(H68,KLUS!$A$2:$A$2010,KLUS!$E$2:$E$2010)</f>
        <v>149.1</v>
      </c>
      <c r="J68" s="114">
        <f t="shared" si="1"/>
        <v>134.19</v>
      </c>
      <c r="K68" s="115">
        <f t="shared" si="2"/>
        <v>107.352</v>
      </c>
      <c r="L68" s="125"/>
      <c r="M68" s="126"/>
      <c r="N68" s="127"/>
      <c r="O68" s="127"/>
    </row>
    <row r="69">
      <c r="A69" s="69" t="s">
        <v>5610</v>
      </c>
      <c r="B69" s="69" t="s">
        <v>5473</v>
      </c>
      <c r="C69" s="112" t="s">
        <v>5611</v>
      </c>
      <c r="D69" s="69"/>
      <c r="E69" s="69" t="s">
        <v>3687</v>
      </c>
      <c r="F69" s="69" t="s">
        <v>5612</v>
      </c>
      <c r="G69" s="69" t="s">
        <v>1106</v>
      </c>
      <c r="H69" s="113" t="s">
        <v>1671</v>
      </c>
      <c r="I69" s="114">
        <f t="array" ref="I69">XLOOKUP(G69,KLUS!$A$2:$A$2010,KLUS!$E$2:$E$2010)+XLOOKUP(H69,KLUS!$A$2:$A$2010,KLUS!$E$2:$E$2010)</f>
        <v>298.2</v>
      </c>
      <c r="J69" s="114">
        <f t="shared" si="1"/>
        <v>268.38</v>
      </c>
      <c r="K69" s="115">
        <f t="shared" si="2"/>
        <v>214.704</v>
      </c>
      <c r="L69" s="125"/>
      <c r="M69" s="126"/>
      <c r="N69" s="127"/>
      <c r="O69" s="127"/>
    </row>
    <row r="70">
      <c r="A70" s="69" t="s">
        <v>5613</v>
      </c>
      <c r="B70" s="69" t="s">
        <v>5473</v>
      </c>
      <c r="C70" s="112" t="s">
        <v>5614</v>
      </c>
      <c r="D70" s="69"/>
      <c r="E70" s="69" t="s">
        <v>3691</v>
      </c>
      <c r="F70" s="69" t="s">
        <v>5615</v>
      </c>
      <c r="G70" s="69" t="s">
        <v>1108</v>
      </c>
      <c r="H70" s="113" t="s">
        <v>1673</v>
      </c>
      <c r="I70" s="114">
        <f t="array" ref="I70">XLOOKUP(G70,KLUS!$A$2:$A$2010,KLUS!$E$2:$E$2010)+XLOOKUP(H70,KLUS!$A$2:$A$2010,KLUS!$E$2:$E$2010)</f>
        <v>447.3</v>
      </c>
      <c r="J70" s="114">
        <f t="shared" si="1"/>
        <v>402.57</v>
      </c>
      <c r="K70" s="115">
        <f t="shared" si="2"/>
        <v>322.056</v>
      </c>
      <c r="L70" s="125"/>
      <c r="M70" s="126"/>
      <c r="N70" s="127"/>
      <c r="O70" s="127"/>
    </row>
    <row r="71">
      <c r="A71" s="69" t="s">
        <v>5616</v>
      </c>
      <c r="B71" s="69" t="s">
        <v>5486</v>
      </c>
      <c r="C71" s="112" t="s">
        <v>5617</v>
      </c>
      <c r="D71" s="69"/>
      <c r="E71" s="69" t="s">
        <v>3695</v>
      </c>
      <c r="F71" s="69" t="s">
        <v>5618</v>
      </c>
      <c r="G71" s="69" t="s">
        <v>1096</v>
      </c>
      <c r="H71" s="113" t="s">
        <v>1668</v>
      </c>
      <c r="I71" s="114">
        <f t="array" ref="I71">XLOOKUP(G71,KLUS!$A$2:$A$2010,KLUS!$E$2:$E$2010)+XLOOKUP(H71,KLUS!$A$2:$A$2010,KLUS!$E$2:$E$2010)</f>
        <v>142.1</v>
      </c>
      <c r="J71" s="114">
        <f t="shared" si="1"/>
        <v>127.89</v>
      </c>
      <c r="K71" s="115">
        <f t="shared" si="2"/>
        <v>102.312</v>
      </c>
      <c r="L71" s="125"/>
      <c r="M71" s="126"/>
      <c r="N71" s="127"/>
      <c r="O71" s="127"/>
    </row>
    <row r="72">
      <c r="A72" s="69" t="s">
        <v>5619</v>
      </c>
      <c r="B72" s="69" t="s">
        <v>5486</v>
      </c>
      <c r="C72" s="112" t="s">
        <v>5620</v>
      </c>
      <c r="D72" s="69"/>
      <c r="E72" s="69" t="s">
        <v>3699</v>
      </c>
      <c r="F72" s="69" t="s">
        <v>5621</v>
      </c>
      <c r="G72" s="69" t="s">
        <v>1099</v>
      </c>
      <c r="H72" s="113" t="s">
        <v>1671</v>
      </c>
      <c r="I72" s="114">
        <f t="array" ref="I72">XLOOKUP(G72,KLUS!$A$2:$A$2010,KLUS!$E$2:$E$2010)+XLOOKUP(H72,KLUS!$A$2:$A$2010,KLUS!$E$2:$E$2010)</f>
        <v>284.1</v>
      </c>
      <c r="J72" s="114">
        <f t="shared" si="1"/>
        <v>255.69</v>
      </c>
      <c r="K72" s="115">
        <f t="shared" si="2"/>
        <v>204.552</v>
      </c>
      <c r="L72" s="125"/>
      <c r="M72" s="126"/>
      <c r="N72" s="127"/>
      <c r="O72" s="127"/>
    </row>
    <row r="73">
      <c r="A73" s="69" t="s">
        <v>5622</v>
      </c>
      <c r="B73" s="69" t="s">
        <v>5486</v>
      </c>
      <c r="C73" s="112" t="s">
        <v>5623</v>
      </c>
      <c r="D73" s="69"/>
      <c r="E73" s="69" t="s">
        <v>3703</v>
      </c>
      <c r="F73" s="69" t="s">
        <v>5624</v>
      </c>
      <c r="G73" s="69" t="s">
        <v>1101</v>
      </c>
      <c r="H73" s="113" t="s">
        <v>1673</v>
      </c>
      <c r="I73" s="114">
        <f t="array" ref="I73">XLOOKUP(G73,KLUS!$A$2:$A$2010,KLUS!$E$2:$E$2010)+XLOOKUP(H73,KLUS!$A$2:$A$2010,KLUS!$E$2:$E$2010)</f>
        <v>426.2</v>
      </c>
      <c r="J73" s="114">
        <f t="shared" si="1"/>
        <v>383.58</v>
      </c>
      <c r="K73" s="115">
        <f t="shared" si="2"/>
        <v>306.864</v>
      </c>
      <c r="L73" s="125"/>
      <c r="M73" s="126"/>
      <c r="N73" s="127"/>
      <c r="O73" s="127"/>
    </row>
    <row r="74">
      <c r="A74" s="69" t="s">
        <v>5625</v>
      </c>
      <c r="B74" s="69" t="s">
        <v>5473</v>
      </c>
      <c r="C74" s="112" t="s">
        <v>5626</v>
      </c>
      <c r="D74" s="69"/>
      <c r="E74" s="69" t="s">
        <v>3707</v>
      </c>
      <c r="F74" s="69" t="s">
        <v>5627</v>
      </c>
      <c r="G74" s="69" t="s">
        <v>348</v>
      </c>
      <c r="H74" s="113" t="s">
        <v>1326</v>
      </c>
      <c r="I74" s="114">
        <f t="array" ref="I74">XLOOKUP(G74,KLUS!$A$2:$A$2010,KLUS!$E$2:$E$2010)+XLOOKUP(H74,KLUS!$A$2:$A$2010,KLUS!$E$2:$E$2010)</f>
        <v>52.4</v>
      </c>
      <c r="J74" s="114">
        <f t="shared" si="1"/>
        <v>47.16</v>
      </c>
      <c r="K74" s="115">
        <f t="shared" si="2"/>
        <v>37.728</v>
      </c>
      <c r="L74" s="125"/>
      <c r="M74" s="126"/>
      <c r="N74" s="127"/>
      <c r="O74" s="127"/>
    </row>
    <row r="75">
      <c r="A75" s="69" t="s">
        <v>5628</v>
      </c>
      <c r="B75" s="69" t="s">
        <v>5473</v>
      </c>
      <c r="C75" s="112" t="s">
        <v>5629</v>
      </c>
      <c r="D75" s="69"/>
      <c r="E75" s="69" t="s">
        <v>3711</v>
      </c>
      <c r="F75" s="69" t="s">
        <v>5630</v>
      </c>
      <c r="G75" s="69" t="s">
        <v>351</v>
      </c>
      <c r="H75" s="113" t="s">
        <v>1329</v>
      </c>
      <c r="I75" s="114">
        <f t="array" ref="I75">XLOOKUP(G75,KLUS!$A$2:$A$2010,KLUS!$E$2:$E$2010)+XLOOKUP(H75,KLUS!$A$2:$A$2010,KLUS!$E$2:$E$2010)</f>
        <v>104.8</v>
      </c>
      <c r="J75" s="114">
        <f t="shared" si="1"/>
        <v>94.32</v>
      </c>
      <c r="K75" s="115">
        <f t="shared" si="2"/>
        <v>75.456</v>
      </c>
      <c r="L75" s="125"/>
      <c r="M75" s="126"/>
      <c r="N75" s="127"/>
      <c r="O75" s="127"/>
    </row>
    <row r="76">
      <c r="A76" s="69" t="s">
        <v>5631</v>
      </c>
      <c r="B76" s="69" t="s">
        <v>5473</v>
      </c>
      <c r="C76" s="112" t="s">
        <v>5632</v>
      </c>
      <c r="D76" s="69"/>
      <c r="E76" s="69" t="s">
        <v>3748</v>
      </c>
      <c r="F76" s="69" t="s">
        <v>5633</v>
      </c>
      <c r="G76" s="69" t="s">
        <v>463</v>
      </c>
      <c r="H76" s="116" t="s">
        <v>1472</v>
      </c>
      <c r="I76" s="114">
        <f t="array" ref="I76">XLOOKUP(G76,KLUS!$A$2:$A$2010,KLUS!$E$2:$E$2010)+XLOOKUP(H76,KLUS!$A$2:$A$2010,KLUS!$E$2:$E$2010)</f>
        <v>83</v>
      </c>
      <c r="J76" s="114">
        <f t="shared" si="1"/>
        <v>74.7</v>
      </c>
      <c r="K76" s="115">
        <f t="shared" si="2"/>
        <v>59.76</v>
      </c>
      <c r="L76" s="125"/>
      <c r="M76" s="126"/>
      <c r="N76" s="127"/>
      <c r="O76" s="127"/>
    </row>
    <row r="77">
      <c r="A77" s="69" t="s">
        <v>5634</v>
      </c>
      <c r="B77" s="69" t="s">
        <v>5473</v>
      </c>
      <c r="C77" s="112" t="s">
        <v>5635</v>
      </c>
      <c r="D77" s="69"/>
      <c r="E77" s="69" t="s">
        <v>3750</v>
      </c>
      <c r="F77" s="69" t="s">
        <v>5636</v>
      </c>
      <c r="G77" s="69" t="s">
        <v>465</v>
      </c>
      <c r="H77" s="113" t="s">
        <v>1475</v>
      </c>
      <c r="I77" s="114">
        <f t="array" ref="I77">XLOOKUP(G77,KLUS!$A$2:$A$2010,KLUS!$E$2:$E$2010)+XLOOKUP(H77,KLUS!$A$2:$A$2010,KLUS!$E$2:$E$2010)</f>
        <v>166</v>
      </c>
      <c r="J77" s="114">
        <f t="shared" si="1"/>
        <v>149.4</v>
      </c>
      <c r="K77" s="115">
        <f t="shared" si="2"/>
        <v>119.52</v>
      </c>
      <c r="L77" s="125"/>
      <c r="M77" s="126"/>
      <c r="N77" s="127"/>
      <c r="O77" s="127"/>
    </row>
    <row r="78">
      <c r="A78" s="69" t="s">
        <v>5637</v>
      </c>
      <c r="B78" s="69" t="s">
        <v>5473</v>
      </c>
      <c r="C78" s="112" t="s">
        <v>5638</v>
      </c>
      <c r="D78" s="69"/>
      <c r="E78" s="69" t="s">
        <v>3752</v>
      </c>
      <c r="F78" s="69" t="s">
        <v>5639</v>
      </c>
      <c r="G78" s="69" t="s">
        <v>463</v>
      </c>
      <c r="H78" s="116" t="s">
        <v>1479</v>
      </c>
      <c r="I78" s="114">
        <f t="array" ref="I78">XLOOKUP(G78,KLUS!$A$2:$A$2010,KLUS!$E$2:$E$2010)+XLOOKUP(H78,KLUS!$A$2:$A$2010,KLUS!$E$2:$E$2010)</f>
        <v>73.1</v>
      </c>
      <c r="J78" s="114">
        <f t="shared" si="1"/>
        <v>65.79</v>
      </c>
      <c r="K78" s="115">
        <f t="shared" si="2"/>
        <v>52.632</v>
      </c>
      <c r="L78" s="125"/>
      <c r="M78" s="126"/>
      <c r="N78" s="127"/>
      <c r="O78" s="127"/>
    </row>
    <row r="79">
      <c r="A79" s="69" t="s">
        <v>5640</v>
      </c>
      <c r="B79" s="69" t="s">
        <v>5473</v>
      </c>
      <c r="C79" s="112" t="s">
        <v>5641</v>
      </c>
      <c r="D79" s="69"/>
      <c r="E79" s="69" t="s">
        <v>3754</v>
      </c>
      <c r="F79" s="69" t="s">
        <v>5642</v>
      </c>
      <c r="G79" s="69" t="s">
        <v>465</v>
      </c>
      <c r="H79" s="113" t="s">
        <v>1481</v>
      </c>
      <c r="I79" s="114">
        <f t="array" ref="I79">XLOOKUP(G79,KLUS!$A$2:$A$2010,KLUS!$E$2:$E$2010)+XLOOKUP(H79,KLUS!$A$2:$A$2010,KLUS!$E$2:$E$2010)</f>
        <v>146.2</v>
      </c>
      <c r="J79" s="114">
        <f t="shared" si="1"/>
        <v>131.58</v>
      </c>
      <c r="K79" s="115">
        <f t="shared" si="2"/>
        <v>105.264</v>
      </c>
      <c r="L79" s="125"/>
      <c r="M79" s="126"/>
      <c r="N79" s="127"/>
      <c r="O79" s="127"/>
    </row>
    <row r="80">
      <c r="A80" s="69" t="s">
        <v>5643</v>
      </c>
      <c r="B80" s="69" t="s">
        <v>5473</v>
      </c>
      <c r="C80" s="112" t="s">
        <v>5644</v>
      </c>
      <c r="D80" s="69"/>
      <c r="E80" s="69" t="s">
        <v>3756</v>
      </c>
      <c r="F80" s="69" t="s">
        <v>5645</v>
      </c>
      <c r="G80" s="69" t="s">
        <v>463</v>
      </c>
      <c r="H80" s="116" t="s">
        <v>1485</v>
      </c>
      <c r="I80" s="114">
        <f t="array" ref="I80">XLOOKUP(G80,KLUS!$A$2:$A$2010,KLUS!$E$2:$E$2010)+XLOOKUP(H80,KLUS!$A$2:$A$2010,KLUS!$E$2:$E$2010)</f>
        <v>69.4</v>
      </c>
      <c r="J80" s="114">
        <f t="shared" si="1"/>
        <v>62.46</v>
      </c>
      <c r="K80" s="115">
        <f t="shared" si="2"/>
        <v>49.968</v>
      </c>
      <c r="L80" s="125"/>
      <c r="M80" s="126"/>
      <c r="N80" s="127"/>
      <c r="O80" s="127"/>
    </row>
    <row r="81">
      <c r="A81" s="69" t="s">
        <v>5646</v>
      </c>
      <c r="B81" s="69" t="s">
        <v>5473</v>
      </c>
      <c r="C81" s="112" t="s">
        <v>5647</v>
      </c>
      <c r="D81" s="69"/>
      <c r="E81" s="69" t="s">
        <v>3758</v>
      </c>
      <c r="F81" s="69" t="s">
        <v>5648</v>
      </c>
      <c r="G81" s="69" t="s">
        <v>465</v>
      </c>
      <c r="H81" s="113" t="s">
        <v>1487</v>
      </c>
      <c r="I81" s="114">
        <f t="array" ref="I81">XLOOKUP(G81,KLUS!$A$2:$A$2010,KLUS!$E$2:$E$2010)+XLOOKUP(H81,KLUS!$A$2:$A$2010,KLUS!$E$2:$E$2010)</f>
        <v>138.7</v>
      </c>
      <c r="J81" s="114">
        <f t="shared" si="1"/>
        <v>124.83</v>
      </c>
      <c r="K81" s="115">
        <f t="shared" si="2"/>
        <v>99.864</v>
      </c>
      <c r="L81" s="125"/>
      <c r="M81" s="126"/>
      <c r="N81" s="127"/>
      <c r="O81" s="127"/>
    </row>
    <row r="82">
      <c r="A82" s="69" t="s">
        <v>5649</v>
      </c>
      <c r="B82" s="69" t="s">
        <v>5473</v>
      </c>
      <c r="C82" s="112" t="s">
        <v>5650</v>
      </c>
      <c r="D82" s="69"/>
      <c r="E82" s="69" t="s">
        <v>3762</v>
      </c>
      <c r="F82" s="69" t="s">
        <v>5651</v>
      </c>
      <c r="G82" s="69" t="s">
        <v>834</v>
      </c>
      <c r="H82" s="116" t="s">
        <v>1536</v>
      </c>
      <c r="I82" s="114">
        <f t="array" ref="I82">XLOOKUP(G82,KLUS!$A$2:$A$2010,KLUS!$E$2:$E$2010)+XLOOKUP(H82,KLUS!$A$2:$A$2010,KLUS!$E$2:$E$2010)</f>
        <v>60</v>
      </c>
      <c r="J82" s="114">
        <f t="shared" si="1"/>
        <v>54</v>
      </c>
      <c r="K82" s="115">
        <f t="shared" si="2"/>
        <v>43.2</v>
      </c>
      <c r="L82" s="125"/>
      <c r="M82" s="126"/>
      <c r="N82" s="127"/>
      <c r="O82" s="127"/>
    </row>
    <row r="83">
      <c r="A83" s="69" t="s">
        <v>5652</v>
      </c>
      <c r="B83" s="69" t="s">
        <v>5486</v>
      </c>
      <c r="C83" s="112" t="s">
        <v>5653</v>
      </c>
      <c r="D83" s="69"/>
      <c r="E83" s="69" t="s">
        <v>3766</v>
      </c>
      <c r="F83" s="69" t="s">
        <v>5654</v>
      </c>
      <c r="G83" s="69" t="s">
        <v>836</v>
      </c>
      <c r="H83" s="113" t="s">
        <v>1539</v>
      </c>
      <c r="I83" s="114">
        <f t="array" ref="I83">XLOOKUP(G83,KLUS!$A$2:$A$2010,KLUS!$E$2:$E$2010)+XLOOKUP(H83,KLUS!$A$2:$A$2010,KLUS!$E$2:$E$2010)</f>
        <v>120</v>
      </c>
      <c r="J83" s="114">
        <f t="shared" si="1"/>
        <v>108</v>
      </c>
      <c r="K83" s="115">
        <f t="shared" si="2"/>
        <v>86.4</v>
      </c>
      <c r="L83" s="125"/>
      <c r="M83" s="126"/>
      <c r="N83" s="127"/>
      <c r="O83" s="127"/>
    </row>
    <row r="84">
      <c r="A84" s="69" t="s">
        <v>5655</v>
      </c>
      <c r="B84" s="69" t="s">
        <v>5473</v>
      </c>
      <c r="C84" s="112" t="s">
        <v>5656</v>
      </c>
      <c r="D84" s="69"/>
      <c r="E84" s="69" t="s">
        <v>3770</v>
      </c>
      <c r="F84" s="69" t="s">
        <v>5657</v>
      </c>
      <c r="G84" s="69" t="s">
        <v>838</v>
      </c>
      <c r="H84" s="113" t="s">
        <v>1541</v>
      </c>
      <c r="I84" s="114">
        <f t="array" ref="I84">XLOOKUP(G84,KLUS!$A$2:$A$2010,KLUS!$E$2:$E$2010)+XLOOKUP(H84,KLUS!$A$2:$A$2010,KLUS!$E$2:$E$2010)</f>
        <v>180</v>
      </c>
      <c r="J84" s="114">
        <f t="shared" si="1"/>
        <v>162</v>
      </c>
      <c r="K84" s="115">
        <f t="shared" si="2"/>
        <v>129.6</v>
      </c>
      <c r="L84" s="125"/>
      <c r="M84" s="126"/>
      <c r="N84" s="127"/>
      <c r="O84" s="127"/>
    </row>
    <row r="85">
      <c r="A85" s="69" t="s">
        <v>5658</v>
      </c>
      <c r="B85" s="69" t="s">
        <v>5473</v>
      </c>
      <c r="C85" s="112" t="s">
        <v>5659</v>
      </c>
      <c r="D85" s="69"/>
      <c r="E85" s="69" t="s">
        <v>3792</v>
      </c>
      <c r="F85" s="69" t="s">
        <v>5660</v>
      </c>
      <c r="G85" s="69" t="s">
        <v>615</v>
      </c>
      <c r="H85" s="116" t="s">
        <v>1536</v>
      </c>
      <c r="I85" s="114">
        <f t="array" ref="I85">XLOOKUP(G85,KLUS!$A$2:$A$2010,KLUS!$E$2:$E$2010)+XLOOKUP(H85,KLUS!$A$2:$A$2010,KLUS!$E$2:$E$2010)</f>
        <v>55.3</v>
      </c>
      <c r="J85" s="114">
        <f t="shared" si="1"/>
        <v>49.77</v>
      </c>
      <c r="K85" s="115">
        <f t="shared" si="2"/>
        <v>39.816</v>
      </c>
      <c r="L85" s="125"/>
      <c r="M85" s="126"/>
      <c r="N85" s="127"/>
      <c r="O85" s="127"/>
    </row>
    <row r="86">
      <c r="A86" s="69" t="s">
        <v>5661</v>
      </c>
      <c r="B86" s="69" t="s">
        <v>5473</v>
      </c>
      <c r="C86" s="112" t="s">
        <v>5662</v>
      </c>
      <c r="D86" s="69"/>
      <c r="E86" s="69" t="s">
        <v>3796</v>
      </c>
      <c r="F86" s="69" t="s">
        <v>5663</v>
      </c>
      <c r="G86" s="69" t="s">
        <v>618</v>
      </c>
      <c r="H86" s="113" t="s">
        <v>1539</v>
      </c>
      <c r="I86" s="114">
        <f t="array" ref="I86">XLOOKUP(G86,KLUS!$A$2:$A$2010,KLUS!$E$2:$E$2010)+XLOOKUP(H86,KLUS!$A$2:$A$2010,KLUS!$E$2:$E$2010)</f>
        <v>110.7</v>
      </c>
      <c r="J86" s="114">
        <f t="shared" si="1"/>
        <v>99.63</v>
      </c>
      <c r="K86" s="115">
        <f t="shared" si="2"/>
        <v>79.704</v>
      </c>
      <c r="L86" s="125"/>
      <c r="M86" s="126"/>
      <c r="N86" s="127"/>
      <c r="O86" s="127"/>
    </row>
    <row r="87">
      <c r="A87" s="69" t="s">
        <v>5664</v>
      </c>
      <c r="B87" s="69" t="s">
        <v>5473</v>
      </c>
      <c r="C87" s="112" t="s">
        <v>5665</v>
      </c>
      <c r="D87" s="69"/>
      <c r="E87" s="69" t="s">
        <v>3800</v>
      </c>
      <c r="F87" s="69" t="s">
        <v>5666</v>
      </c>
      <c r="G87" s="69" t="s">
        <v>620</v>
      </c>
      <c r="H87" s="113" t="s">
        <v>1541</v>
      </c>
      <c r="I87" s="114">
        <f t="array" ref="I87">XLOOKUP(G87,KLUS!$A$2:$A$2010,KLUS!$E$2:$E$2010)+XLOOKUP(H87,KLUS!$A$2:$A$2010,KLUS!$E$2:$E$2010)</f>
        <v>166</v>
      </c>
      <c r="J87" s="114">
        <f t="shared" si="1"/>
        <v>149.4</v>
      </c>
      <c r="K87" s="115">
        <f t="shared" si="2"/>
        <v>119.52</v>
      </c>
      <c r="L87" s="125"/>
      <c r="M87" s="126"/>
      <c r="N87" s="127"/>
      <c r="O87" s="127"/>
    </row>
    <row r="88">
      <c r="A88" s="69" t="s">
        <v>5667</v>
      </c>
      <c r="B88" s="69" t="s">
        <v>5473</v>
      </c>
      <c r="C88" s="112" t="s">
        <v>5668</v>
      </c>
      <c r="D88" s="69"/>
      <c r="E88" s="69" t="s">
        <v>3834</v>
      </c>
      <c r="F88" s="69" t="s">
        <v>5669</v>
      </c>
      <c r="G88" s="69" t="s">
        <v>414</v>
      </c>
      <c r="H88" s="116" t="s">
        <v>1369</v>
      </c>
      <c r="I88" s="114">
        <f t="array" ref="I88">XLOOKUP(G88,KLUS!$A$2:$A$2010,KLUS!$E$2:$E$2010)+XLOOKUP(H88,KLUS!$A$2:$A$2010,KLUS!$E$2:$E$2010)</f>
        <v>41.9</v>
      </c>
      <c r="J88" s="114">
        <f t="shared" si="1"/>
        <v>37.71</v>
      </c>
      <c r="K88" s="115">
        <f t="shared" si="2"/>
        <v>30.168</v>
      </c>
      <c r="L88" s="125"/>
      <c r="M88" s="126"/>
      <c r="N88" s="127"/>
      <c r="O88" s="127"/>
    </row>
    <row r="89">
      <c r="A89" s="69" t="s">
        <v>3835</v>
      </c>
      <c r="B89" s="69" t="s">
        <v>5473</v>
      </c>
      <c r="C89" s="112" t="s">
        <v>5670</v>
      </c>
      <c r="D89" s="69"/>
      <c r="E89" s="69" t="s">
        <v>3836</v>
      </c>
      <c r="F89" s="69" t="s">
        <v>5671</v>
      </c>
      <c r="G89" s="69" t="s">
        <v>414</v>
      </c>
      <c r="H89" s="113" t="s">
        <v>1356</v>
      </c>
      <c r="I89" s="114">
        <f t="array" ref="I89">XLOOKUP(G89,KLUS!$A$2:$A$2010,KLUS!$E$2:$E$2010)+XLOOKUP(H89,KLUS!$A$2:$A$2010,KLUS!$E$2:$E$2010)</f>
        <v>36.1</v>
      </c>
      <c r="J89" s="114">
        <f t="shared" si="1"/>
        <v>32.49</v>
      </c>
      <c r="K89" s="115">
        <f t="shared" si="2"/>
        <v>25.992</v>
      </c>
      <c r="L89" s="125"/>
      <c r="M89" s="126"/>
      <c r="N89" s="127"/>
      <c r="O89" s="127"/>
    </row>
    <row r="90">
      <c r="A90" s="69" t="s">
        <v>5672</v>
      </c>
      <c r="B90" s="69" t="s">
        <v>5473</v>
      </c>
      <c r="C90" s="112" t="s">
        <v>5673</v>
      </c>
      <c r="D90" s="69"/>
      <c r="E90" s="69" t="s">
        <v>3840</v>
      </c>
      <c r="F90" s="69" t="s">
        <v>5674</v>
      </c>
      <c r="G90" s="69" t="s">
        <v>417</v>
      </c>
      <c r="H90" s="113" t="s">
        <v>1372</v>
      </c>
      <c r="I90" s="114">
        <f t="array" ref="I90">XLOOKUP(G90,KLUS!$A$2:$A$2010,KLUS!$E$2:$E$2010)+XLOOKUP(H90,KLUS!$A$2:$A$2010,KLUS!$E$2:$E$2010)</f>
        <v>83.7</v>
      </c>
      <c r="J90" s="114">
        <f t="shared" si="1"/>
        <v>75.33</v>
      </c>
      <c r="K90" s="115">
        <f t="shared" si="2"/>
        <v>60.264</v>
      </c>
      <c r="L90" s="125"/>
      <c r="M90" s="126"/>
      <c r="N90" s="127"/>
      <c r="O90" s="127"/>
    </row>
    <row r="91">
      <c r="A91" s="69" t="s">
        <v>5675</v>
      </c>
      <c r="B91" s="69" t="s">
        <v>5676</v>
      </c>
      <c r="C91" s="112" t="s">
        <v>5677</v>
      </c>
      <c r="D91" s="69"/>
      <c r="E91" s="69" t="s">
        <v>3842</v>
      </c>
      <c r="F91" s="69" t="s">
        <v>5678</v>
      </c>
      <c r="G91" s="69" t="s">
        <v>417</v>
      </c>
      <c r="H91" s="113" t="s">
        <v>1359</v>
      </c>
      <c r="I91" s="114">
        <f t="array" ref="I91">XLOOKUP(G91,KLUS!$A$2:$A$2010,KLUS!$E$2:$E$2010)+XLOOKUP(H91,KLUS!$A$2:$A$2010,KLUS!$E$2:$E$2010)</f>
        <v>72.2</v>
      </c>
      <c r="J91" s="114">
        <f t="shared" si="1"/>
        <v>64.98</v>
      </c>
      <c r="K91" s="115">
        <f t="shared" si="2"/>
        <v>51.984</v>
      </c>
      <c r="L91" s="125"/>
      <c r="M91" s="126"/>
      <c r="N91" s="127"/>
      <c r="O91" s="127"/>
    </row>
    <row r="92">
      <c r="A92" s="69" t="s">
        <v>5679</v>
      </c>
      <c r="B92" s="69" t="s">
        <v>5473</v>
      </c>
      <c r="C92" s="112" t="s">
        <v>5680</v>
      </c>
      <c r="D92" s="69"/>
      <c r="E92" s="69" t="s">
        <v>3846</v>
      </c>
      <c r="F92" s="69" t="s">
        <v>5681</v>
      </c>
      <c r="G92" s="69" t="s">
        <v>419</v>
      </c>
      <c r="H92" s="113" t="s">
        <v>1374</v>
      </c>
      <c r="I92" s="114">
        <f t="array" ref="I92">XLOOKUP(G92,KLUS!$A$2:$A$2010,KLUS!$E$2:$E$2010)+XLOOKUP(H92,KLUS!$A$2:$A$2010,KLUS!$E$2:$E$2010)</f>
        <v>125.6</v>
      </c>
      <c r="J92" s="114">
        <f t="shared" si="1"/>
        <v>113.04</v>
      </c>
      <c r="K92" s="115">
        <f t="shared" si="2"/>
        <v>90.432</v>
      </c>
      <c r="L92" s="125"/>
      <c r="M92" s="126"/>
      <c r="N92" s="127"/>
      <c r="O92" s="127"/>
    </row>
    <row r="93">
      <c r="A93" s="69" t="s">
        <v>5682</v>
      </c>
      <c r="B93" s="69" t="s">
        <v>5473</v>
      </c>
      <c r="C93" s="112" t="s">
        <v>5683</v>
      </c>
      <c r="D93" s="69"/>
      <c r="E93" s="69" t="s">
        <v>3848</v>
      </c>
      <c r="F93" s="69" t="s">
        <v>5684</v>
      </c>
      <c r="G93" s="69" t="s">
        <v>419</v>
      </c>
      <c r="H93" s="113" t="s">
        <v>1361</v>
      </c>
      <c r="I93" s="114">
        <f t="array" ref="I93">XLOOKUP(G93,KLUS!$A$2:$A$2010,KLUS!$E$2:$E$2010)+XLOOKUP(H93,KLUS!$A$2:$A$2010,KLUS!$E$2:$E$2010)</f>
        <v>108.3</v>
      </c>
      <c r="J93" s="114">
        <f t="shared" si="1"/>
        <v>97.47</v>
      </c>
      <c r="K93" s="115">
        <f t="shared" si="2"/>
        <v>77.976</v>
      </c>
      <c r="L93" s="125"/>
      <c r="M93" s="126"/>
      <c r="N93" s="127"/>
      <c r="O93" s="127"/>
    </row>
    <row r="94">
      <c r="A94" s="69" t="s">
        <v>5685</v>
      </c>
      <c r="B94" s="69" t="s">
        <v>5473</v>
      </c>
      <c r="C94" s="112" t="s">
        <v>5686</v>
      </c>
      <c r="D94" s="69"/>
      <c r="E94" s="69" t="s">
        <v>3854</v>
      </c>
      <c r="F94" s="69" t="s">
        <v>5687</v>
      </c>
      <c r="G94" s="69" t="s">
        <v>760</v>
      </c>
      <c r="H94" s="113" t="s">
        <v>1536</v>
      </c>
      <c r="I94" s="114">
        <f t="array" ref="I94">XLOOKUP(G94,KLUS!$A$2:$A$2010,KLUS!$E$2:$E$2010)+XLOOKUP(H94,KLUS!$A$2:$A$2010,KLUS!$E$2:$E$2010)</f>
        <v>72.9</v>
      </c>
      <c r="J94" s="114">
        <f t="shared" si="1"/>
        <v>65.61</v>
      </c>
      <c r="K94" s="115">
        <f t="shared" si="2"/>
        <v>52.488</v>
      </c>
      <c r="L94" s="125"/>
      <c r="M94" s="126"/>
      <c r="N94" s="127"/>
      <c r="O94" s="127"/>
    </row>
    <row r="95">
      <c r="A95" s="69" t="s">
        <v>5688</v>
      </c>
      <c r="B95" s="69" t="s">
        <v>5473</v>
      </c>
      <c r="C95" s="112" t="s">
        <v>5686</v>
      </c>
      <c r="D95" s="69"/>
      <c r="E95" s="69" t="s">
        <v>3856</v>
      </c>
      <c r="F95" s="69" t="s">
        <v>5689</v>
      </c>
      <c r="G95" s="69" t="s">
        <v>760</v>
      </c>
      <c r="H95" s="116" t="s">
        <v>1543</v>
      </c>
      <c r="I95" s="114">
        <f t="array" ref="I95">XLOOKUP(G95,KLUS!$A$2:$A$2010,KLUS!$E$2:$E$2010)+XLOOKUP(H95,KLUS!$A$2:$A$2010,KLUS!$E$2:$E$2010)</f>
        <v>72.9</v>
      </c>
      <c r="J95" s="114">
        <f t="shared" si="1"/>
        <v>65.61</v>
      </c>
      <c r="K95" s="115">
        <f t="shared" si="2"/>
        <v>52.488</v>
      </c>
      <c r="L95" s="125"/>
      <c r="M95" s="126"/>
      <c r="N95" s="127"/>
      <c r="O95" s="127"/>
    </row>
    <row r="96">
      <c r="A96" s="69" t="s">
        <v>5690</v>
      </c>
      <c r="B96" s="69" t="s">
        <v>5473</v>
      </c>
      <c r="C96" s="112" t="s">
        <v>5691</v>
      </c>
      <c r="D96" s="69"/>
      <c r="E96" s="69" t="s">
        <v>3860</v>
      </c>
      <c r="F96" s="69" t="s">
        <v>5692</v>
      </c>
      <c r="G96" s="69" t="s">
        <v>763</v>
      </c>
      <c r="H96" s="113" t="s">
        <v>1539</v>
      </c>
      <c r="I96" s="114">
        <f t="array" ref="I96">XLOOKUP(G96,KLUS!$A$2:$A$2010,KLUS!$E$2:$E$2010)+XLOOKUP(H96,KLUS!$A$2:$A$2010,KLUS!$E$2:$E$2010)</f>
        <v>145.8</v>
      </c>
      <c r="J96" s="114">
        <f t="shared" si="1"/>
        <v>131.22</v>
      </c>
      <c r="K96" s="115">
        <f t="shared" si="2"/>
        <v>104.976</v>
      </c>
      <c r="L96" s="125"/>
      <c r="M96" s="126"/>
      <c r="N96" s="127"/>
      <c r="O96" s="127"/>
    </row>
    <row r="97">
      <c r="A97" s="69" t="s">
        <v>5693</v>
      </c>
      <c r="B97" s="69" t="s">
        <v>5473</v>
      </c>
      <c r="C97" s="112" t="s">
        <v>5691</v>
      </c>
      <c r="D97" s="69"/>
      <c r="E97" s="69" t="s">
        <v>3862</v>
      </c>
      <c r="F97" s="69" t="s">
        <v>5694</v>
      </c>
      <c r="G97" s="69" t="s">
        <v>763</v>
      </c>
      <c r="H97" s="113" t="s">
        <v>1545</v>
      </c>
      <c r="I97" s="114">
        <f t="array" ref="I97">XLOOKUP(G97,KLUS!$A$2:$A$2010,KLUS!$E$2:$E$2010)+XLOOKUP(H97,KLUS!$A$2:$A$2010,KLUS!$E$2:$E$2010)</f>
        <v>145.8</v>
      </c>
      <c r="J97" s="114">
        <f t="shared" si="1"/>
        <v>131.22</v>
      </c>
      <c r="K97" s="115">
        <f t="shared" si="2"/>
        <v>104.976</v>
      </c>
      <c r="L97" s="125"/>
      <c r="M97" s="126"/>
      <c r="N97" s="127"/>
      <c r="O97" s="127"/>
    </row>
    <row r="98">
      <c r="A98" s="69" t="s">
        <v>5695</v>
      </c>
      <c r="B98" s="69" t="s">
        <v>5473</v>
      </c>
      <c r="C98" s="112" t="s">
        <v>5696</v>
      </c>
      <c r="D98" s="69"/>
      <c r="E98" s="69" t="s">
        <v>3868</v>
      </c>
      <c r="F98" s="69" t="s">
        <v>5697</v>
      </c>
      <c r="G98" s="69" t="s">
        <v>765</v>
      </c>
      <c r="H98" s="113" t="s">
        <v>1541</v>
      </c>
      <c r="I98" s="114">
        <f t="array" ref="I98">XLOOKUP(G98,KLUS!$A$2:$A$2010,KLUS!$E$2:$E$2010)+XLOOKUP(H98,KLUS!$A$2:$A$2010,KLUS!$E$2:$E$2010)</f>
        <v>218.6</v>
      </c>
      <c r="J98" s="114">
        <f t="shared" si="1"/>
        <v>196.74</v>
      </c>
      <c r="K98" s="115">
        <f t="shared" si="2"/>
        <v>157.392</v>
      </c>
      <c r="L98" s="125"/>
      <c r="M98" s="126"/>
      <c r="N98" s="127"/>
      <c r="O98" s="127"/>
    </row>
    <row r="99">
      <c r="A99" s="69" t="s">
        <v>5698</v>
      </c>
      <c r="B99" s="69" t="s">
        <v>5473</v>
      </c>
      <c r="C99" s="112" t="s">
        <v>5699</v>
      </c>
      <c r="D99" s="69"/>
      <c r="E99" s="69" t="s">
        <v>5700</v>
      </c>
      <c r="F99" s="69" t="s">
        <v>5701</v>
      </c>
      <c r="G99" s="69" t="s">
        <v>808</v>
      </c>
      <c r="H99" s="113" t="s">
        <v>1539</v>
      </c>
      <c r="I99" s="114">
        <f t="array" ref="I99">XLOOKUP(G99,KLUS!$A$2:$A$2010,KLUS!$E$2:$E$2010)+XLOOKUP(H99,KLUS!$A$2:$A$2010,KLUS!$E$2:$E$2010)</f>
        <v>160.8</v>
      </c>
      <c r="J99" s="114">
        <f t="shared" si="1"/>
        <v>144.72</v>
      </c>
      <c r="K99" s="115">
        <f t="shared" si="2"/>
        <v>115.776</v>
      </c>
      <c r="L99" s="125"/>
      <c r="M99" s="126"/>
      <c r="N99" s="127"/>
      <c r="O99" s="127"/>
    </row>
    <row r="100">
      <c r="A100" s="69" t="s">
        <v>5702</v>
      </c>
      <c r="B100" s="69" t="s">
        <v>5473</v>
      </c>
      <c r="C100" s="112" t="s">
        <v>5703</v>
      </c>
      <c r="D100" s="69"/>
      <c r="E100" s="69" t="s">
        <v>3896</v>
      </c>
      <c r="F100" s="69" t="s">
        <v>5704</v>
      </c>
      <c r="G100" s="69" t="s">
        <v>799</v>
      </c>
      <c r="H100" s="113" t="s">
        <v>1536</v>
      </c>
      <c r="I100" s="114">
        <f t="array" ref="I100">XLOOKUP(G100,KLUS!$A$2:$A$2010,KLUS!$E$2:$E$2010)+XLOOKUP(H100,KLUS!$A$2:$A$2010,KLUS!$E$2:$E$2010)</f>
        <v>63.6</v>
      </c>
      <c r="J100" s="114">
        <f t="shared" si="1"/>
        <v>57.24</v>
      </c>
      <c r="K100" s="115">
        <f t="shared" si="2"/>
        <v>45.792</v>
      </c>
      <c r="L100" s="125"/>
      <c r="M100" s="126"/>
      <c r="N100" s="127"/>
      <c r="O100" s="127"/>
    </row>
    <row r="101">
      <c r="A101" s="69" t="s">
        <v>5705</v>
      </c>
      <c r="B101" s="69" t="s">
        <v>5473</v>
      </c>
      <c r="C101" s="112" t="s">
        <v>5703</v>
      </c>
      <c r="D101" s="69"/>
      <c r="E101" s="69" t="s">
        <v>3898</v>
      </c>
      <c r="F101" s="69" t="s">
        <v>5706</v>
      </c>
      <c r="G101" s="69" t="s">
        <v>799</v>
      </c>
      <c r="H101" s="113" t="s">
        <v>1543</v>
      </c>
      <c r="I101" s="114">
        <f t="array" ref="I101">XLOOKUP(G101,KLUS!$A$2:$A$2010,KLUS!$E$2:$E$2010)+XLOOKUP(H101,KLUS!$A$2:$A$2010,KLUS!$E$2:$E$2010)</f>
        <v>63.6</v>
      </c>
      <c r="J101" s="114">
        <f t="shared" si="1"/>
        <v>57.24</v>
      </c>
      <c r="K101" s="115">
        <f t="shared" si="2"/>
        <v>45.792</v>
      </c>
      <c r="L101" s="125"/>
      <c r="M101" s="126"/>
      <c r="N101" s="127"/>
      <c r="O101" s="127"/>
    </row>
    <row r="102">
      <c r="A102" s="69" t="s">
        <v>5707</v>
      </c>
      <c r="B102" s="69" t="s">
        <v>5473</v>
      </c>
      <c r="C102" s="112" t="s">
        <v>5708</v>
      </c>
      <c r="D102" s="69"/>
      <c r="E102" s="69" t="s">
        <v>3906</v>
      </c>
      <c r="F102" s="69" t="s">
        <v>5709</v>
      </c>
      <c r="G102" s="69" t="s">
        <v>802</v>
      </c>
      <c r="H102" s="113" t="s">
        <v>1539</v>
      </c>
      <c r="I102" s="114">
        <f t="array" ref="I102">XLOOKUP(G102,KLUS!$A$2:$A$2010,KLUS!$E$2:$E$2010)+XLOOKUP(H102,KLUS!$A$2:$A$2010,KLUS!$E$2:$E$2010)</f>
        <v>127.3</v>
      </c>
      <c r="J102" s="114">
        <f t="shared" si="1"/>
        <v>114.57</v>
      </c>
      <c r="K102" s="115">
        <f t="shared" si="2"/>
        <v>91.656</v>
      </c>
      <c r="L102" s="125"/>
      <c r="M102" s="126"/>
      <c r="N102" s="127"/>
      <c r="O102" s="127"/>
    </row>
    <row r="103">
      <c r="A103" s="69" t="s">
        <v>5710</v>
      </c>
      <c r="B103" s="69" t="s">
        <v>5473</v>
      </c>
      <c r="C103" s="112" t="s">
        <v>5708</v>
      </c>
      <c r="D103" s="69"/>
      <c r="E103" s="69" t="s">
        <v>3908</v>
      </c>
      <c r="F103" s="69" t="s">
        <v>5711</v>
      </c>
      <c r="G103" s="69" t="s">
        <v>802</v>
      </c>
      <c r="H103" s="113" t="s">
        <v>1545</v>
      </c>
      <c r="I103" s="114">
        <f t="array" ref="I103">XLOOKUP(G103,KLUS!$A$2:$A$2010,KLUS!$E$2:$E$2010)+XLOOKUP(H103,KLUS!$A$2:$A$2010,KLUS!$E$2:$E$2010)</f>
        <v>127.3</v>
      </c>
      <c r="J103" s="114">
        <f t="shared" si="1"/>
        <v>114.57</v>
      </c>
      <c r="K103" s="115">
        <f t="shared" si="2"/>
        <v>91.656</v>
      </c>
      <c r="L103" s="125"/>
      <c r="M103" s="126"/>
      <c r="N103" s="127"/>
      <c r="O103" s="127"/>
    </row>
    <row r="104">
      <c r="A104" s="69" t="s">
        <v>5712</v>
      </c>
      <c r="B104" s="69" t="s">
        <v>5473</v>
      </c>
      <c r="C104" s="112" t="s">
        <v>5713</v>
      </c>
      <c r="D104" s="69"/>
      <c r="E104" s="69" t="s">
        <v>3918</v>
      </c>
      <c r="F104" s="69" t="s">
        <v>5714</v>
      </c>
      <c r="G104" s="69" t="s">
        <v>804</v>
      </c>
      <c r="H104" s="113" t="s">
        <v>1541</v>
      </c>
      <c r="I104" s="114">
        <f t="array" ref="I104">XLOOKUP(G104,KLUS!$A$2:$A$2010,KLUS!$E$2:$E$2010)+XLOOKUP(H104,KLUS!$A$2:$A$2010,KLUS!$E$2:$E$2010)</f>
        <v>190.9</v>
      </c>
      <c r="J104" s="114">
        <f t="shared" si="1"/>
        <v>171.81</v>
      </c>
      <c r="K104" s="115">
        <f t="shared" si="2"/>
        <v>137.448</v>
      </c>
      <c r="L104" s="125"/>
      <c r="M104" s="126"/>
      <c r="N104" s="127"/>
      <c r="O104" s="127"/>
    </row>
    <row r="105">
      <c r="A105" s="69" t="s">
        <v>5715</v>
      </c>
      <c r="B105" s="69" t="s">
        <v>5473</v>
      </c>
      <c r="C105" s="112" t="s">
        <v>5716</v>
      </c>
      <c r="D105" s="69"/>
      <c r="E105" s="69" t="s">
        <v>5717</v>
      </c>
      <c r="F105" s="118"/>
      <c r="G105" s="69" t="s">
        <v>804</v>
      </c>
      <c r="H105" s="113" t="s">
        <v>1553</v>
      </c>
      <c r="I105" s="114">
        <f t="array" ref="I105">XLOOKUP(G105,KLUS!$A$2:$A$2010,KLUS!$E$2:$E$2010)+XLOOKUP(H105,KLUS!$A$2:$A$2010,KLUS!$E$2:$E$2010)</f>
        <v>213.1</v>
      </c>
      <c r="J105" s="114">
        <f t="shared" si="1"/>
        <v>191.79</v>
      </c>
      <c r="K105" s="115">
        <f t="shared" si="2"/>
        <v>153.432</v>
      </c>
      <c r="L105" s="125"/>
      <c r="M105" s="126"/>
      <c r="N105" s="127"/>
      <c r="O105" s="127"/>
    </row>
    <row r="106">
      <c r="A106" s="69" t="s">
        <v>5718</v>
      </c>
      <c r="B106" s="69" t="s">
        <v>5473</v>
      </c>
      <c r="C106" s="112" t="s">
        <v>5719</v>
      </c>
      <c r="D106" s="69"/>
      <c r="E106" s="69" t="s">
        <v>5720</v>
      </c>
      <c r="F106" s="69" t="s">
        <v>5721</v>
      </c>
      <c r="G106" s="69" t="s">
        <v>476</v>
      </c>
      <c r="H106" s="116" t="s">
        <v>1543</v>
      </c>
      <c r="I106" s="114">
        <f t="array" ref="I106">XLOOKUP(G106,KLUS!$A$2:$A$2010,KLUS!$E$2:$E$2010)+XLOOKUP(H106,KLUS!$A$2:$A$2010,KLUS!$E$2:$E$2010)</f>
        <v>79</v>
      </c>
      <c r="J106" s="114">
        <f t="shared" si="1"/>
        <v>71.1</v>
      </c>
      <c r="K106" s="115">
        <f t="shared" si="2"/>
        <v>56.88</v>
      </c>
      <c r="L106" s="125"/>
      <c r="M106" s="126"/>
      <c r="N106" s="127"/>
      <c r="O106" s="127"/>
    </row>
    <row r="107">
      <c r="A107" s="69" t="s">
        <v>5722</v>
      </c>
      <c r="B107" s="69" t="s">
        <v>5473</v>
      </c>
      <c r="C107" s="112" t="s">
        <v>5719</v>
      </c>
      <c r="D107" s="69"/>
      <c r="E107" s="69" t="s">
        <v>5723</v>
      </c>
      <c r="F107" s="69" t="s">
        <v>5724</v>
      </c>
      <c r="G107" s="69" t="s">
        <v>476</v>
      </c>
      <c r="H107" s="113" t="s">
        <v>1536</v>
      </c>
      <c r="I107" s="114">
        <f t="array" ref="I107">XLOOKUP(G107,KLUS!$A$2:$A$2010,KLUS!$E$2:$E$2010)+XLOOKUP(H107,KLUS!$A$2:$A$2010,KLUS!$E$2:$E$2010)</f>
        <v>79</v>
      </c>
      <c r="J107" s="114">
        <f t="shared" si="1"/>
        <v>71.1</v>
      </c>
      <c r="K107" s="115">
        <f t="shared" si="2"/>
        <v>56.88</v>
      </c>
      <c r="L107" s="125"/>
      <c r="M107" s="126"/>
      <c r="N107" s="127"/>
      <c r="O107" s="127"/>
    </row>
    <row r="108">
      <c r="A108" s="69" t="s">
        <v>5725</v>
      </c>
      <c r="B108" s="69" t="s">
        <v>5473</v>
      </c>
      <c r="C108" s="112" t="s">
        <v>5726</v>
      </c>
      <c r="D108" s="69"/>
      <c r="E108" s="69" t="s">
        <v>5727</v>
      </c>
      <c r="F108" s="69" t="s">
        <v>5728</v>
      </c>
      <c r="G108" s="69" t="s">
        <v>479</v>
      </c>
      <c r="H108" s="113" t="s">
        <v>1539</v>
      </c>
      <c r="I108" s="114">
        <f t="array" ref="I108">XLOOKUP(G108,KLUS!$A$2:$A$2010,KLUS!$E$2:$E$2010)+XLOOKUP(H108,KLUS!$A$2:$A$2010,KLUS!$E$2:$E$2010)</f>
        <v>158</v>
      </c>
      <c r="J108" s="114">
        <f t="shared" si="1"/>
        <v>142.2</v>
      </c>
      <c r="K108" s="115">
        <f t="shared" si="2"/>
        <v>113.76</v>
      </c>
      <c r="L108" s="125"/>
      <c r="M108" s="126"/>
      <c r="N108" s="127"/>
      <c r="O108" s="127"/>
    </row>
    <row r="109">
      <c r="A109" s="69" t="s">
        <v>5729</v>
      </c>
      <c r="B109" s="69" t="s">
        <v>5473</v>
      </c>
      <c r="C109" s="112" t="s">
        <v>5726</v>
      </c>
      <c r="D109" s="69"/>
      <c r="E109" s="69" t="s">
        <v>5730</v>
      </c>
      <c r="F109" s="69" t="s">
        <v>5731</v>
      </c>
      <c r="G109" s="69" t="s">
        <v>479</v>
      </c>
      <c r="H109" s="113" t="s">
        <v>1545</v>
      </c>
      <c r="I109" s="114">
        <f t="array" ref="I109">XLOOKUP(G109,KLUS!$A$2:$A$2010,KLUS!$E$2:$E$2010)+XLOOKUP(H109,KLUS!$A$2:$A$2010,KLUS!$E$2:$E$2010)</f>
        <v>158</v>
      </c>
      <c r="J109" s="114">
        <f t="shared" si="1"/>
        <v>142.2</v>
      </c>
      <c r="K109" s="115">
        <f t="shared" si="2"/>
        <v>113.76</v>
      </c>
      <c r="L109" s="125"/>
      <c r="M109" s="126"/>
      <c r="N109" s="127"/>
      <c r="O109" s="127"/>
    </row>
    <row r="110">
      <c r="A110" s="69" t="s">
        <v>5732</v>
      </c>
      <c r="B110" s="69" t="s">
        <v>5473</v>
      </c>
      <c r="C110" s="112" t="s">
        <v>5733</v>
      </c>
      <c r="D110" s="69"/>
      <c r="E110" s="69" t="s">
        <v>5734</v>
      </c>
      <c r="F110" s="69" t="s">
        <v>5735</v>
      </c>
      <c r="G110" s="69" t="s">
        <v>481</v>
      </c>
      <c r="H110" s="113" t="s">
        <v>1541</v>
      </c>
      <c r="I110" s="114">
        <f t="array" ref="I110">XLOOKUP(G110,KLUS!$A$2:$A$2010,KLUS!$E$2:$E$2010)+XLOOKUP(H110,KLUS!$A$2:$A$2010,KLUS!$E$2:$E$2010)</f>
        <v>236.9</v>
      </c>
      <c r="J110" s="114">
        <f t="shared" si="1"/>
        <v>213.21</v>
      </c>
      <c r="K110" s="115">
        <f t="shared" si="2"/>
        <v>170.568</v>
      </c>
      <c r="L110" s="125"/>
      <c r="M110" s="126"/>
      <c r="N110" s="127"/>
      <c r="O110" s="127"/>
    </row>
    <row r="111">
      <c r="A111" s="69" t="s">
        <v>5736</v>
      </c>
      <c r="B111" s="69" t="s">
        <v>5473</v>
      </c>
      <c r="C111" s="112" t="s">
        <v>5733</v>
      </c>
      <c r="D111" s="69"/>
      <c r="E111" s="69" t="s">
        <v>5737</v>
      </c>
      <c r="F111" s="69" t="s">
        <v>5738</v>
      </c>
      <c r="G111" s="69" t="s">
        <v>481</v>
      </c>
      <c r="H111" s="113" t="s">
        <v>1547</v>
      </c>
      <c r="I111" s="114">
        <f t="array" ref="I111">XLOOKUP(G111,KLUS!$A$2:$A$2010,KLUS!$E$2:$E$2010)+XLOOKUP(H111,KLUS!$A$2:$A$2010,KLUS!$E$2:$E$2010)</f>
        <v>236.9</v>
      </c>
      <c r="J111" s="114">
        <f t="shared" si="1"/>
        <v>213.21</v>
      </c>
      <c r="K111" s="115">
        <f t="shared" si="2"/>
        <v>170.568</v>
      </c>
      <c r="L111" s="125"/>
      <c r="M111" s="126"/>
      <c r="N111" s="127"/>
      <c r="O111" s="127"/>
    </row>
    <row r="112">
      <c r="A112" s="69" t="s">
        <v>5739</v>
      </c>
      <c r="B112" s="69" t="s">
        <v>5473</v>
      </c>
      <c r="C112" s="112" t="s">
        <v>5740</v>
      </c>
      <c r="D112" s="69"/>
      <c r="E112" s="69" t="s">
        <v>3957</v>
      </c>
      <c r="F112" s="69" t="s">
        <v>5741</v>
      </c>
      <c r="G112" s="69" t="s">
        <v>778</v>
      </c>
      <c r="H112" s="116" t="s">
        <v>1567</v>
      </c>
      <c r="I112" s="114">
        <f t="array" ref="I112">XLOOKUP(G112,KLUS!$A$2:$A$2010,KLUS!$E$2:$E$2010)+XLOOKUP(H112,KLUS!$A$2:$A$2010,KLUS!$E$2:$E$2010)</f>
        <v>68.8</v>
      </c>
      <c r="J112" s="114">
        <f t="shared" si="1"/>
        <v>61.92</v>
      </c>
      <c r="K112" s="115">
        <f t="shared" si="2"/>
        <v>49.536</v>
      </c>
      <c r="L112" s="125"/>
      <c r="M112" s="126"/>
      <c r="N112" s="127"/>
      <c r="O112" s="127"/>
    </row>
    <row r="113">
      <c r="A113" s="69" t="s">
        <v>5742</v>
      </c>
      <c r="B113" s="69" t="s">
        <v>5473</v>
      </c>
      <c r="C113" s="112" t="s">
        <v>5743</v>
      </c>
      <c r="D113" s="69"/>
      <c r="E113" s="69" t="s">
        <v>3959</v>
      </c>
      <c r="F113" s="69" t="s">
        <v>5744</v>
      </c>
      <c r="G113" s="69" t="s">
        <v>778</v>
      </c>
      <c r="H113" s="113" t="s">
        <v>1543</v>
      </c>
      <c r="I113" s="114">
        <f t="array" ref="I113">XLOOKUP(G113,KLUS!$A$2:$A$2010,KLUS!$E$2:$E$2010)+XLOOKUP(H113,KLUS!$A$2:$A$2010,KLUS!$E$2:$E$2010)</f>
        <v>63.6</v>
      </c>
      <c r="J113" s="114">
        <f t="shared" si="1"/>
        <v>57.24</v>
      </c>
      <c r="K113" s="115">
        <f t="shared" si="2"/>
        <v>45.792</v>
      </c>
      <c r="L113" s="125"/>
      <c r="M113" s="126"/>
      <c r="N113" s="127"/>
      <c r="O113" s="127"/>
    </row>
    <row r="114">
      <c r="A114" s="69" t="s">
        <v>5745</v>
      </c>
      <c r="B114" s="69" t="s">
        <v>5473</v>
      </c>
      <c r="C114" s="112" t="s">
        <v>5743</v>
      </c>
      <c r="D114" s="69"/>
      <c r="E114" s="69" t="s">
        <v>3962</v>
      </c>
      <c r="F114" s="69" t="s">
        <v>5746</v>
      </c>
      <c r="G114" s="69" t="s">
        <v>778</v>
      </c>
      <c r="H114" s="116" t="s">
        <v>1536</v>
      </c>
      <c r="I114" s="114">
        <f t="array" ref="I114">XLOOKUP(G114,KLUS!$A$2:$A$2010,KLUS!$E$2:$E$2010)+XLOOKUP(H114,KLUS!$A$2:$A$2010,KLUS!$E$2:$E$2010)</f>
        <v>63.6</v>
      </c>
      <c r="J114" s="114">
        <f t="shared" si="1"/>
        <v>57.24</v>
      </c>
      <c r="K114" s="115">
        <f t="shared" si="2"/>
        <v>45.792</v>
      </c>
      <c r="L114" s="125"/>
      <c r="M114" s="126"/>
      <c r="N114" s="127"/>
      <c r="O114" s="127"/>
    </row>
    <row r="115">
      <c r="A115" s="69" t="s">
        <v>5747</v>
      </c>
      <c r="B115" s="69" t="s">
        <v>5473</v>
      </c>
      <c r="C115" s="112" t="s">
        <v>5748</v>
      </c>
      <c r="D115" s="69"/>
      <c r="E115" s="69" t="s">
        <v>3967</v>
      </c>
      <c r="F115" s="69" t="s">
        <v>5749</v>
      </c>
      <c r="G115" s="69" t="s">
        <v>781</v>
      </c>
      <c r="H115" s="113" t="s">
        <v>1539</v>
      </c>
      <c r="I115" s="114">
        <f t="array" ref="I115">XLOOKUP(G115,KLUS!$A$2:$A$2010,KLUS!$E$2:$E$2010)+XLOOKUP(H115,KLUS!$A$2:$A$2010,KLUS!$E$2:$E$2010)</f>
        <v>127.2</v>
      </c>
      <c r="J115" s="114">
        <f t="shared" si="1"/>
        <v>114.48</v>
      </c>
      <c r="K115" s="115">
        <f t="shared" si="2"/>
        <v>91.584</v>
      </c>
      <c r="L115" s="125"/>
      <c r="M115" s="126"/>
      <c r="N115" s="127"/>
      <c r="O115" s="127"/>
    </row>
    <row r="116">
      <c r="A116" s="69" t="s">
        <v>5750</v>
      </c>
      <c r="B116" s="69" t="s">
        <v>5473</v>
      </c>
      <c r="C116" s="112" t="s">
        <v>5751</v>
      </c>
      <c r="D116" s="69"/>
      <c r="E116" s="69" t="s">
        <v>3969</v>
      </c>
      <c r="F116" s="69" t="s">
        <v>5752</v>
      </c>
      <c r="G116" s="69" t="s">
        <v>781</v>
      </c>
      <c r="H116" s="113" t="s">
        <v>1569</v>
      </c>
      <c r="I116" s="114">
        <f t="array" ref="I116">XLOOKUP(G116,KLUS!$A$2:$A$2010,KLUS!$E$2:$E$2010)+XLOOKUP(H116,KLUS!$A$2:$A$2010,KLUS!$E$2:$E$2010)</f>
        <v>137.5</v>
      </c>
      <c r="J116" s="114">
        <f t="shared" si="1"/>
        <v>123.75</v>
      </c>
      <c r="K116" s="115">
        <f t="shared" si="2"/>
        <v>99</v>
      </c>
      <c r="L116" s="125"/>
      <c r="M116" s="126"/>
      <c r="N116" s="127"/>
      <c r="O116" s="127"/>
    </row>
    <row r="117">
      <c r="A117" s="69" t="s">
        <v>5753</v>
      </c>
      <c r="B117" s="69" t="s">
        <v>5473</v>
      </c>
      <c r="C117" s="112" t="s">
        <v>5748</v>
      </c>
      <c r="D117" s="69"/>
      <c r="E117" s="69" t="s">
        <v>3971</v>
      </c>
      <c r="F117" s="69" t="s">
        <v>5754</v>
      </c>
      <c r="G117" s="69" t="s">
        <v>781</v>
      </c>
      <c r="H117" s="113" t="s">
        <v>1545</v>
      </c>
      <c r="I117" s="114">
        <f t="array" ref="I117">XLOOKUP(G117,KLUS!$A$2:$A$2010,KLUS!$E$2:$E$2010)+XLOOKUP(H117,KLUS!$A$2:$A$2010,KLUS!$E$2:$E$2010)</f>
        <v>127.2</v>
      </c>
      <c r="J117" s="114">
        <f t="shared" si="1"/>
        <v>114.48</v>
      </c>
      <c r="K117" s="115">
        <f t="shared" si="2"/>
        <v>91.584</v>
      </c>
      <c r="L117" s="125"/>
      <c r="M117" s="126"/>
      <c r="N117" s="127"/>
      <c r="O117" s="127"/>
    </row>
    <row r="118">
      <c r="A118" s="69" t="s">
        <v>5755</v>
      </c>
      <c r="B118" s="69" t="s">
        <v>5473</v>
      </c>
      <c r="C118" s="112" t="s">
        <v>5756</v>
      </c>
      <c r="D118" s="69"/>
      <c r="E118" s="69" t="s">
        <v>3977</v>
      </c>
      <c r="F118" s="69" t="s">
        <v>5757</v>
      </c>
      <c r="G118" s="69" t="s">
        <v>783</v>
      </c>
      <c r="H118" s="113" t="s">
        <v>1541</v>
      </c>
      <c r="I118" s="114">
        <f t="array" ref="I118">XLOOKUP(G118,KLUS!$A$2:$A$2010,KLUS!$E$2:$E$2010)+XLOOKUP(H118,KLUS!$A$2:$A$2010,KLUS!$E$2:$E$2010)</f>
        <v>190.9</v>
      </c>
      <c r="J118" s="114">
        <f t="shared" si="1"/>
        <v>171.81</v>
      </c>
      <c r="K118" s="115">
        <f t="shared" si="2"/>
        <v>137.448</v>
      </c>
      <c r="L118" s="125"/>
      <c r="M118" s="126"/>
      <c r="N118" s="127"/>
      <c r="O118" s="127"/>
    </row>
    <row r="119">
      <c r="A119" s="69" t="s">
        <v>5758</v>
      </c>
      <c r="B119" s="69" t="s">
        <v>5473</v>
      </c>
      <c r="C119" s="112" t="s">
        <v>5759</v>
      </c>
      <c r="D119" s="69"/>
      <c r="E119" s="69" t="s">
        <v>5760</v>
      </c>
      <c r="F119" s="69" t="s">
        <v>5761</v>
      </c>
      <c r="G119" s="69" t="s">
        <v>79</v>
      </c>
      <c r="H119" s="113" t="s">
        <v>1394</v>
      </c>
      <c r="I119" s="114">
        <f t="array" ref="I119">XLOOKUP(G119,KLUS!$A$2:$A$2010,KLUS!$E$2:$E$2010)+XLOOKUP(H119,KLUS!$A$2:$A$2010,KLUS!$E$2:$E$2010)</f>
        <v>29</v>
      </c>
      <c r="J119" s="114">
        <f t="shared" si="1"/>
        <v>26.1</v>
      </c>
      <c r="K119" s="115">
        <f t="shared" si="2"/>
        <v>20.88</v>
      </c>
      <c r="L119" s="125"/>
      <c r="M119" s="126"/>
      <c r="N119" s="127"/>
      <c r="O119" s="127"/>
    </row>
    <row r="120">
      <c r="A120" s="69" t="s">
        <v>5762</v>
      </c>
      <c r="B120" s="69" t="s">
        <v>5473</v>
      </c>
      <c r="C120" s="112" t="s">
        <v>5763</v>
      </c>
      <c r="D120" s="69"/>
      <c r="E120" s="69" t="s">
        <v>5764</v>
      </c>
      <c r="F120" s="69" t="s">
        <v>5765</v>
      </c>
      <c r="G120" s="69" t="s">
        <v>79</v>
      </c>
      <c r="H120" s="113" t="s">
        <v>1369</v>
      </c>
      <c r="I120" s="114">
        <f t="array" ref="I120">XLOOKUP(G120,KLUS!$A$2:$A$2010,KLUS!$E$2:$E$2010)+XLOOKUP(H120,KLUS!$A$2:$A$2010,KLUS!$E$2:$E$2010)</f>
        <v>27.7</v>
      </c>
      <c r="J120" s="114">
        <f t="shared" si="1"/>
        <v>24.93</v>
      </c>
      <c r="K120" s="115">
        <f t="shared" si="2"/>
        <v>19.944</v>
      </c>
      <c r="L120" s="125"/>
      <c r="M120" s="126"/>
      <c r="N120" s="127"/>
      <c r="O120" s="127"/>
    </row>
    <row r="121">
      <c r="A121" s="69" t="s">
        <v>5766</v>
      </c>
      <c r="B121" s="69" t="s">
        <v>5486</v>
      </c>
      <c r="C121" s="112" t="s">
        <v>5767</v>
      </c>
      <c r="D121" s="69"/>
      <c r="E121" s="69" t="s">
        <v>3992</v>
      </c>
      <c r="F121" s="69" t="s">
        <v>5768</v>
      </c>
      <c r="G121" s="69" t="s">
        <v>79</v>
      </c>
      <c r="H121" s="113" t="s">
        <v>1356</v>
      </c>
      <c r="I121" s="114">
        <f t="array" ref="I121">XLOOKUP(G121,KLUS!$A$2:$A$2010,KLUS!$E$2:$E$2010)+XLOOKUP(H121,KLUS!$A$2:$A$2010,KLUS!$E$2:$E$2010)</f>
        <v>21.9</v>
      </c>
      <c r="J121" s="114">
        <f t="shared" si="1"/>
        <v>19.71</v>
      </c>
      <c r="K121" s="115">
        <f t="shared" si="2"/>
        <v>15.768</v>
      </c>
      <c r="L121" s="125"/>
      <c r="M121" s="126"/>
      <c r="N121" s="127"/>
      <c r="O121" s="127"/>
    </row>
    <row r="122">
      <c r="A122" s="69" t="s">
        <v>5769</v>
      </c>
      <c r="B122" s="69" t="s">
        <v>5473</v>
      </c>
      <c r="C122" s="112" t="s">
        <v>5759</v>
      </c>
      <c r="D122" s="69"/>
      <c r="E122" s="69" t="s">
        <v>5770</v>
      </c>
      <c r="F122" s="69" t="s">
        <v>5771</v>
      </c>
      <c r="G122" s="69" t="s">
        <v>79</v>
      </c>
      <c r="H122" s="113" t="s">
        <v>1400</v>
      </c>
      <c r="I122" s="114">
        <f t="array" ref="I122">XLOOKUP(G122,KLUS!$A$2:$A$2010,KLUS!$E$2:$E$2010)+XLOOKUP(H122,KLUS!$A$2:$A$2010,KLUS!$E$2:$E$2010)</f>
        <v>29</v>
      </c>
      <c r="J122" s="114">
        <f t="shared" si="1"/>
        <v>26.1</v>
      </c>
      <c r="K122" s="115">
        <f t="shared" si="2"/>
        <v>20.88</v>
      </c>
      <c r="L122" s="125"/>
      <c r="M122" s="126"/>
      <c r="N122" s="127"/>
      <c r="O122" s="127"/>
    </row>
    <row r="123">
      <c r="A123" s="69" t="s">
        <v>5772</v>
      </c>
      <c r="B123" s="69" t="s">
        <v>5473</v>
      </c>
      <c r="C123" s="112" t="s">
        <v>5763</v>
      </c>
      <c r="D123" s="69"/>
      <c r="E123" s="69" t="s">
        <v>5773</v>
      </c>
      <c r="F123" s="69" t="s">
        <v>5774</v>
      </c>
      <c r="G123" s="69" t="s">
        <v>79</v>
      </c>
      <c r="H123" s="113" t="s">
        <v>1376</v>
      </c>
      <c r="I123" s="114">
        <f t="array" ref="I123">XLOOKUP(G123,KLUS!$A$2:$A$2010,KLUS!$E$2:$E$2010)+XLOOKUP(H123,KLUS!$A$2:$A$2010,KLUS!$E$2:$E$2010)</f>
        <v>27.7</v>
      </c>
      <c r="J123" s="114">
        <f t="shared" si="1"/>
        <v>24.93</v>
      </c>
      <c r="K123" s="115">
        <f t="shared" si="2"/>
        <v>19.944</v>
      </c>
      <c r="L123" s="125"/>
      <c r="M123" s="126"/>
      <c r="N123" s="127"/>
      <c r="O123" s="127"/>
    </row>
    <row r="124">
      <c r="A124" s="69" t="s">
        <v>5775</v>
      </c>
      <c r="B124" s="69" t="s">
        <v>5486</v>
      </c>
      <c r="C124" s="112" t="s">
        <v>5767</v>
      </c>
      <c r="D124" s="69"/>
      <c r="E124" s="69" t="s">
        <v>3998</v>
      </c>
      <c r="F124" s="69" t="s">
        <v>5776</v>
      </c>
      <c r="G124" s="69" t="s">
        <v>79</v>
      </c>
      <c r="H124" s="113" t="s">
        <v>1363</v>
      </c>
      <c r="I124" s="114">
        <f t="array" ref="I124">XLOOKUP(G124,KLUS!$A$2:$A$2010,KLUS!$E$2:$E$2010)+XLOOKUP(H124,KLUS!$A$2:$A$2010,KLUS!$E$2:$E$2010)</f>
        <v>21.9</v>
      </c>
      <c r="J124" s="114">
        <f t="shared" si="1"/>
        <v>19.71</v>
      </c>
      <c r="K124" s="115">
        <f t="shared" si="2"/>
        <v>15.768</v>
      </c>
      <c r="L124" s="125"/>
      <c r="M124" s="126"/>
      <c r="N124" s="127"/>
      <c r="O124" s="127"/>
    </row>
    <row r="125">
      <c r="A125" s="69" t="s">
        <v>5777</v>
      </c>
      <c r="B125" s="69" t="s">
        <v>5473</v>
      </c>
      <c r="C125" s="112" t="s">
        <v>5778</v>
      </c>
      <c r="D125" s="69"/>
      <c r="E125" s="69" t="s">
        <v>5779</v>
      </c>
      <c r="F125" s="69" t="s">
        <v>5780</v>
      </c>
      <c r="G125" s="69" t="s">
        <v>91</v>
      </c>
      <c r="H125" s="113" t="s">
        <v>1369</v>
      </c>
      <c r="I125" s="114">
        <f t="array" ref="I125">XLOOKUP(G125,KLUS!$A$2:$A$2010,KLUS!$E$2:$E$2010)+XLOOKUP(H125,KLUS!$A$2:$A$2010,KLUS!$E$2:$E$2010)</f>
        <v>30.8</v>
      </c>
      <c r="J125" s="114">
        <f t="shared" si="1"/>
        <v>27.72</v>
      </c>
      <c r="K125" s="115">
        <f t="shared" si="2"/>
        <v>22.176</v>
      </c>
      <c r="L125" s="125"/>
      <c r="M125" s="126"/>
      <c r="N125" s="127"/>
      <c r="O125" s="127"/>
    </row>
    <row r="126">
      <c r="A126" s="69" t="s">
        <v>5781</v>
      </c>
      <c r="B126" s="69" t="s">
        <v>5473</v>
      </c>
      <c r="C126" s="112" t="s">
        <v>5782</v>
      </c>
      <c r="D126" s="69"/>
      <c r="E126" s="69" t="s">
        <v>5783</v>
      </c>
      <c r="F126" s="69" t="s">
        <v>5784</v>
      </c>
      <c r="G126" s="69" t="s">
        <v>91</v>
      </c>
      <c r="H126" s="113" t="s">
        <v>1356</v>
      </c>
      <c r="I126" s="114">
        <f t="array" ref="I126">XLOOKUP(G126,KLUS!$A$2:$A$2010,KLUS!$E$2:$E$2010)+XLOOKUP(H126,KLUS!$A$2:$A$2010,KLUS!$E$2:$E$2010)</f>
        <v>25</v>
      </c>
      <c r="J126" s="114">
        <f t="shared" si="1"/>
        <v>22.5</v>
      </c>
      <c r="K126" s="115">
        <f t="shared" si="2"/>
        <v>18</v>
      </c>
      <c r="L126" s="125"/>
      <c r="M126" s="126"/>
      <c r="N126" s="127"/>
      <c r="O126" s="127"/>
    </row>
    <row r="127">
      <c r="A127" s="69" t="s">
        <v>5785</v>
      </c>
      <c r="B127" s="69" t="s">
        <v>5473</v>
      </c>
      <c r="C127" s="112" t="s">
        <v>5778</v>
      </c>
      <c r="D127" s="69"/>
      <c r="E127" s="69" t="s">
        <v>5786</v>
      </c>
      <c r="F127" s="69" t="s">
        <v>5787</v>
      </c>
      <c r="G127" s="69" t="s">
        <v>91</v>
      </c>
      <c r="H127" s="113" t="s">
        <v>1376</v>
      </c>
      <c r="I127" s="114">
        <f t="array" ref="I127">XLOOKUP(G127,KLUS!$A$2:$A$2010,KLUS!$E$2:$E$2010)+XLOOKUP(H127,KLUS!$A$2:$A$2010,KLUS!$E$2:$E$2010)</f>
        <v>30.8</v>
      </c>
      <c r="J127" s="114">
        <f t="shared" si="1"/>
        <v>27.72</v>
      </c>
      <c r="K127" s="115">
        <f t="shared" si="2"/>
        <v>22.176</v>
      </c>
      <c r="L127" s="125"/>
      <c r="M127" s="126"/>
      <c r="N127" s="127"/>
      <c r="O127" s="127"/>
    </row>
    <row r="128">
      <c r="A128" s="69" t="s">
        <v>5788</v>
      </c>
      <c r="B128" s="69" t="s">
        <v>5473</v>
      </c>
      <c r="C128" s="112" t="s">
        <v>5789</v>
      </c>
      <c r="D128" s="69"/>
      <c r="E128" s="69" t="s">
        <v>5790</v>
      </c>
      <c r="F128" s="69" t="s">
        <v>5791</v>
      </c>
      <c r="G128" s="69" t="s">
        <v>85</v>
      </c>
      <c r="H128" s="113" t="s">
        <v>1369</v>
      </c>
      <c r="I128" s="114">
        <f t="array" ref="I128">XLOOKUP(G128,KLUS!$A$2:$A$2010,KLUS!$E$2:$E$2010)+XLOOKUP(H128,KLUS!$A$2:$A$2010,KLUS!$E$2:$E$2010)</f>
        <v>30.2</v>
      </c>
      <c r="J128" s="114">
        <f t="shared" si="1"/>
        <v>27.18</v>
      </c>
      <c r="K128" s="115">
        <f t="shared" si="2"/>
        <v>21.744</v>
      </c>
      <c r="L128" s="125"/>
      <c r="M128" s="126"/>
      <c r="N128" s="127"/>
      <c r="O128" s="127"/>
    </row>
    <row r="129">
      <c r="A129" s="69" t="s">
        <v>5792</v>
      </c>
      <c r="B129" s="69" t="s">
        <v>5473</v>
      </c>
      <c r="C129" s="112" t="s">
        <v>5793</v>
      </c>
      <c r="D129" s="69"/>
      <c r="E129" s="69" t="s">
        <v>5794</v>
      </c>
      <c r="F129" s="69" t="s">
        <v>5795</v>
      </c>
      <c r="G129" s="69" t="s">
        <v>85</v>
      </c>
      <c r="H129" s="113" t="s">
        <v>1356</v>
      </c>
      <c r="I129" s="114">
        <f t="array" ref="I129">XLOOKUP(G129,KLUS!$A$2:$A$2010,KLUS!$E$2:$E$2010)+XLOOKUP(H129,KLUS!$A$2:$A$2010,KLUS!$E$2:$E$2010)</f>
        <v>24.4</v>
      </c>
      <c r="J129" s="114">
        <f t="shared" si="1"/>
        <v>21.96</v>
      </c>
      <c r="K129" s="115">
        <f t="shared" si="2"/>
        <v>17.568</v>
      </c>
      <c r="L129" s="125"/>
      <c r="M129" s="126"/>
      <c r="N129" s="127"/>
      <c r="O129" s="127"/>
    </row>
    <row r="130">
      <c r="A130" s="69" t="s">
        <v>5796</v>
      </c>
      <c r="B130" s="69" t="s">
        <v>5473</v>
      </c>
      <c r="C130" s="112" t="s">
        <v>5797</v>
      </c>
      <c r="D130" s="69"/>
      <c r="E130" s="69" t="s">
        <v>5798</v>
      </c>
      <c r="F130" s="69" t="s">
        <v>5799</v>
      </c>
      <c r="G130" s="69" t="s">
        <v>72</v>
      </c>
      <c r="H130" s="113" t="s">
        <v>1394</v>
      </c>
      <c r="I130" s="114">
        <f t="array" ref="I130">XLOOKUP(G130,KLUS!$A$2:$A$2010,KLUS!$E$2:$E$2010)+XLOOKUP(H130,KLUS!$A$2:$A$2010,KLUS!$E$2:$E$2010)</f>
        <v>25.9</v>
      </c>
      <c r="J130" s="114">
        <f t="shared" si="1"/>
        <v>23.31</v>
      </c>
      <c r="K130" s="115">
        <f t="shared" si="2"/>
        <v>18.648</v>
      </c>
      <c r="L130" s="125"/>
      <c r="M130" s="126"/>
      <c r="N130" s="127"/>
      <c r="O130" s="127"/>
    </row>
    <row r="131">
      <c r="A131" s="69" t="s">
        <v>5800</v>
      </c>
      <c r="B131" s="69" t="s">
        <v>5473</v>
      </c>
      <c r="C131" s="112" t="s">
        <v>5801</v>
      </c>
      <c r="D131" s="69"/>
      <c r="E131" s="69" t="s">
        <v>4018</v>
      </c>
      <c r="F131" s="69" t="s">
        <v>5802</v>
      </c>
      <c r="G131" s="69" t="s">
        <v>72</v>
      </c>
      <c r="H131" s="113" t="s">
        <v>1369</v>
      </c>
      <c r="I131" s="114">
        <f t="array" ref="I131">XLOOKUP(G131,KLUS!$A$2:$A$2010,KLUS!$E$2:$E$2010)+XLOOKUP(H131,KLUS!$A$2:$A$2010,KLUS!$E$2:$E$2010)</f>
        <v>24.6</v>
      </c>
      <c r="J131" s="114">
        <f t="shared" si="1"/>
        <v>22.14</v>
      </c>
      <c r="K131" s="115">
        <f t="shared" si="2"/>
        <v>17.712</v>
      </c>
      <c r="L131" s="125"/>
      <c r="M131" s="126"/>
      <c r="N131" s="127"/>
      <c r="O131" s="127"/>
    </row>
    <row r="132">
      <c r="A132" s="69" t="s">
        <v>5803</v>
      </c>
      <c r="B132" s="69" t="s">
        <v>5486</v>
      </c>
      <c r="C132" s="112" t="s">
        <v>5804</v>
      </c>
      <c r="D132" s="69"/>
      <c r="E132" s="69" t="s">
        <v>4020</v>
      </c>
      <c r="F132" s="69" t="s">
        <v>5805</v>
      </c>
      <c r="G132" s="69" t="s">
        <v>72</v>
      </c>
      <c r="H132" s="113" t="s">
        <v>1356</v>
      </c>
      <c r="I132" s="114">
        <f t="array" ref="I132">XLOOKUP(G132,KLUS!$A$2:$A$2010,KLUS!$E$2:$E$2010)+XLOOKUP(H132,KLUS!$A$2:$A$2010,KLUS!$E$2:$E$2010)</f>
        <v>18.8</v>
      </c>
      <c r="J132" s="114">
        <f t="shared" si="1"/>
        <v>16.92</v>
      </c>
      <c r="K132" s="115">
        <f t="shared" si="2"/>
        <v>13.536</v>
      </c>
      <c r="L132" s="125"/>
      <c r="M132" s="126"/>
      <c r="N132" s="127"/>
      <c r="O132" s="127"/>
    </row>
    <row r="133">
      <c r="A133" s="69" t="s">
        <v>5806</v>
      </c>
      <c r="B133" s="69" t="s">
        <v>5473</v>
      </c>
      <c r="C133" s="112" t="s">
        <v>5797</v>
      </c>
      <c r="D133" s="69"/>
      <c r="E133" s="69" t="s">
        <v>5807</v>
      </c>
      <c r="F133" s="69" t="s">
        <v>5808</v>
      </c>
      <c r="G133" s="69" t="s">
        <v>72</v>
      </c>
      <c r="H133" s="113" t="s">
        <v>1400</v>
      </c>
      <c r="I133" s="114">
        <f t="array" ref="I133">XLOOKUP(G133,KLUS!$A$2:$A$2010,KLUS!$E$2:$E$2010)+XLOOKUP(H133,KLUS!$A$2:$A$2010,KLUS!$E$2:$E$2010)</f>
        <v>25.9</v>
      </c>
      <c r="J133" s="114">
        <f t="shared" si="1"/>
        <v>23.31</v>
      </c>
      <c r="K133" s="115">
        <f t="shared" si="2"/>
        <v>18.648</v>
      </c>
      <c r="L133" s="125"/>
      <c r="M133" s="126"/>
      <c r="N133" s="127"/>
      <c r="O133" s="127"/>
    </row>
    <row r="134">
      <c r="A134" s="69" t="s">
        <v>5809</v>
      </c>
      <c r="B134" s="69" t="s">
        <v>5473</v>
      </c>
      <c r="C134" s="112" t="s">
        <v>5801</v>
      </c>
      <c r="D134" s="69"/>
      <c r="E134" s="69" t="s">
        <v>4024</v>
      </c>
      <c r="F134" s="69" t="s">
        <v>5810</v>
      </c>
      <c r="G134" s="69" t="s">
        <v>72</v>
      </c>
      <c r="H134" s="113" t="s">
        <v>1376</v>
      </c>
      <c r="I134" s="114">
        <f t="array" ref="I134">XLOOKUP(G134,KLUS!$A$2:$A$2010,KLUS!$E$2:$E$2010)+XLOOKUP(H134,KLUS!$A$2:$A$2010,KLUS!$E$2:$E$2010)</f>
        <v>24.6</v>
      </c>
      <c r="J134" s="114">
        <f t="shared" si="1"/>
        <v>22.14</v>
      </c>
      <c r="K134" s="115">
        <f t="shared" si="2"/>
        <v>17.712</v>
      </c>
      <c r="L134" s="125"/>
      <c r="M134" s="126"/>
      <c r="N134" s="127"/>
      <c r="O134" s="127"/>
    </row>
    <row r="135">
      <c r="A135" s="69" t="s">
        <v>5811</v>
      </c>
      <c r="B135" s="69" t="s">
        <v>5486</v>
      </c>
      <c r="C135" s="112" t="s">
        <v>5804</v>
      </c>
      <c r="D135" s="69"/>
      <c r="E135" s="69" t="s">
        <v>4026</v>
      </c>
      <c r="F135" s="69" t="s">
        <v>5812</v>
      </c>
      <c r="G135" s="69" t="s">
        <v>72</v>
      </c>
      <c r="H135" s="113" t="s">
        <v>1363</v>
      </c>
      <c r="I135" s="114">
        <f t="array" ref="I135">XLOOKUP(G135,KLUS!$A$2:$A$2010,KLUS!$E$2:$E$2010)+XLOOKUP(H135,KLUS!$A$2:$A$2010,KLUS!$E$2:$E$2010)</f>
        <v>18.8</v>
      </c>
      <c r="J135" s="114">
        <f t="shared" si="1"/>
        <v>16.92</v>
      </c>
      <c r="K135" s="115">
        <f t="shared" si="2"/>
        <v>13.536</v>
      </c>
      <c r="L135" s="125"/>
      <c r="M135" s="126"/>
      <c r="N135" s="127"/>
      <c r="O135" s="127"/>
    </row>
    <row r="136">
      <c r="A136" s="69" t="s">
        <v>5813</v>
      </c>
      <c r="B136" s="69" t="s">
        <v>5473</v>
      </c>
      <c r="C136" s="112" t="s">
        <v>5814</v>
      </c>
      <c r="D136" s="69"/>
      <c r="E136" s="69" t="s">
        <v>5815</v>
      </c>
      <c r="F136" s="69" t="s">
        <v>5816</v>
      </c>
      <c r="G136" s="69" t="s">
        <v>81</v>
      </c>
      <c r="H136" s="113" t="s">
        <v>1396</v>
      </c>
      <c r="I136" s="114">
        <f t="array" ref="I136">XLOOKUP(G136,KLUS!$A$2:$A$2010,KLUS!$E$2:$E$2010)+XLOOKUP(H136,KLUS!$A$2:$A$2010,KLUS!$E$2:$E$2010)</f>
        <v>57.9</v>
      </c>
      <c r="J136" s="114">
        <f t="shared" si="1"/>
        <v>52.11</v>
      </c>
      <c r="K136" s="115">
        <f t="shared" si="2"/>
        <v>41.688</v>
      </c>
      <c r="L136" s="125"/>
      <c r="M136" s="126"/>
      <c r="N136" s="127"/>
      <c r="O136" s="127"/>
    </row>
    <row r="137">
      <c r="A137" s="69" t="s">
        <v>5817</v>
      </c>
      <c r="B137" s="69" t="s">
        <v>5473</v>
      </c>
      <c r="C137" s="112" t="s">
        <v>5818</v>
      </c>
      <c r="D137" s="69"/>
      <c r="E137" s="69" t="s">
        <v>5819</v>
      </c>
      <c r="F137" s="69" t="s">
        <v>5820</v>
      </c>
      <c r="G137" s="69" t="s">
        <v>81</v>
      </c>
      <c r="H137" s="113" t="s">
        <v>1372</v>
      </c>
      <c r="I137" s="114">
        <f t="array" ref="I137">XLOOKUP(G137,KLUS!$A$2:$A$2010,KLUS!$E$2:$E$2010)+XLOOKUP(H137,KLUS!$A$2:$A$2010,KLUS!$E$2:$E$2010)</f>
        <v>55.3</v>
      </c>
      <c r="J137" s="114">
        <f t="shared" si="1"/>
        <v>49.77</v>
      </c>
      <c r="K137" s="115">
        <f t="shared" si="2"/>
        <v>39.816</v>
      </c>
      <c r="L137" s="125"/>
      <c r="M137" s="126"/>
      <c r="N137" s="127"/>
      <c r="O137" s="127"/>
    </row>
    <row r="138">
      <c r="A138" s="69" t="s">
        <v>5821</v>
      </c>
      <c r="B138" s="69" t="s">
        <v>5486</v>
      </c>
      <c r="C138" s="112" t="s">
        <v>5822</v>
      </c>
      <c r="D138" s="69"/>
      <c r="E138" s="69" t="s">
        <v>4036</v>
      </c>
      <c r="F138" s="69" t="s">
        <v>5823</v>
      </c>
      <c r="G138" s="69" t="s">
        <v>81</v>
      </c>
      <c r="H138" s="116" t="s">
        <v>1359</v>
      </c>
      <c r="I138" s="114">
        <f t="array" ref="I138">XLOOKUP(G138,KLUS!$A$2:$A$2010,KLUS!$E$2:$E$2010)+XLOOKUP(H138,KLUS!$A$2:$A$2010,KLUS!$E$2:$E$2010)</f>
        <v>43.8</v>
      </c>
      <c r="J138" s="114">
        <f t="shared" si="1"/>
        <v>39.42</v>
      </c>
      <c r="K138" s="115">
        <f t="shared" si="2"/>
        <v>31.536</v>
      </c>
      <c r="L138" s="125"/>
      <c r="M138" s="126"/>
      <c r="N138" s="127"/>
      <c r="O138" s="127"/>
    </row>
    <row r="139">
      <c r="A139" s="69" t="s">
        <v>5824</v>
      </c>
      <c r="B139" s="69" t="s">
        <v>5473</v>
      </c>
      <c r="C139" s="112" t="s">
        <v>5814</v>
      </c>
      <c r="D139" s="69"/>
      <c r="E139" s="69" t="s">
        <v>5825</v>
      </c>
      <c r="F139" s="69" t="s">
        <v>5826</v>
      </c>
      <c r="G139" s="69" t="s">
        <v>81</v>
      </c>
      <c r="H139" s="113" t="s">
        <v>1402</v>
      </c>
      <c r="I139" s="114">
        <f t="array" ref="I139">XLOOKUP(G139,KLUS!$A$2:$A$2010,KLUS!$E$2:$E$2010)+XLOOKUP(H139,KLUS!$A$2:$A$2010,KLUS!$E$2:$E$2010)</f>
        <v>57.9</v>
      </c>
      <c r="J139" s="114">
        <f t="shared" si="1"/>
        <v>52.11</v>
      </c>
      <c r="K139" s="115">
        <f t="shared" si="2"/>
        <v>41.688</v>
      </c>
      <c r="L139" s="125"/>
      <c r="M139" s="126"/>
      <c r="N139" s="127"/>
      <c r="O139" s="127"/>
    </row>
    <row r="140">
      <c r="A140" s="69" t="s">
        <v>5827</v>
      </c>
      <c r="B140" s="69" t="s">
        <v>5486</v>
      </c>
      <c r="C140" s="112" t="s">
        <v>5828</v>
      </c>
      <c r="D140" s="69"/>
      <c r="E140" s="69" t="s">
        <v>5829</v>
      </c>
      <c r="F140" s="69" t="s">
        <v>5830</v>
      </c>
      <c r="G140" s="69" t="s">
        <v>81</v>
      </c>
      <c r="H140" s="113" t="s">
        <v>1378</v>
      </c>
      <c r="I140" s="114">
        <f t="array" ref="I140">XLOOKUP(G140,KLUS!$A$2:$A$2010,KLUS!$E$2:$E$2010)+XLOOKUP(H140,KLUS!$A$2:$A$2010,KLUS!$E$2:$E$2010)</f>
        <v>55.3</v>
      </c>
      <c r="J140" s="114">
        <f t="shared" si="1"/>
        <v>49.77</v>
      </c>
      <c r="K140" s="115">
        <f t="shared" si="2"/>
        <v>39.816</v>
      </c>
      <c r="L140" s="125"/>
      <c r="M140" s="126"/>
      <c r="N140" s="127"/>
      <c r="O140" s="127"/>
    </row>
    <row r="141">
      <c r="A141" s="69" t="s">
        <v>5831</v>
      </c>
      <c r="B141" s="69" t="s">
        <v>5486</v>
      </c>
      <c r="C141" s="112" t="s">
        <v>5832</v>
      </c>
      <c r="D141" s="69"/>
      <c r="E141" s="69" t="s">
        <v>4042</v>
      </c>
      <c r="F141" s="69" t="s">
        <v>5833</v>
      </c>
      <c r="G141" s="69" t="s">
        <v>81</v>
      </c>
      <c r="H141" s="113" t="s">
        <v>1365</v>
      </c>
      <c r="I141" s="114">
        <f t="array" ref="I141">XLOOKUP(G141,KLUS!$A$2:$A$2010,KLUS!$E$2:$E$2010)+XLOOKUP(H141,KLUS!$A$2:$A$2010,KLUS!$E$2:$E$2010)</f>
        <v>43.8</v>
      </c>
      <c r="J141" s="114">
        <f t="shared" si="1"/>
        <v>39.42</v>
      </c>
      <c r="K141" s="115">
        <f t="shared" si="2"/>
        <v>31.536</v>
      </c>
      <c r="L141" s="125"/>
      <c r="M141" s="126"/>
      <c r="N141" s="127"/>
      <c r="O141" s="127"/>
    </row>
    <row r="142">
      <c r="A142" s="69" t="s">
        <v>5834</v>
      </c>
      <c r="B142" s="69" t="s">
        <v>5473</v>
      </c>
      <c r="C142" s="112" t="s">
        <v>5835</v>
      </c>
      <c r="D142" s="69"/>
      <c r="E142" s="69" t="s">
        <v>5836</v>
      </c>
      <c r="F142" s="69" t="s">
        <v>5837</v>
      </c>
      <c r="G142" s="69" t="s">
        <v>93</v>
      </c>
      <c r="H142" s="116" t="s">
        <v>1372</v>
      </c>
      <c r="I142" s="114">
        <f t="array" ref="I142">XLOOKUP(G142,KLUS!$A$2:$A$2010,KLUS!$E$2:$E$2010)+XLOOKUP(H142,KLUS!$A$2:$A$2010,KLUS!$E$2:$E$2010)</f>
        <v>61.5</v>
      </c>
      <c r="J142" s="114">
        <f t="shared" si="1"/>
        <v>55.35</v>
      </c>
      <c r="K142" s="115">
        <f t="shared" si="2"/>
        <v>44.28</v>
      </c>
      <c r="L142" s="125"/>
      <c r="M142" s="126"/>
      <c r="N142" s="127"/>
      <c r="O142" s="127"/>
    </row>
    <row r="143">
      <c r="A143" s="69" t="s">
        <v>5838</v>
      </c>
      <c r="B143" s="69" t="s">
        <v>5473</v>
      </c>
      <c r="C143" s="112" t="s">
        <v>5839</v>
      </c>
      <c r="D143" s="69"/>
      <c r="E143" s="69" t="s">
        <v>5840</v>
      </c>
      <c r="F143" s="69" t="s">
        <v>5841</v>
      </c>
      <c r="G143" s="69" t="s">
        <v>93</v>
      </c>
      <c r="H143" s="113" t="s">
        <v>1359</v>
      </c>
      <c r="I143" s="114">
        <f t="array" ref="I143">XLOOKUP(G143,KLUS!$A$2:$A$2010,KLUS!$E$2:$E$2010)+XLOOKUP(H143,KLUS!$A$2:$A$2010,KLUS!$E$2:$E$2010)</f>
        <v>50</v>
      </c>
      <c r="J143" s="114">
        <f t="shared" si="1"/>
        <v>45</v>
      </c>
      <c r="K143" s="115">
        <f t="shared" si="2"/>
        <v>36</v>
      </c>
      <c r="L143" s="125"/>
      <c r="M143" s="126"/>
      <c r="N143" s="127"/>
      <c r="O143" s="127"/>
    </row>
    <row r="144">
      <c r="A144" s="69" t="s">
        <v>5842</v>
      </c>
      <c r="B144" s="69" t="s">
        <v>5473</v>
      </c>
      <c r="C144" s="112" t="s">
        <v>5835</v>
      </c>
      <c r="D144" s="69"/>
      <c r="E144" s="69" t="s">
        <v>5843</v>
      </c>
      <c r="F144" s="69" t="s">
        <v>5844</v>
      </c>
      <c r="G144" s="69" t="s">
        <v>93</v>
      </c>
      <c r="H144" s="113" t="s">
        <v>1378</v>
      </c>
      <c r="I144" s="114">
        <f t="array" ref="I144">XLOOKUP(G144,KLUS!$A$2:$A$2010,KLUS!$E$2:$E$2010)+XLOOKUP(H144,KLUS!$A$2:$A$2010,KLUS!$E$2:$E$2010)</f>
        <v>61.5</v>
      </c>
      <c r="J144" s="114">
        <f t="shared" si="1"/>
        <v>55.35</v>
      </c>
      <c r="K144" s="115">
        <f t="shared" si="2"/>
        <v>44.28</v>
      </c>
      <c r="L144" s="125"/>
      <c r="M144" s="126"/>
      <c r="N144" s="127"/>
      <c r="O144" s="127"/>
    </row>
    <row r="145">
      <c r="A145" s="69" t="s">
        <v>5845</v>
      </c>
      <c r="B145" s="69" t="s">
        <v>5473</v>
      </c>
      <c r="C145" s="112" t="s">
        <v>5839</v>
      </c>
      <c r="D145" s="69"/>
      <c r="E145" s="69" t="s">
        <v>5846</v>
      </c>
      <c r="F145" s="69" t="s">
        <v>5847</v>
      </c>
      <c r="G145" s="69" t="s">
        <v>93</v>
      </c>
      <c r="H145" s="113" t="s">
        <v>1365</v>
      </c>
      <c r="I145" s="114">
        <f t="array" ref="I145">XLOOKUP(G145,KLUS!$A$2:$A$2010,KLUS!$E$2:$E$2010)+XLOOKUP(H145,KLUS!$A$2:$A$2010,KLUS!$E$2:$E$2010)</f>
        <v>50</v>
      </c>
      <c r="J145" s="114">
        <f t="shared" si="1"/>
        <v>45</v>
      </c>
      <c r="K145" s="115">
        <f t="shared" si="2"/>
        <v>36</v>
      </c>
      <c r="L145" s="125"/>
      <c r="M145" s="126"/>
      <c r="N145" s="127"/>
      <c r="O145" s="127"/>
    </row>
    <row r="146">
      <c r="A146" s="69" t="s">
        <v>5848</v>
      </c>
      <c r="B146" s="69" t="s">
        <v>5473</v>
      </c>
      <c r="C146" s="112" t="s">
        <v>5849</v>
      </c>
      <c r="D146" s="69"/>
      <c r="E146" s="69" t="s">
        <v>5850</v>
      </c>
      <c r="F146" s="69" t="s">
        <v>5851</v>
      </c>
      <c r="G146" s="69" t="s">
        <v>87</v>
      </c>
      <c r="H146" s="116" t="s">
        <v>1372</v>
      </c>
      <c r="I146" s="114">
        <f t="array" ref="I146">XLOOKUP(G146,KLUS!$A$2:$A$2010,KLUS!$E$2:$E$2010)+XLOOKUP(H146,KLUS!$A$2:$A$2010,KLUS!$E$2:$E$2010)</f>
        <v>60.4</v>
      </c>
      <c r="J146" s="114">
        <f t="shared" si="1"/>
        <v>54.36</v>
      </c>
      <c r="K146" s="115">
        <f t="shared" si="2"/>
        <v>43.488</v>
      </c>
      <c r="L146" s="125"/>
      <c r="M146" s="126"/>
      <c r="N146" s="127"/>
      <c r="O146" s="127"/>
    </row>
    <row r="147">
      <c r="A147" s="69" t="s">
        <v>5852</v>
      </c>
      <c r="B147" s="69" t="s">
        <v>5486</v>
      </c>
      <c r="C147" s="112" t="s">
        <v>5484</v>
      </c>
      <c r="D147" s="69"/>
      <c r="E147" s="69" t="s">
        <v>5853</v>
      </c>
      <c r="F147" s="69" t="s">
        <v>5854</v>
      </c>
      <c r="G147" s="69" t="s">
        <v>87</v>
      </c>
      <c r="H147" s="113" t="s">
        <v>1359</v>
      </c>
      <c r="I147" s="114">
        <f t="array" ref="I147">XLOOKUP(G147,KLUS!$A$2:$A$2010,KLUS!$E$2:$E$2010)+XLOOKUP(H147,KLUS!$A$2:$A$2010,KLUS!$E$2:$E$2010)</f>
        <v>48.9</v>
      </c>
      <c r="J147" s="114">
        <f t="shared" si="1"/>
        <v>44.01</v>
      </c>
      <c r="K147" s="115">
        <f t="shared" si="2"/>
        <v>35.208</v>
      </c>
      <c r="L147" s="125"/>
      <c r="M147" s="126"/>
      <c r="N147" s="127"/>
      <c r="O147" s="127"/>
    </row>
    <row r="148">
      <c r="A148" s="69" t="s">
        <v>5855</v>
      </c>
      <c r="B148" s="69" t="s">
        <v>5473</v>
      </c>
      <c r="C148" s="112" t="s">
        <v>5484</v>
      </c>
      <c r="D148" s="69"/>
      <c r="E148" s="69" t="s">
        <v>5856</v>
      </c>
      <c r="F148" s="69" t="s">
        <v>5857</v>
      </c>
      <c r="G148" s="69" t="s">
        <v>87</v>
      </c>
      <c r="H148" s="113" t="s">
        <v>1365</v>
      </c>
      <c r="I148" s="114">
        <f t="array" ref="I148">XLOOKUP(G148,KLUS!$A$2:$A$2010,KLUS!$E$2:$E$2010)+XLOOKUP(H148,KLUS!$A$2:$A$2010,KLUS!$E$2:$E$2010)</f>
        <v>48.9</v>
      </c>
      <c r="J148" s="114">
        <f t="shared" si="1"/>
        <v>44.01</v>
      </c>
      <c r="K148" s="115">
        <f t="shared" si="2"/>
        <v>35.208</v>
      </c>
      <c r="L148" s="125"/>
      <c r="M148" s="126"/>
      <c r="N148" s="127"/>
      <c r="O148" s="127"/>
    </row>
    <row r="149">
      <c r="A149" s="69" t="s">
        <v>5858</v>
      </c>
      <c r="B149" s="69" t="s">
        <v>5473</v>
      </c>
      <c r="C149" s="112" t="s">
        <v>5859</v>
      </c>
      <c r="D149" s="69"/>
      <c r="E149" s="69" t="s">
        <v>5860</v>
      </c>
      <c r="F149" s="69" t="s">
        <v>5861</v>
      </c>
      <c r="G149" s="69" t="s">
        <v>75</v>
      </c>
      <c r="H149" s="113" t="s">
        <v>1396</v>
      </c>
      <c r="I149" s="114">
        <f t="array" ref="I149">XLOOKUP(G149,KLUS!$A$2:$A$2010,KLUS!$E$2:$E$2010)+XLOOKUP(H149,KLUS!$A$2:$A$2010,KLUS!$E$2:$E$2010)</f>
        <v>51.6</v>
      </c>
      <c r="J149" s="114">
        <f t="shared" si="1"/>
        <v>46.44</v>
      </c>
      <c r="K149" s="115">
        <f t="shared" si="2"/>
        <v>37.152</v>
      </c>
      <c r="L149" s="125"/>
      <c r="M149" s="126"/>
      <c r="N149" s="127"/>
      <c r="O149" s="127"/>
    </row>
    <row r="150">
      <c r="A150" s="69" t="s">
        <v>5862</v>
      </c>
      <c r="B150" s="69" t="s">
        <v>5473</v>
      </c>
      <c r="C150" s="112" t="s">
        <v>5863</v>
      </c>
      <c r="D150" s="69"/>
      <c r="E150" s="69" t="s">
        <v>4072</v>
      </c>
      <c r="F150" s="69" t="s">
        <v>5864</v>
      </c>
      <c r="G150" s="69" t="s">
        <v>75</v>
      </c>
      <c r="H150" s="113" t="s">
        <v>1372</v>
      </c>
      <c r="I150" s="114">
        <f t="array" ref="I150">XLOOKUP(G150,KLUS!$A$2:$A$2010,KLUS!$E$2:$E$2010)+XLOOKUP(H150,KLUS!$A$2:$A$2010,KLUS!$E$2:$E$2010)</f>
        <v>49</v>
      </c>
      <c r="J150" s="114">
        <f t="shared" si="1"/>
        <v>44.1</v>
      </c>
      <c r="K150" s="115">
        <f t="shared" si="2"/>
        <v>35.28</v>
      </c>
      <c r="L150" s="125"/>
      <c r="M150" s="126"/>
      <c r="N150" s="127"/>
      <c r="O150" s="127"/>
    </row>
    <row r="151">
      <c r="A151" s="69" t="s">
        <v>5865</v>
      </c>
      <c r="B151" s="69" t="s">
        <v>5486</v>
      </c>
      <c r="C151" s="112" t="s">
        <v>5866</v>
      </c>
      <c r="D151" s="69"/>
      <c r="E151" s="69" t="s">
        <v>4074</v>
      </c>
      <c r="F151" s="69" t="s">
        <v>5867</v>
      </c>
      <c r="G151" s="69" t="s">
        <v>75</v>
      </c>
      <c r="H151" s="116" t="s">
        <v>1359</v>
      </c>
      <c r="I151" s="114">
        <f t="array" ref="I151">XLOOKUP(G151,KLUS!$A$2:$A$2010,KLUS!$E$2:$E$2010)+XLOOKUP(H151,KLUS!$A$2:$A$2010,KLUS!$E$2:$E$2010)</f>
        <v>37.5</v>
      </c>
      <c r="J151" s="114">
        <f t="shared" si="1"/>
        <v>33.75</v>
      </c>
      <c r="K151" s="115">
        <f t="shared" si="2"/>
        <v>27</v>
      </c>
      <c r="L151" s="125"/>
      <c r="M151" s="126"/>
      <c r="N151" s="127"/>
      <c r="O151" s="127"/>
    </row>
    <row r="152">
      <c r="A152" s="69" t="s">
        <v>5868</v>
      </c>
      <c r="B152" s="69" t="s">
        <v>5473</v>
      </c>
      <c r="C152" s="112" t="s">
        <v>5839</v>
      </c>
      <c r="D152" s="69"/>
      <c r="E152" s="69" t="s">
        <v>5869</v>
      </c>
      <c r="F152" s="69" t="s">
        <v>5870</v>
      </c>
      <c r="G152" s="69" t="s">
        <v>75</v>
      </c>
      <c r="H152" s="113" t="s">
        <v>1402</v>
      </c>
      <c r="I152" s="114">
        <f t="array" ref="I152">XLOOKUP(G152,KLUS!$A$2:$A$2010,KLUS!$E$2:$E$2010)+XLOOKUP(H152,KLUS!$A$2:$A$2010,KLUS!$E$2:$E$2010)</f>
        <v>51.6</v>
      </c>
      <c r="J152" s="114">
        <f t="shared" si="1"/>
        <v>46.44</v>
      </c>
      <c r="K152" s="115">
        <f t="shared" si="2"/>
        <v>37.152</v>
      </c>
      <c r="L152" s="125"/>
      <c r="M152" s="126"/>
      <c r="N152" s="127"/>
      <c r="O152" s="127"/>
    </row>
    <row r="153">
      <c r="A153" s="69" t="s">
        <v>5871</v>
      </c>
      <c r="B153" s="69" t="s">
        <v>5473</v>
      </c>
      <c r="C153" s="112" t="s">
        <v>5872</v>
      </c>
      <c r="D153" s="69"/>
      <c r="E153" s="69" t="s">
        <v>4078</v>
      </c>
      <c r="F153" s="69" t="s">
        <v>5873</v>
      </c>
      <c r="G153" s="69" t="s">
        <v>75</v>
      </c>
      <c r="H153" s="113" t="s">
        <v>1378</v>
      </c>
      <c r="I153" s="114">
        <f t="array" ref="I153">XLOOKUP(G153,KLUS!$A$2:$A$2010,KLUS!$E$2:$E$2010)+XLOOKUP(H153,KLUS!$A$2:$A$2010,KLUS!$E$2:$E$2010)</f>
        <v>49</v>
      </c>
      <c r="J153" s="114">
        <f t="shared" si="1"/>
        <v>44.1</v>
      </c>
      <c r="K153" s="115">
        <f t="shared" si="2"/>
        <v>35.28</v>
      </c>
      <c r="L153" s="125"/>
      <c r="M153" s="126"/>
      <c r="N153" s="127"/>
      <c r="O153" s="127"/>
    </row>
    <row r="154">
      <c r="A154" s="69" t="s">
        <v>5874</v>
      </c>
      <c r="B154" s="69" t="s">
        <v>5486</v>
      </c>
      <c r="C154" s="112" t="s">
        <v>5818</v>
      </c>
      <c r="D154" s="69"/>
      <c r="E154" s="69" t="s">
        <v>4080</v>
      </c>
      <c r="F154" s="69" t="s">
        <v>5875</v>
      </c>
      <c r="G154" s="69" t="s">
        <v>75</v>
      </c>
      <c r="H154" s="113" t="s">
        <v>1365</v>
      </c>
      <c r="I154" s="114">
        <f t="array" ref="I154">XLOOKUP(G154,KLUS!$A$2:$A$2010,KLUS!$E$2:$E$2010)+XLOOKUP(H154,KLUS!$A$2:$A$2010,KLUS!$E$2:$E$2010)</f>
        <v>37.5</v>
      </c>
      <c r="J154" s="114">
        <f t="shared" si="1"/>
        <v>33.75</v>
      </c>
      <c r="K154" s="115">
        <f t="shared" si="2"/>
        <v>27</v>
      </c>
      <c r="L154" s="125"/>
      <c r="M154" s="126"/>
      <c r="N154" s="127"/>
      <c r="O154" s="127"/>
    </row>
    <row r="155">
      <c r="A155" s="69" t="s">
        <v>5876</v>
      </c>
      <c r="B155" s="69" t="s">
        <v>5486</v>
      </c>
      <c r="C155" s="112" t="s">
        <v>5877</v>
      </c>
      <c r="D155" s="69"/>
      <c r="E155" s="69" t="s">
        <v>5878</v>
      </c>
      <c r="F155" s="69" t="s">
        <v>5879</v>
      </c>
      <c r="G155" s="69" t="s">
        <v>83</v>
      </c>
      <c r="H155" s="113" t="s">
        <v>1374</v>
      </c>
      <c r="I155" s="114">
        <f t="array" ref="I155">XLOOKUP(G155,KLUS!$A$2:$A$2010,KLUS!$E$2:$E$2010)+XLOOKUP(H155,KLUS!$A$2:$A$2010,KLUS!$E$2:$E$2010)</f>
        <v>83</v>
      </c>
      <c r="J155" s="114">
        <f t="shared" si="1"/>
        <v>74.7</v>
      </c>
      <c r="K155" s="115">
        <f t="shared" si="2"/>
        <v>59.76</v>
      </c>
      <c r="L155" s="125"/>
      <c r="M155" s="126"/>
      <c r="N155" s="127"/>
      <c r="O155" s="127"/>
    </row>
    <row r="156">
      <c r="A156" s="69" t="s">
        <v>5880</v>
      </c>
      <c r="B156" s="69" t="s">
        <v>5473</v>
      </c>
      <c r="C156" s="112" t="s">
        <v>5881</v>
      </c>
      <c r="D156" s="69"/>
      <c r="E156" s="69" t="s">
        <v>4088</v>
      </c>
      <c r="F156" s="69" t="s">
        <v>5882</v>
      </c>
      <c r="G156" s="69" t="s">
        <v>83</v>
      </c>
      <c r="H156" s="113" t="s">
        <v>1361</v>
      </c>
      <c r="I156" s="114">
        <f t="array" ref="I156">XLOOKUP(G156,KLUS!$A$2:$A$2010,KLUS!$E$2:$E$2010)+XLOOKUP(H156,KLUS!$A$2:$A$2010,KLUS!$E$2:$E$2010)</f>
        <v>65.7</v>
      </c>
      <c r="J156" s="114">
        <f t="shared" si="1"/>
        <v>59.13</v>
      </c>
      <c r="K156" s="115">
        <f t="shared" si="2"/>
        <v>47.304</v>
      </c>
      <c r="L156" s="125"/>
      <c r="M156" s="126"/>
      <c r="N156" s="127"/>
      <c r="O156" s="127"/>
    </row>
    <row r="157">
      <c r="A157" s="69" t="s">
        <v>5883</v>
      </c>
      <c r="B157" s="69" t="s">
        <v>5473</v>
      </c>
      <c r="C157" s="112" t="s">
        <v>5877</v>
      </c>
      <c r="D157" s="69"/>
      <c r="E157" s="69" t="s">
        <v>5884</v>
      </c>
      <c r="F157" s="69" t="s">
        <v>5885</v>
      </c>
      <c r="G157" s="69" t="s">
        <v>83</v>
      </c>
      <c r="H157" s="113" t="s">
        <v>1380</v>
      </c>
      <c r="I157" s="114">
        <f t="array" ref="I157">XLOOKUP(G157,KLUS!$A$2:$A$2010,KLUS!$E$2:$E$2010)+XLOOKUP(H157,KLUS!$A$2:$A$2010,KLUS!$E$2:$E$2010)</f>
        <v>83</v>
      </c>
      <c r="J157" s="114">
        <f t="shared" si="1"/>
        <v>74.7</v>
      </c>
      <c r="K157" s="115">
        <f t="shared" si="2"/>
        <v>59.76</v>
      </c>
      <c r="L157" s="125"/>
      <c r="M157" s="126"/>
      <c r="N157" s="127"/>
      <c r="O157" s="127"/>
    </row>
    <row r="158">
      <c r="A158" s="69" t="s">
        <v>5886</v>
      </c>
      <c r="B158" s="69" t="s">
        <v>5473</v>
      </c>
      <c r="C158" s="112" t="s">
        <v>5881</v>
      </c>
      <c r="D158" s="69"/>
      <c r="E158" s="69" t="s">
        <v>5887</v>
      </c>
      <c r="F158" s="69" t="s">
        <v>5888</v>
      </c>
      <c r="G158" s="69" t="s">
        <v>83</v>
      </c>
      <c r="H158" s="116" t="s">
        <v>1367</v>
      </c>
      <c r="I158" s="114">
        <f t="array" ref="I158">XLOOKUP(G158,KLUS!$A$2:$A$2010,KLUS!$E$2:$E$2010)+XLOOKUP(H158,KLUS!$A$2:$A$2010,KLUS!$E$2:$E$2010)</f>
        <v>65.7</v>
      </c>
      <c r="J158" s="114">
        <f t="shared" si="1"/>
        <v>59.13</v>
      </c>
      <c r="K158" s="115">
        <f t="shared" si="2"/>
        <v>47.304</v>
      </c>
      <c r="L158" s="125"/>
      <c r="M158" s="126"/>
      <c r="N158" s="127"/>
      <c r="O158" s="127"/>
    </row>
    <row r="159">
      <c r="A159" s="69" t="s">
        <v>5889</v>
      </c>
      <c r="B159" s="69" t="s">
        <v>5473</v>
      </c>
      <c r="C159" s="112" t="s">
        <v>5890</v>
      </c>
      <c r="D159" s="69"/>
      <c r="E159" s="69" t="s">
        <v>4099</v>
      </c>
      <c r="F159" s="69" t="s">
        <v>5891</v>
      </c>
      <c r="G159" s="69" t="s">
        <v>75</v>
      </c>
      <c r="H159" s="113" t="s">
        <v>1374</v>
      </c>
      <c r="I159" s="114">
        <f t="array" ref="I159">XLOOKUP(G159,KLUS!$A$2:$A$2010,KLUS!$E$2:$E$2010)+XLOOKUP(H159,KLUS!$A$2:$A$2010,KLUS!$E$2:$E$2010)</f>
        <v>59.8</v>
      </c>
      <c r="J159" s="114">
        <f t="shared" si="1"/>
        <v>53.82</v>
      </c>
      <c r="K159" s="115">
        <f t="shared" si="2"/>
        <v>43.056</v>
      </c>
      <c r="L159" s="125"/>
      <c r="M159" s="126"/>
      <c r="N159" s="127"/>
      <c r="O159" s="127"/>
    </row>
    <row r="160">
      <c r="A160" s="69" t="s">
        <v>5892</v>
      </c>
      <c r="B160" s="69" t="s">
        <v>5473</v>
      </c>
      <c r="C160" s="112" t="s">
        <v>5893</v>
      </c>
      <c r="D160" s="69"/>
      <c r="E160" s="69" t="s">
        <v>4101</v>
      </c>
      <c r="F160" s="69" t="s">
        <v>5894</v>
      </c>
      <c r="G160" s="69" t="s">
        <v>77</v>
      </c>
      <c r="H160" s="113" t="s">
        <v>1361</v>
      </c>
      <c r="I160" s="114">
        <f t="array" ref="I160">XLOOKUP(G160,KLUS!$A$2:$A$2010,KLUS!$E$2:$E$2010)+XLOOKUP(H160,KLUS!$A$2:$A$2010,KLUS!$E$2:$E$2010)</f>
        <v>56.3</v>
      </c>
      <c r="J160" s="114">
        <f t="shared" si="1"/>
        <v>50.67</v>
      </c>
      <c r="K160" s="115">
        <f t="shared" si="2"/>
        <v>40.536</v>
      </c>
      <c r="L160" s="125"/>
      <c r="M160" s="126"/>
      <c r="N160" s="127"/>
      <c r="O160" s="127"/>
    </row>
    <row r="161">
      <c r="A161" s="69" t="s">
        <v>5895</v>
      </c>
      <c r="B161" s="69" t="s">
        <v>5473</v>
      </c>
      <c r="C161" s="112" t="s">
        <v>5890</v>
      </c>
      <c r="D161" s="69"/>
      <c r="E161" s="69" t="s">
        <v>4103</v>
      </c>
      <c r="F161" s="69" t="s">
        <v>5896</v>
      </c>
      <c r="G161" s="69" t="s">
        <v>77</v>
      </c>
      <c r="H161" s="116" t="s">
        <v>1380</v>
      </c>
      <c r="I161" s="114">
        <f t="array" ref="I161">XLOOKUP(G161,KLUS!$A$2:$A$2010,KLUS!$E$2:$E$2010)+XLOOKUP(H161,KLUS!$A$2:$A$2010,KLUS!$E$2:$E$2010)</f>
        <v>73.6</v>
      </c>
      <c r="J161" s="114">
        <f t="shared" si="1"/>
        <v>66.24</v>
      </c>
      <c r="K161" s="115">
        <f t="shared" si="2"/>
        <v>52.992</v>
      </c>
      <c r="L161" s="125"/>
      <c r="M161" s="126"/>
      <c r="N161" s="127"/>
      <c r="O161" s="127"/>
    </row>
    <row r="162">
      <c r="A162" s="69" t="s">
        <v>5897</v>
      </c>
      <c r="B162" s="69" t="s">
        <v>5473</v>
      </c>
      <c r="C162" s="112" t="s">
        <v>5893</v>
      </c>
      <c r="D162" s="69"/>
      <c r="E162" s="69" t="s">
        <v>4105</v>
      </c>
      <c r="F162" s="69" t="s">
        <v>5898</v>
      </c>
      <c r="G162" s="69" t="s">
        <v>77</v>
      </c>
      <c r="H162" s="113" t="s">
        <v>1367</v>
      </c>
      <c r="I162" s="114">
        <f t="array" ref="I162">XLOOKUP(G162,KLUS!$A$2:$A$2010,KLUS!$E$2:$E$2010)+XLOOKUP(H162,KLUS!$A$2:$A$2010,KLUS!$E$2:$E$2010)</f>
        <v>56.3</v>
      </c>
      <c r="J162" s="114">
        <f t="shared" si="1"/>
        <v>50.67</v>
      </c>
      <c r="K162" s="115">
        <f t="shared" si="2"/>
        <v>40.536</v>
      </c>
      <c r="L162" s="125"/>
      <c r="M162" s="126"/>
      <c r="N162" s="127"/>
      <c r="O162" s="127"/>
    </row>
    <row r="163">
      <c r="A163" s="69" t="s">
        <v>5899</v>
      </c>
      <c r="B163" s="69" t="s">
        <v>5473</v>
      </c>
      <c r="C163" s="112" t="s">
        <v>5900</v>
      </c>
      <c r="D163" s="69"/>
      <c r="E163" s="69" t="s">
        <v>5901</v>
      </c>
      <c r="F163" s="118"/>
      <c r="G163" s="69" t="s">
        <v>5902</v>
      </c>
      <c r="H163" s="113" t="s">
        <v>1394</v>
      </c>
      <c r="I163" s="114" t="str">
        <f t="array" ref="I163">XLOOKUP(G163,KLUS!$A$2:$A$2010,KLUS!$E$2:$E$2010)+XLOOKUP(H163,KLUS!$A$2:$A$2010,KLUS!$E$2:$E$2010)</f>
        <v>#N/A</v>
      </c>
      <c r="J163" s="114" t="str">
        <f t="shared" si="1"/>
        <v>#N/A</v>
      </c>
      <c r="K163" s="115" t="str">
        <f t="shared" si="2"/>
        <v>#N/A</v>
      </c>
      <c r="L163" s="125"/>
      <c r="M163" s="126"/>
      <c r="N163" s="127"/>
      <c r="O163" s="127"/>
    </row>
    <row r="164">
      <c r="A164" s="69" t="s">
        <v>5903</v>
      </c>
      <c r="B164" s="69" t="s">
        <v>5486</v>
      </c>
      <c r="C164" s="112" t="s">
        <v>5866</v>
      </c>
      <c r="D164" s="69"/>
      <c r="E164" s="69" t="s">
        <v>5904</v>
      </c>
      <c r="F164" s="69" t="s">
        <v>5905</v>
      </c>
      <c r="G164" s="69" t="s">
        <v>5902</v>
      </c>
      <c r="H164" s="116" t="s">
        <v>1369</v>
      </c>
      <c r="I164" s="114" t="str">
        <f t="array" ref="I164">XLOOKUP(G164,KLUS!$A$2:$A$2010,KLUS!$E$2:$E$2010)+XLOOKUP(H164,KLUS!$A$2:$A$2010,KLUS!$E$2:$E$2010)</f>
        <v>#N/A</v>
      </c>
      <c r="J164" s="114" t="str">
        <f t="shared" si="1"/>
        <v>#N/A</v>
      </c>
      <c r="K164" s="115" t="str">
        <f t="shared" si="2"/>
        <v>#N/A</v>
      </c>
      <c r="L164" s="125"/>
      <c r="M164" s="126"/>
      <c r="N164" s="127"/>
      <c r="O164" s="127"/>
    </row>
    <row r="165">
      <c r="A165" s="69" t="s">
        <v>5906</v>
      </c>
      <c r="B165" s="69" t="s">
        <v>5486</v>
      </c>
      <c r="C165" s="112" t="s">
        <v>5907</v>
      </c>
      <c r="D165" s="69"/>
      <c r="E165" s="69" t="s">
        <v>5908</v>
      </c>
      <c r="F165" s="69" t="s">
        <v>5909</v>
      </c>
      <c r="G165" s="69" t="s">
        <v>5902</v>
      </c>
      <c r="H165" s="113" t="s">
        <v>1356</v>
      </c>
      <c r="I165" s="114" t="str">
        <f t="array" ref="I165">XLOOKUP(G165,KLUS!$A$2:$A$2010,KLUS!$E$2:$E$2010)+XLOOKUP(H165,KLUS!$A$2:$A$2010,KLUS!$E$2:$E$2010)</f>
        <v>#N/A</v>
      </c>
      <c r="J165" s="114" t="str">
        <f t="shared" si="1"/>
        <v>#N/A</v>
      </c>
      <c r="K165" s="115" t="str">
        <f t="shared" si="2"/>
        <v>#N/A</v>
      </c>
      <c r="L165" s="125"/>
      <c r="M165" s="126"/>
      <c r="N165" s="127"/>
      <c r="O165" s="127"/>
    </row>
    <row r="166">
      <c r="A166" s="69" t="s">
        <v>5910</v>
      </c>
      <c r="B166" s="69" t="s">
        <v>5486</v>
      </c>
      <c r="C166" s="112" t="s">
        <v>5866</v>
      </c>
      <c r="D166" s="69"/>
      <c r="E166" s="69" t="s">
        <v>5911</v>
      </c>
      <c r="F166" s="69" t="s">
        <v>5912</v>
      </c>
      <c r="G166" s="69" t="s">
        <v>5902</v>
      </c>
      <c r="H166" s="113" t="s">
        <v>1376</v>
      </c>
      <c r="I166" s="114" t="str">
        <f t="array" ref="I166">XLOOKUP(G166,KLUS!$A$2:$A$2010,KLUS!$E$2:$E$2010)+XLOOKUP(H166,KLUS!$A$2:$A$2010,KLUS!$E$2:$E$2010)</f>
        <v>#N/A</v>
      </c>
      <c r="J166" s="114" t="str">
        <f t="shared" si="1"/>
        <v>#N/A</v>
      </c>
      <c r="K166" s="115" t="str">
        <f t="shared" si="2"/>
        <v>#N/A</v>
      </c>
      <c r="L166" s="125"/>
      <c r="M166" s="126"/>
      <c r="N166" s="127"/>
      <c r="O166" s="127"/>
    </row>
    <row r="167">
      <c r="A167" s="69" t="s">
        <v>5913</v>
      </c>
      <c r="B167" s="69" t="s">
        <v>5473</v>
      </c>
      <c r="C167" s="112" t="s">
        <v>5914</v>
      </c>
      <c r="D167" s="69"/>
      <c r="E167" s="69" t="s">
        <v>5915</v>
      </c>
      <c r="F167" s="69" t="s">
        <v>5916</v>
      </c>
      <c r="G167" s="69" t="s">
        <v>5902</v>
      </c>
      <c r="H167" s="113" t="s">
        <v>1363</v>
      </c>
      <c r="I167" s="114" t="str">
        <f t="array" ref="I167">XLOOKUP(G167,KLUS!$A$2:$A$2010,KLUS!$E$2:$E$2010)+XLOOKUP(H167,KLUS!$A$2:$A$2010,KLUS!$E$2:$E$2010)</f>
        <v>#N/A</v>
      </c>
      <c r="J167" s="114" t="str">
        <f t="shared" si="1"/>
        <v>#N/A</v>
      </c>
      <c r="K167" s="115" t="str">
        <f t="shared" si="2"/>
        <v>#N/A</v>
      </c>
      <c r="L167" s="125"/>
      <c r="M167" s="126"/>
      <c r="N167" s="127"/>
      <c r="O167" s="127"/>
    </row>
    <row r="168">
      <c r="A168" s="69" t="s">
        <v>5917</v>
      </c>
      <c r="B168" s="69" t="s">
        <v>5473</v>
      </c>
      <c r="C168" s="112" t="s">
        <v>5918</v>
      </c>
      <c r="D168" s="69"/>
      <c r="E168" s="69" t="s">
        <v>5919</v>
      </c>
      <c r="F168" s="69" t="s">
        <v>5920</v>
      </c>
      <c r="G168" s="69" t="s">
        <v>5921</v>
      </c>
      <c r="H168" s="119"/>
      <c r="I168" s="114" t="str">
        <f t="array" ref="I168">XLOOKUP(G168,KLUS!$A$2:$A$2010,KLUS!$E$2:$E$2010)+XLOOKUP(H168,KLUS!$A$2:$A$2010,KLUS!$E$2:$E$2010)</f>
        <v>#N/A</v>
      </c>
      <c r="J168" s="114" t="str">
        <f t="shared" si="1"/>
        <v>#N/A</v>
      </c>
      <c r="K168" s="115" t="str">
        <f t="shared" si="2"/>
        <v>#N/A</v>
      </c>
      <c r="L168" s="125"/>
      <c r="M168" s="126"/>
      <c r="N168" s="127"/>
      <c r="O168" s="127"/>
    </row>
    <row r="169">
      <c r="A169" s="69" t="s">
        <v>5922</v>
      </c>
      <c r="B169" s="69" t="s">
        <v>5473</v>
      </c>
      <c r="C169" s="112" t="s">
        <v>5923</v>
      </c>
      <c r="D169" s="69"/>
      <c r="E169" s="69" t="s">
        <v>5924</v>
      </c>
      <c r="F169" s="69" t="s">
        <v>5925</v>
      </c>
      <c r="G169" s="69" t="s">
        <v>5921</v>
      </c>
      <c r="H169" s="116" t="s">
        <v>1369</v>
      </c>
      <c r="I169" s="114" t="str">
        <f t="array" ref="I169">XLOOKUP(G169,KLUS!$A$2:$A$2010,KLUS!$E$2:$E$2010)+XLOOKUP(H169,KLUS!$A$2:$A$2010,KLUS!$E$2:$E$2010)</f>
        <v>#N/A</v>
      </c>
      <c r="J169" s="114" t="str">
        <f t="shared" si="1"/>
        <v>#N/A</v>
      </c>
      <c r="K169" s="115" t="str">
        <f t="shared" si="2"/>
        <v>#N/A</v>
      </c>
      <c r="L169" s="125"/>
      <c r="M169" s="126"/>
      <c r="N169" s="127"/>
      <c r="O169" s="127"/>
    </row>
    <row r="170">
      <c r="A170" s="69" t="s">
        <v>5926</v>
      </c>
      <c r="B170" s="69" t="s">
        <v>5473</v>
      </c>
      <c r="C170" s="112" t="s">
        <v>5927</v>
      </c>
      <c r="D170" s="69"/>
      <c r="E170" s="69" t="s">
        <v>4155</v>
      </c>
      <c r="F170" s="69" t="s">
        <v>5928</v>
      </c>
      <c r="G170" s="69" t="s">
        <v>5929</v>
      </c>
      <c r="H170" s="119"/>
      <c r="I170" s="114" t="str">
        <f t="array" ref="I170">XLOOKUP(G170,KLUS!$A$2:$A$2010,KLUS!$E$2:$E$2010)+XLOOKUP(H170,KLUS!$A$2:$A$2010,KLUS!$E$2:$E$2010)</f>
        <v>#N/A</v>
      </c>
      <c r="J170" s="114" t="str">
        <f t="shared" si="1"/>
        <v>#N/A</v>
      </c>
      <c r="K170" s="115" t="str">
        <f t="shared" si="2"/>
        <v>#N/A</v>
      </c>
      <c r="L170" s="125"/>
      <c r="M170" s="126"/>
      <c r="N170" s="127"/>
      <c r="O170" s="127"/>
    </row>
    <row r="171">
      <c r="A171" s="69" t="s">
        <v>5930</v>
      </c>
      <c r="B171" s="69" t="s">
        <v>5473</v>
      </c>
      <c r="C171" s="112" t="s">
        <v>5931</v>
      </c>
      <c r="D171" s="69"/>
      <c r="E171" s="69" t="s">
        <v>5932</v>
      </c>
      <c r="F171" s="118"/>
      <c r="G171" s="69" t="s">
        <v>5933</v>
      </c>
      <c r="H171" s="116" t="s">
        <v>1396</v>
      </c>
      <c r="I171" s="114" t="str">
        <f t="array" ref="I171">XLOOKUP(G171,KLUS!$A$2:$A$2010,KLUS!$E$2:$E$2010)+XLOOKUP(H171,KLUS!$A$2:$A$2010,KLUS!$E$2:$E$2010)</f>
        <v>#N/A</v>
      </c>
      <c r="J171" s="114" t="str">
        <f t="shared" si="1"/>
        <v>#N/A</v>
      </c>
      <c r="K171" s="115" t="str">
        <f t="shared" si="2"/>
        <v>#N/A</v>
      </c>
      <c r="L171" s="125"/>
      <c r="M171" s="126"/>
      <c r="N171" s="127"/>
      <c r="O171" s="127"/>
    </row>
    <row r="172">
      <c r="A172" s="69" t="s">
        <v>5934</v>
      </c>
      <c r="B172" s="69" t="s">
        <v>5473</v>
      </c>
      <c r="C172" s="112" t="s">
        <v>5935</v>
      </c>
      <c r="D172" s="69"/>
      <c r="E172" s="69" t="s">
        <v>5936</v>
      </c>
      <c r="F172" s="69" t="s">
        <v>5937</v>
      </c>
      <c r="G172" s="69" t="s">
        <v>5929</v>
      </c>
      <c r="H172" s="113" t="s">
        <v>1372</v>
      </c>
      <c r="I172" s="114" t="str">
        <f t="array" ref="I172">XLOOKUP(G172,KLUS!$A$2:$A$2010,KLUS!$E$2:$E$2010)+XLOOKUP(H172,KLUS!$A$2:$A$2010,KLUS!$E$2:$E$2010)</f>
        <v>#N/A</v>
      </c>
      <c r="J172" s="114" t="str">
        <f t="shared" si="1"/>
        <v>#N/A</v>
      </c>
      <c r="K172" s="115" t="str">
        <f t="shared" si="2"/>
        <v>#N/A</v>
      </c>
      <c r="L172" s="125"/>
      <c r="M172" s="126"/>
      <c r="N172" s="127"/>
      <c r="O172" s="127"/>
    </row>
    <row r="173">
      <c r="A173" s="69" t="s">
        <v>5938</v>
      </c>
      <c r="B173" s="69" t="s">
        <v>5486</v>
      </c>
      <c r="C173" s="112" t="s">
        <v>5939</v>
      </c>
      <c r="D173" s="69"/>
      <c r="E173" s="69" t="s">
        <v>5940</v>
      </c>
      <c r="F173" s="69" t="s">
        <v>5941</v>
      </c>
      <c r="G173" s="69" t="s">
        <v>5929</v>
      </c>
      <c r="H173" s="113" t="s">
        <v>1359</v>
      </c>
      <c r="I173" s="114" t="str">
        <f t="array" ref="I173">XLOOKUP(G173,KLUS!$A$2:$A$2010,KLUS!$E$2:$E$2010)+XLOOKUP(H173,KLUS!$A$2:$A$2010,KLUS!$E$2:$E$2010)</f>
        <v>#N/A</v>
      </c>
      <c r="J173" s="114" t="str">
        <f t="shared" si="1"/>
        <v>#N/A</v>
      </c>
      <c r="K173" s="115" t="str">
        <f t="shared" si="2"/>
        <v>#N/A</v>
      </c>
      <c r="L173" s="125"/>
      <c r="M173" s="126"/>
      <c r="N173" s="127"/>
      <c r="O173" s="127"/>
    </row>
    <row r="174">
      <c r="A174" s="69" t="s">
        <v>5942</v>
      </c>
      <c r="B174" s="69" t="s">
        <v>5473</v>
      </c>
      <c r="C174" s="112" t="s">
        <v>5943</v>
      </c>
      <c r="D174" s="69"/>
      <c r="E174" s="69" t="s">
        <v>5944</v>
      </c>
      <c r="F174" s="118"/>
      <c r="G174" s="69" t="s">
        <v>5929</v>
      </c>
      <c r="H174" s="116" t="s">
        <v>1408</v>
      </c>
      <c r="I174" s="114" t="str">
        <f t="array" ref="I174">XLOOKUP(G174,KLUS!$A$2:$A$2010,KLUS!$E$2:$E$2010)+XLOOKUP(H174,KLUS!$A$2:$A$2010,KLUS!$E$2:$E$2010)</f>
        <v>#N/A</v>
      </c>
      <c r="J174" s="114" t="str">
        <f t="shared" si="1"/>
        <v>#N/A</v>
      </c>
      <c r="K174" s="115" t="str">
        <f t="shared" si="2"/>
        <v>#N/A</v>
      </c>
      <c r="L174" s="125"/>
      <c r="M174" s="126"/>
      <c r="N174" s="127"/>
      <c r="O174" s="127"/>
    </row>
    <row r="175">
      <c r="A175" s="69" t="s">
        <v>5945</v>
      </c>
      <c r="B175" s="69" t="s">
        <v>5473</v>
      </c>
      <c r="C175" s="112" t="s">
        <v>5935</v>
      </c>
      <c r="D175" s="69"/>
      <c r="E175" s="69" t="s">
        <v>5946</v>
      </c>
      <c r="F175" s="69" t="s">
        <v>5947</v>
      </c>
      <c r="G175" s="69" t="s">
        <v>5933</v>
      </c>
      <c r="H175" s="113" t="s">
        <v>1378</v>
      </c>
      <c r="I175" s="114" t="str">
        <f t="array" ref="I175">XLOOKUP(G175,KLUS!$A$2:$A$2010,KLUS!$E$2:$E$2010)+XLOOKUP(H175,KLUS!$A$2:$A$2010,KLUS!$E$2:$E$2010)</f>
        <v>#N/A</v>
      </c>
      <c r="J175" s="114" t="str">
        <f t="shared" si="1"/>
        <v>#N/A</v>
      </c>
      <c r="K175" s="115" t="str">
        <f t="shared" si="2"/>
        <v>#N/A</v>
      </c>
      <c r="L175" s="125"/>
      <c r="M175" s="126"/>
      <c r="N175" s="127"/>
      <c r="O175" s="127"/>
    </row>
    <row r="176">
      <c r="A176" s="69" t="s">
        <v>5948</v>
      </c>
      <c r="B176" s="69" t="s">
        <v>5486</v>
      </c>
      <c r="C176" s="112" t="s">
        <v>5939</v>
      </c>
      <c r="D176" s="69"/>
      <c r="E176" s="69" t="s">
        <v>5949</v>
      </c>
      <c r="F176" s="69" t="s">
        <v>5950</v>
      </c>
      <c r="G176" s="69" t="s">
        <v>5929</v>
      </c>
      <c r="H176" s="116" t="s">
        <v>1365</v>
      </c>
      <c r="I176" s="114" t="str">
        <f t="array" ref="I176">XLOOKUP(G176,KLUS!$A$2:$A$2010,KLUS!$E$2:$E$2010)+XLOOKUP(H176,KLUS!$A$2:$A$2010,KLUS!$E$2:$E$2010)</f>
        <v>#N/A</v>
      </c>
      <c r="J176" s="114" t="str">
        <f t="shared" si="1"/>
        <v>#N/A</v>
      </c>
      <c r="K176" s="115" t="str">
        <f t="shared" si="2"/>
        <v>#N/A</v>
      </c>
      <c r="L176" s="125"/>
      <c r="M176" s="126"/>
      <c r="N176" s="127"/>
      <c r="O176" s="127"/>
    </row>
    <row r="177">
      <c r="A177" s="69" t="s">
        <v>5951</v>
      </c>
      <c r="B177" s="69" t="s">
        <v>5473</v>
      </c>
      <c r="C177" s="112" t="s">
        <v>5952</v>
      </c>
      <c r="D177" s="69"/>
      <c r="E177" s="69" t="s">
        <v>5953</v>
      </c>
      <c r="F177" s="118"/>
      <c r="G177" s="69" t="s">
        <v>5954</v>
      </c>
      <c r="H177" s="119"/>
      <c r="I177" s="114" t="str">
        <f t="array" ref="I177">XLOOKUP(G177,KLUS!$A$2:$A$2010,KLUS!$E$2:$E$2010)+XLOOKUP(H177,KLUS!$A$2:$A$2010,KLUS!$E$2:$E$2010)</f>
        <v>#N/A</v>
      </c>
      <c r="J177" s="114" t="str">
        <f t="shared" si="1"/>
        <v>#N/A</v>
      </c>
      <c r="K177" s="115" t="str">
        <f t="shared" si="2"/>
        <v>#N/A</v>
      </c>
      <c r="L177" s="125"/>
      <c r="M177" s="126"/>
      <c r="N177" s="127"/>
      <c r="O177" s="127"/>
    </row>
    <row r="178">
      <c r="A178" s="69" t="s">
        <v>5955</v>
      </c>
      <c r="B178" s="69" t="s">
        <v>5473</v>
      </c>
      <c r="C178" s="112" t="s">
        <v>5956</v>
      </c>
      <c r="D178" s="69"/>
      <c r="E178" s="69" t="s">
        <v>5957</v>
      </c>
      <c r="F178" s="69" t="s">
        <v>5958</v>
      </c>
      <c r="G178" s="69" t="s">
        <v>5959</v>
      </c>
      <c r="H178" s="119"/>
      <c r="I178" s="114" t="str">
        <f t="array" ref="I178">XLOOKUP(G178,KLUS!$A$2:$A$2010,KLUS!$E$2:$E$2010)+XLOOKUP(H178,KLUS!$A$2:$A$2010,KLUS!$E$2:$E$2010)</f>
        <v>#N/A</v>
      </c>
      <c r="J178" s="114" t="str">
        <f t="shared" si="1"/>
        <v>#N/A</v>
      </c>
      <c r="K178" s="115" t="str">
        <f t="shared" si="2"/>
        <v>#N/A</v>
      </c>
      <c r="L178" s="125"/>
      <c r="M178" s="126"/>
      <c r="N178" s="127"/>
      <c r="O178" s="127"/>
    </row>
    <row r="179">
      <c r="A179" s="69" t="s">
        <v>5960</v>
      </c>
      <c r="B179" s="69" t="s">
        <v>5473</v>
      </c>
      <c r="C179" s="112" t="s">
        <v>5961</v>
      </c>
      <c r="D179" s="69"/>
      <c r="E179" s="69" t="s">
        <v>5962</v>
      </c>
      <c r="F179" s="118"/>
      <c r="G179" s="69" t="s">
        <v>5959</v>
      </c>
      <c r="H179" s="113" t="s">
        <v>1372</v>
      </c>
      <c r="I179" s="114" t="str">
        <f t="array" ref="I179">XLOOKUP(G179,KLUS!$A$2:$A$2010,KLUS!$E$2:$E$2010)+XLOOKUP(H179,KLUS!$A$2:$A$2010,KLUS!$E$2:$E$2010)</f>
        <v>#N/A</v>
      </c>
      <c r="J179" s="114" t="str">
        <f t="shared" si="1"/>
        <v>#N/A</v>
      </c>
      <c r="K179" s="115" t="str">
        <f t="shared" si="2"/>
        <v>#N/A</v>
      </c>
      <c r="L179" s="125"/>
      <c r="M179" s="126"/>
      <c r="N179" s="127"/>
      <c r="O179" s="127"/>
    </row>
    <row r="180">
      <c r="A180" s="69" t="s">
        <v>5963</v>
      </c>
      <c r="B180" s="69" t="s">
        <v>5473</v>
      </c>
      <c r="C180" s="112" t="s">
        <v>5939</v>
      </c>
      <c r="D180" s="69"/>
      <c r="E180" s="69" t="s">
        <v>5964</v>
      </c>
      <c r="F180" s="69" t="s">
        <v>5965</v>
      </c>
      <c r="G180" s="69" t="s">
        <v>5959</v>
      </c>
      <c r="H180" s="116" t="s">
        <v>1359</v>
      </c>
      <c r="I180" s="114" t="str">
        <f t="array" ref="I180">XLOOKUP(G180,KLUS!$A$2:$A$2010,KLUS!$E$2:$E$2010)+XLOOKUP(H180,KLUS!$A$2:$A$2010,KLUS!$E$2:$E$2010)</f>
        <v>#N/A</v>
      </c>
      <c r="J180" s="114" t="str">
        <f t="shared" si="1"/>
        <v>#N/A</v>
      </c>
      <c r="K180" s="115" t="str">
        <f t="shared" si="2"/>
        <v>#N/A</v>
      </c>
      <c r="L180" s="125"/>
      <c r="M180" s="126"/>
      <c r="N180" s="127"/>
      <c r="O180" s="127"/>
    </row>
    <row r="181">
      <c r="A181" s="69" t="s">
        <v>5966</v>
      </c>
      <c r="B181" s="69" t="s">
        <v>5473</v>
      </c>
      <c r="C181" s="112" t="s">
        <v>5967</v>
      </c>
      <c r="D181" s="69"/>
      <c r="E181" s="69" t="s">
        <v>5968</v>
      </c>
      <c r="F181" s="69" t="s">
        <v>5969</v>
      </c>
      <c r="G181" s="69" t="s">
        <v>5970</v>
      </c>
      <c r="H181" s="119"/>
      <c r="I181" s="114" t="str">
        <f t="array" ref="I181">XLOOKUP(G181,KLUS!$A$2:$A$2010,KLUS!$E$2:$E$2010)+XLOOKUP(H181,KLUS!$A$2:$A$2010,KLUS!$E$2:$E$2010)</f>
        <v>#N/A</v>
      </c>
      <c r="J181" s="114" t="str">
        <f t="shared" si="1"/>
        <v>#N/A</v>
      </c>
      <c r="K181" s="115" t="str">
        <f t="shared" si="2"/>
        <v>#N/A</v>
      </c>
      <c r="L181" s="125"/>
      <c r="M181" s="126"/>
      <c r="N181" s="127"/>
      <c r="O181" s="127"/>
    </row>
    <row r="182">
      <c r="A182" s="69" t="s">
        <v>5971</v>
      </c>
      <c r="B182" s="69" t="s">
        <v>5473</v>
      </c>
      <c r="C182" s="112" t="s">
        <v>5972</v>
      </c>
      <c r="D182" s="69"/>
      <c r="E182" s="69" t="s">
        <v>4175</v>
      </c>
      <c r="F182" s="69" t="s">
        <v>5973</v>
      </c>
      <c r="G182" s="69" t="s">
        <v>5974</v>
      </c>
      <c r="H182" s="119"/>
      <c r="I182" s="114" t="str">
        <f t="array" ref="I182">XLOOKUP(G182,KLUS!$A$2:$A$2010,KLUS!$E$2:$E$2010)+XLOOKUP(H182,KLUS!$A$2:$A$2010,KLUS!$E$2:$E$2010)</f>
        <v>#N/A</v>
      </c>
      <c r="J182" s="114" t="str">
        <f t="shared" si="1"/>
        <v>#N/A</v>
      </c>
      <c r="K182" s="115" t="str">
        <f t="shared" si="2"/>
        <v>#N/A</v>
      </c>
      <c r="L182" s="125"/>
      <c r="M182" s="126"/>
      <c r="N182" s="127"/>
      <c r="O182" s="127"/>
    </row>
    <row r="183">
      <c r="A183" s="69" t="s">
        <v>5975</v>
      </c>
      <c r="B183" s="69" t="s">
        <v>5473</v>
      </c>
      <c r="C183" s="112" t="s">
        <v>5976</v>
      </c>
      <c r="D183" s="69"/>
      <c r="E183" s="69" t="s">
        <v>5977</v>
      </c>
      <c r="F183" s="118"/>
      <c r="G183" s="69" t="s">
        <v>5974</v>
      </c>
      <c r="H183" s="113" t="s">
        <v>1374</v>
      </c>
      <c r="I183" s="114" t="str">
        <f t="array" ref="I183">XLOOKUP(G183,KLUS!$A$2:$A$2010,KLUS!$E$2:$E$2010)+XLOOKUP(H183,KLUS!$A$2:$A$2010,KLUS!$E$2:$E$2010)</f>
        <v>#N/A</v>
      </c>
      <c r="J183" s="114" t="str">
        <f t="shared" si="1"/>
        <v>#N/A</v>
      </c>
      <c r="K183" s="115" t="str">
        <f t="shared" si="2"/>
        <v>#N/A</v>
      </c>
      <c r="L183" s="125"/>
      <c r="M183" s="126"/>
      <c r="N183" s="127"/>
      <c r="O183" s="127"/>
    </row>
    <row r="184">
      <c r="A184" s="69" t="s">
        <v>5978</v>
      </c>
      <c r="B184" s="69" t="s">
        <v>5486</v>
      </c>
      <c r="C184" s="112" t="s">
        <v>5979</v>
      </c>
      <c r="D184" s="69"/>
      <c r="E184" s="69" t="s">
        <v>5980</v>
      </c>
      <c r="F184" s="69" t="s">
        <v>5981</v>
      </c>
      <c r="G184" s="69" t="s">
        <v>5974</v>
      </c>
      <c r="H184" s="113" t="s">
        <v>1361</v>
      </c>
      <c r="I184" s="114" t="str">
        <f t="array" ref="I184">XLOOKUP(G184,KLUS!$A$2:$A$2010,KLUS!$E$2:$E$2010)+XLOOKUP(H184,KLUS!$A$2:$A$2010,KLUS!$E$2:$E$2010)</f>
        <v>#N/A</v>
      </c>
      <c r="J184" s="114" t="str">
        <f t="shared" si="1"/>
        <v>#N/A</v>
      </c>
      <c r="K184" s="115" t="str">
        <f t="shared" si="2"/>
        <v>#N/A</v>
      </c>
      <c r="L184" s="125"/>
      <c r="M184" s="126"/>
      <c r="N184" s="127"/>
      <c r="O184" s="127"/>
    </row>
    <row r="185">
      <c r="A185" s="69" t="s">
        <v>5982</v>
      </c>
      <c r="B185" s="69" t="s">
        <v>5473</v>
      </c>
      <c r="C185" s="112" t="s">
        <v>5976</v>
      </c>
      <c r="D185" s="69"/>
      <c r="E185" s="69" t="s">
        <v>5983</v>
      </c>
      <c r="F185" s="118"/>
      <c r="G185" s="69" t="s">
        <v>5974</v>
      </c>
      <c r="H185" s="113" t="s">
        <v>1380</v>
      </c>
      <c r="I185" s="114" t="str">
        <f t="array" ref="I185">XLOOKUP(G185,KLUS!$A$2:$A$2010,KLUS!$E$2:$E$2010)+XLOOKUP(H185,KLUS!$A$2:$A$2010,KLUS!$E$2:$E$2010)</f>
        <v>#N/A</v>
      </c>
      <c r="J185" s="114" t="str">
        <f t="shared" si="1"/>
        <v>#N/A</v>
      </c>
      <c r="K185" s="115" t="str">
        <f t="shared" si="2"/>
        <v>#N/A</v>
      </c>
      <c r="L185" s="125"/>
      <c r="M185" s="126"/>
      <c r="N185" s="127"/>
      <c r="O185" s="127"/>
    </row>
    <row r="186">
      <c r="A186" s="69" t="s">
        <v>5984</v>
      </c>
      <c r="B186" s="69" t="s">
        <v>5473</v>
      </c>
      <c r="C186" s="112" t="s">
        <v>5985</v>
      </c>
      <c r="D186" s="69"/>
      <c r="E186" s="69" t="s">
        <v>5986</v>
      </c>
      <c r="F186" s="69" t="s">
        <v>5987</v>
      </c>
      <c r="G186" s="69" t="s">
        <v>5986</v>
      </c>
      <c r="H186" s="119"/>
      <c r="I186" s="114" t="str">
        <f t="array" ref="I186">XLOOKUP(G186,KLUS!$A$2:$A$2010,KLUS!$E$2:$E$2010)+XLOOKUP(H186,KLUS!$A$2:$A$2010,KLUS!$E$2:$E$2010)</f>
        <v>#N/A</v>
      </c>
      <c r="J186" s="114" t="str">
        <f t="shared" si="1"/>
        <v>#N/A</v>
      </c>
      <c r="K186" s="115" t="str">
        <f t="shared" si="2"/>
        <v>#N/A</v>
      </c>
      <c r="L186" s="125"/>
      <c r="M186" s="126"/>
      <c r="N186" s="127"/>
      <c r="O186" s="127"/>
    </row>
    <row r="187">
      <c r="A187" s="69" t="s">
        <v>4183</v>
      </c>
      <c r="B187" s="69" t="s">
        <v>5486</v>
      </c>
      <c r="C187" s="112" t="s">
        <v>5988</v>
      </c>
      <c r="D187" s="69"/>
      <c r="E187" s="69" t="s">
        <v>5989</v>
      </c>
      <c r="F187" s="69" t="s">
        <v>5990</v>
      </c>
      <c r="G187" s="69" t="s">
        <v>251</v>
      </c>
      <c r="H187" s="119"/>
      <c r="I187" s="114" t="str">
        <f t="array" ref="I187">XLOOKUP(G187,KLUS!$A$2:$A$2010,KLUS!$E$2:$E$2010)+XLOOKUP(H187,KLUS!$A$2:$A$2010,KLUS!$E$2:$E$2010)</f>
        <v>#N/A</v>
      </c>
      <c r="J187" s="114" t="str">
        <f t="shared" si="1"/>
        <v>#N/A</v>
      </c>
      <c r="K187" s="115" t="str">
        <f t="shared" si="2"/>
        <v>#N/A</v>
      </c>
      <c r="L187" s="125"/>
      <c r="M187" s="126"/>
      <c r="N187" s="127"/>
      <c r="O187" s="127"/>
    </row>
    <row r="188">
      <c r="A188" s="69" t="s">
        <v>5991</v>
      </c>
      <c r="B188" s="69" t="s">
        <v>5473</v>
      </c>
      <c r="C188" s="112" t="s">
        <v>5992</v>
      </c>
      <c r="D188" s="69"/>
      <c r="E188" s="69" t="s">
        <v>5993</v>
      </c>
      <c r="F188" s="69" t="s">
        <v>5994</v>
      </c>
      <c r="G188" s="69" t="s">
        <v>258</v>
      </c>
      <c r="H188" s="119"/>
      <c r="I188" s="114" t="str">
        <f t="array" ref="I188">XLOOKUP(G188,KLUS!$A$2:$A$2010,KLUS!$E$2:$E$2010)+XLOOKUP(H188,KLUS!$A$2:$A$2010,KLUS!$E$2:$E$2010)</f>
        <v>#N/A</v>
      </c>
      <c r="J188" s="114" t="str">
        <f t="shared" si="1"/>
        <v>#N/A</v>
      </c>
      <c r="K188" s="115" t="str">
        <f t="shared" si="2"/>
        <v>#N/A</v>
      </c>
      <c r="L188" s="125"/>
      <c r="M188" s="126"/>
      <c r="N188" s="127"/>
      <c r="O188" s="127"/>
    </row>
    <row r="189">
      <c r="A189" s="69" t="s">
        <v>5995</v>
      </c>
      <c r="B189" s="69" t="s">
        <v>5473</v>
      </c>
      <c r="C189" s="112" t="s">
        <v>5996</v>
      </c>
      <c r="D189" s="69"/>
      <c r="E189" s="69" t="s">
        <v>5997</v>
      </c>
      <c r="F189" s="69" t="s">
        <v>5998</v>
      </c>
      <c r="G189" s="69" t="s">
        <v>254</v>
      </c>
      <c r="H189" s="119"/>
      <c r="I189" s="114" t="str">
        <f t="array" ref="I189">XLOOKUP(G189,KLUS!$A$2:$A$2010,KLUS!$E$2:$E$2010)+XLOOKUP(H189,KLUS!$A$2:$A$2010,KLUS!$E$2:$E$2010)</f>
        <v>#N/A</v>
      </c>
      <c r="J189" s="114" t="str">
        <f t="shared" si="1"/>
        <v>#N/A</v>
      </c>
      <c r="K189" s="115" t="str">
        <f t="shared" si="2"/>
        <v>#N/A</v>
      </c>
      <c r="L189" s="125"/>
      <c r="M189" s="126"/>
      <c r="N189" s="127"/>
      <c r="O189" s="127"/>
    </row>
    <row r="190">
      <c r="A190" s="69" t="s">
        <v>5999</v>
      </c>
      <c r="B190" s="69" t="s">
        <v>5486</v>
      </c>
      <c r="C190" s="112" t="s">
        <v>6000</v>
      </c>
      <c r="D190" s="69"/>
      <c r="E190" s="69" t="s">
        <v>6001</v>
      </c>
      <c r="F190" s="69" t="s">
        <v>6002</v>
      </c>
      <c r="G190" s="69" t="s">
        <v>6003</v>
      </c>
      <c r="H190" s="116" t="s">
        <v>1359</v>
      </c>
      <c r="I190" s="114" t="str">
        <f t="array" ref="I190">XLOOKUP(G190,KLUS!$A$2:$A$2010,KLUS!$E$2:$E$2010)+XLOOKUP(H190,KLUS!$A$2:$A$2010,KLUS!$E$2:$E$2010)</f>
        <v>#N/A</v>
      </c>
      <c r="J190" s="114" t="str">
        <f t="shared" si="1"/>
        <v>#N/A</v>
      </c>
      <c r="K190" s="115" t="str">
        <f t="shared" si="2"/>
        <v>#N/A</v>
      </c>
      <c r="L190" s="125"/>
      <c r="M190" s="126"/>
      <c r="N190" s="127"/>
      <c r="O190" s="127"/>
    </row>
    <row r="191">
      <c r="A191" s="69" t="s">
        <v>6004</v>
      </c>
      <c r="B191" s="69" t="s">
        <v>5473</v>
      </c>
      <c r="C191" s="112" t="s">
        <v>6005</v>
      </c>
      <c r="D191" s="69"/>
      <c r="E191" s="69" t="s">
        <v>6006</v>
      </c>
      <c r="F191" s="69" t="s">
        <v>6007</v>
      </c>
      <c r="G191" s="69" t="s">
        <v>6006</v>
      </c>
      <c r="H191" s="119"/>
      <c r="I191" s="114" t="str">
        <f t="array" ref="I191">XLOOKUP(G191,KLUS!$A$2:$A$2010,KLUS!$E$2:$E$2010)+XLOOKUP(H191,KLUS!$A$2:$A$2010,KLUS!$E$2:$E$2010)</f>
        <v>#N/A</v>
      </c>
      <c r="J191" s="114" t="str">
        <f t="shared" si="1"/>
        <v>#N/A</v>
      </c>
      <c r="K191" s="115" t="str">
        <f t="shared" si="2"/>
        <v>#N/A</v>
      </c>
      <c r="L191" s="125"/>
      <c r="M191" s="126"/>
      <c r="N191" s="127"/>
      <c r="O191" s="127"/>
    </row>
    <row r="192">
      <c r="A192" s="69" t="s">
        <v>6008</v>
      </c>
      <c r="B192" s="69" t="s">
        <v>5473</v>
      </c>
      <c r="C192" s="112" t="s">
        <v>6009</v>
      </c>
      <c r="D192" s="69"/>
      <c r="E192" s="69" t="s">
        <v>6010</v>
      </c>
      <c r="F192" s="69" t="s">
        <v>6011</v>
      </c>
      <c r="G192" s="69" t="s">
        <v>261</v>
      </c>
      <c r="H192" s="119"/>
      <c r="I192" s="114" t="str">
        <f t="array" ref="I192">XLOOKUP(G192,KLUS!$A$2:$A$2010,KLUS!$E$2:$E$2010)+XLOOKUP(H192,KLUS!$A$2:$A$2010,KLUS!$E$2:$E$2010)</f>
        <v>#N/A</v>
      </c>
      <c r="J192" s="114" t="str">
        <f t="shared" si="1"/>
        <v>#N/A</v>
      </c>
      <c r="K192" s="115" t="str">
        <f t="shared" si="2"/>
        <v>#N/A</v>
      </c>
      <c r="L192" s="125"/>
      <c r="M192" s="126"/>
      <c r="N192" s="127"/>
      <c r="O192" s="127"/>
    </row>
    <row r="193">
      <c r="A193" s="69" t="s">
        <v>6012</v>
      </c>
      <c r="B193" s="69" t="s">
        <v>5473</v>
      </c>
      <c r="C193" s="112" t="s">
        <v>6013</v>
      </c>
      <c r="D193" s="69"/>
      <c r="E193" s="69" t="s">
        <v>6014</v>
      </c>
      <c r="F193" s="69" t="s">
        <v>6015</v>
      </c>
      <c r="G193" s="69" t="s">
        <v>256</v>
      </c>
      <c r="H193" s="119"/>
      <c r="I193" s="114" t="str">
        <f t="array" ref="I193">XLOOKUP(G193,KLUS!$A$2:$A$2010,KLUS!$E$2:$E$2010)+XLOOKUP(H193,KLUS!$A$2:$A$2010,KLUS!$E$2:$E$2010)</f>
        <v>#N/A</v>
      </c>
      <c r="J193" s="114" t="str">
        <f t="shared" si="1"/>
        <v>#N/A</v>
      </c>
      <c r="K193" s="115" t="str">
        <f t="shared" si="2"/>
        <v>#N/A</v>
      </c>
      <c r="L193" s="125"/>
      <c r="M193" s="126"/>
      <c r="N193" s="127"/>
      <c r="O193" s="127"/>
    </row>
    <row r="194">
      <c r="A194" s="69" t="s">
        <v>6016</v>
      </c>
      <c r="B194" s="69" t="s">
        <v>5473</v>
      </c>
      <c r="C194" s="112" t="s">
        <v>6017</v>
      </c>
      <c r="D194" s="69"/>
      <c r="E194" s="69" t="s">
        <v>6018</v>
      </c>
      <c r="F194" s="69" t="s">
        <v>6019</v>
      </c>
      <c r="G194" s="69" t="s">
        <v>263</v>
      </c>
      <c r="H194" s="119"/>
      <c r="I194" s="114" t="str">
        <f t="array" ref="I194">XLOOKUP(G194,KLUS!$A$2:$A$2010,KLUS!$E$2:$E$2010)+XLOOKUP(H194,KLUS!$A$2:$A$2010,KLUS!$E$2:$E$2010)</f>
        <v>#N/A</v>
      </c>
      <c r="J194" s="114" t="str">
        <f t="shared" si="1"/>
        <v>#N/A</v>
      </c>
      <c r="K194" s="115" t="str">
        <f t="shared" si="2"/>
        <v>#N/A</v>
      </c>
      <c r="L194" s="125"/>
      <c r="M194" s="126"/>
      <c r="N194" s="127"/>
      <c r="O194" s="127"/>
    </row>
    <row r="195">
      <c r="A195" s="69" t="s">
        <v>4199</v>
      </c>
      <c r="B195" s="69" t="s">
        <v>5473</v>
      </c>
      <c r="C195" s="112" t="s">
        <v>5797</v>
      </c>
      <c r="D195" s="69"/>
      <c r="E195" s="69" t="s">
        <v>95</v>
      </c>
      <c r="F195" s="69" t="s">
        <v>6020</v>
      </c>
      <c r="G195" s="69" t="s">
        <v>95</v>
      </c>
      <c r="H195" s="119"/>
      <c r="I195" s="114" t="str">
        <f t="array" ref="I195">XLOOKUP(G195,KLUS!$A$2:$A$2010,KLUS!$E$2:$E$2010)+XLOOKUP(H195,KLUS!$A$2:$A$2010,KLUS!$E$2:$E$2010)</f>
        <v>#N/A</v>
      </c>
      <c r="J195" s="114" t="str">
        <f t="shared" si="1"/>
        <v>#N/A</v>
      </c>
      <c r="K195" s="115" t="str">
        <f t="shared" si="2"/>
        <v>#N/A</v>
      </c>
      <c r="L195" s="125"/>
      <c r="M195" s="126"/>
      <c r="N195" s="127"/>
      <c r="O195" s="127"/>
    </row>
    <row r="196">
      <c r="A196" s="69" t="s">
        <v>6021</v>
      </c>
      <c r="B196" s="69" t="s">
        <v>5473</v>
      </c>
      <c r="C196" s="112" t="s">
        <v>6022</v>
      </c>
      <c r="D196" s="69"/>
      <c r="E196" s="69" t="s">
        <v>6023</v>
      </c>
      <c r="F196" s="69" t="s">
        <v>6024</v>
      </c>
      <c r="G196" s="69" t="s">
        <v>102</v>
      </c>
      <c r="H196" s="119"/>
      <c r="I196" s="114" t="str">
        <f t="array" ref="I196">XLOOKUP(G196,KLUS!$A$2:$A$2010,KLUS!$E$2:$E$2010)+XLOOKUP(H196,KLUS!$A$2:$A$2010,KLUS!$E$2:$E$2010)</f>
        <v>#N/A</v>
      </c>
      <c r="J196" s="114" t="str">
        <f t="shared" si="1"/>
        <v>#N/A</v>
      </c>
      <c r="K196" s="115" t="str">
        <f t="shared" si="2"/>
        <v>#N/A</v>
      </c>
      <c r="L196" s="125"/>
      <c r="M196" s="126"/>
      <c r="N196" s="127"/>
      <c r="O196" s="127"/>
    </row>
    <row r="197">
      <c r="A197" s="69" t="s">
        <v>4201</v>
      </c>
      <c r="B197" s="69" t="s">
        <v>5473</v>
      </c>
      <c r="C197" s="112" t="s">
        <v>6025</v>
      </c>
      <c r="D197" s="69"/>
      <c r="E197" s="69" t="s">
        <v>98</v>
      </c>
      <c r="F197" s="69" t="s">
        <v>6026</v>
      </c>
      <c r="G197" s="69" t="s">
        <v>98</v>
      </c>
      <c r="H197" s="119"/>
      <c r="I197" s="114" t="str">
        <f t="array" ref="I197">XLOOKUP(G197,KLUS!$A$2:$A$2010,KLUS!$E$2:$E$2010)+XLOOKUP(H197,KLUS!$A$2:$A$2010,KLUS!$E$2:$E$2010)</f>
        <v>#N/A</v>
      </c>
      <c r="J197" s="114" t="str">
        <f t="shared" si="1"/>
        <v>#N/A</v>
      </c>
      <c r="K197" s="115" t="str">
        <f t="shared" si="2"/>
        <v>#N/A</v>
      </c>
      <c r="L197" s="125"/>
      <c r="M197" s="126"/>
      <c r="N197" s="127"/>
      <c r="O197" s="127"/>
    </row>
    <row r="198">
      <c r="A198" s="69" t="s">
        <v>6027</v>
      </c>
      <c r="B198" s="69" t="s">
        <v>5473</v>
      </c>
      <c r="C198" s="112" t="s">
        <v>6028</v>
      </c>
      <c r="D198" s="69"/>
      <c r="E198" s="69" t="s">
        <v>6029</v>
      </c>
      <c r="F198" s="69" t="s">
        <v>6030</v>
      </c>
      <c r="G198" s="69" t="s">
        <v>105</v>
      </c>
      <c r="H198" s="119"/>
      <c r="I198" s="114" t="str">
        <f t="array" ref="I198">XLOOKUP(G198,KLUS!$A$2:$A$2010,KLUS!$E$2:$E$2010)+XLOOKUP(H198,KLUS!$A$2:$A$2010,KLUS!$E$2:$E$2010)</f>
        <v>#N/A</v>
      </c>
      <c r="J198" s="114" t="str">
        <f t="shared" si="1"/>
        <v>#N/A</v>
      </c>
      <c r="K198" s="115" t="str">
        <f t="shared" si="2"/>
        <v>#N/A</v>
      </c>
      <c r="L198" s="125"/>
      <c r="M198" s="126"/>
      <c r="N198" s="127"/>
      <c r="O198" s="127"/>
    </row>
    <row r="199">
      <c r="A199" s="69" t="s">
        <v>4203</v>
      </c>
      <c r="B199" s="69" t="s">
        <v>5473</v>
      </c>
      <c r="C199" s="112" t="s">
        <v>6031</v>
      </c>
      <c r="D199" s="69"/>
      <c r="E199" s="69" t="s">
        <v>100</v>
      </c>
      <c r="F199" s="69" t="s">
        <v>6032</v>
      </c>
      <c r="G199" s="69" t="s">
        <v>100</v>
      </c>
      <c r="H199" s="119"/>
      <c r="I199" s="114" t="str">
        <f t="array" ref="I199">XLOOKUP(G199,KLUS!$A$2:$A$2010,KLUS!$E$2:$E$2010)+XLOOKUP(H199,KLUS!$A$2:$A$2010,KLUS!$E$2:$E$2010)</f>
        <v>#N/A</v>
      </c>
      <c r="J199" s="114" t="str">
        <f t="shared" si="1"/>
        <v>#N/A</v>
      </c>
      <c r="K199" s="115" t="str">
        <f t="shared" si="2"/>
        <v>#N/A</v>
      </c>
      <c r="L199" s="125"/>
      <c r="M199" s="126"/>
      <c r="N199" s="127"/>
      <c r="O199" s="127"/>
    </row>
    <row r="200">
      <c r="A200" s="69" t="s">
        <v>6033</v>
      </c>
      <c r="B200" s="69" t="s">
        <v>5473</v>
      </c>
      <c r="C200" s="112" t="s">
        <v>6034</v>
      </c>
      <c r="D200" s="69"/>
      <c r="E200" s="69" t="s">
        <v>6035</v>
      </c>
      <c r="F200" s="69" t="s">
        <v>6036</v>
      </c>
      <c r="G200" s="69" t="s">
        <v>107</v>
      </c>
      <c r="H200" s="119"/>
      <c r="I200" s="114" t="str">
        <f t="array" ref="I200">XLOOKUP(G200,KLUS!$A$2:$A$2010,KLUS!$E$2:$E$2010)+XLOOKUP(H200,KLUS!$A$2:$A$2010,KLUS!$E$2:$E$2010)</f>
        <v>#N/A</v>
      </c>
      <c r="J200" s="114" t="str">
        <f t="shared" si="1"/>
        <v>#N/A</v>
      </c>
      <c r="K200" s="115" t="str">
        <f t="shared" si="2"/>
        <v>#N/A</v>
      </c>
      <c r="L200" s="125"/>
      <c r="M200" s="126"/>
      <c r="N200" s="127"/>
      <c r="O200" s="127"/>
    </row>
    <row r="201">
      <c r="A201" s="69" t="s">
        <v>6037</v>
      </c>
      <c r="B201" s="69" t="s">
        <v>5473</v>
      </c>
      <c r="C201" s="112" t="s">
        <v>5893</v>
      </c>
      <c r="D201" s="69"/>
      <c r="E201" s="69" t="s">
        <v>4268</v>
      </c>
      <c r="F201" s="69" t="s">
        <v>6038</v>
      </c>
      <c r="G201" s="69" t="s">
        <v>888</v>
      </c>
      <c r="H201" s="113" t="s">
        <v>1536</v>
      </c>
      <c r="I201" s="114">
        <f t="array" ref="I201">XLOOKUP(G201,KLUS!$A$2:$A$2010,KLUS!$E$2:$E$2010)+XLOOKUP(H201,KLUS!$A$2:$A$2010,KLUS!$E$2:$E$2010)</f>
        <v>44.8</v>
      </c>
      <c r="J201" s="114">
        <f t="shared" si="1"/>
        <v>40.32</v>
      </c>
      <c r="K201" s="115">
        <f t="shared" si="2"/>
        <v>32.256</v>
      </c>
      <c r="L201" s="125"/>
      <c r="M201" s="126"/>
      <c r="N201" s="127"/>
      <c r="O201" s="127"/>
    </row>
    <row r="202">
      <c r="A202" s="69" t="s">
        <v>6039</v>
      </c>
      <c r="B202" s="69" t="s">
        <v>5473</v>
      </c>
      <c r="C202" s="112" t="s">
        <v>6040</v>
      </c>
      <c r="D202" s="69"/>
      <c r="E202" s="69" t="s">
        <v>4272</v>
      </c>
      <c r="F202" s="69" t="s">
        <v>6041</v>
      </c>
      <c r="G202" s="69" t="s">
        <v>890</v>
      </c>
      <c r="H202" s="113" t="s">
        <v>1539</v>
      </c>
      <c r="I202" s="114">
        <f t="array" ref="I202">XLOOKUP(G202,KLUS!$A$2:$A$2010,KLUS!$E$2:$E$2010)+XLOOKUP(H202,KLUS!$A$2:$A$2010,KLUS!$E$2:$E$2010)</f>
        <v>89.6</v>
      </c>
      <c r="J202" s="114">
        <f t="shared" si="1"/>
        <v>80.64</v>
      </c>
      <c r="K202" s="115">
        <f t="shared" si="2"/>
        <v>64.512</v>
      </c>
      <c r="L202" s="125"/>
      <c r="M202" s="126"/>
      <c r="N202" s="127"/>
      <c r="O202" s="127"/>
    </row>
    <row r="203">
      <c r="A203" s="69" t="s">
        <v>6042</v>
      </c>
      <c r="B203" s="69" t="s">
        <v>5473</v>
      </c>
      <c r="C203" s="112" t="s">
        <v>6043</v>
      </c>
      <c r="D203" s="69"/>
      <c r="E203" s="69" t="s">
        <v>4276</v>
      </c>
      <c r="F203" s="118"/>
      <c r="G203" s="69" t="s">
        <v>892</v>
      </c>
      <c r="H203" s="113" t="s">
        <v>1541</v>
      </c>
      <c r="I203" s="114">
        <f t="array" ref="I203">XLOOKUP(G203,KLUS!$A$2:$A$2010,KLUS!$E$2:$E$2010)+XLOOKUP(H203,KLUS!$A$2:$A$2010,KLUS!$E$2:$E$2010)</f>
        <v>134.4</v>
      </c>
      <c r="J203" s="114">
        <f t="shared" si="1"/>
        <v>120.96</v>
      </c>
      <c r="K203" s="115">
        <f t="shared" si="2"/>
        <v>96.768</v>
      </c>
      <c r="L203" s="125"/>
      <c r="M203" s="126"/>
      <c r="N203" s="127"/>
      <c r="O203" s="127"/>
    </row>
    <row r="204">
      <c r="A204" s="69" t="s">
        <v>6044</v>
      </c>
      <c r="B204" s="69" t="s">
        <v>5473</v>
      </c>
      <c r="C204" s="112" t="s">
        <v>6045</v>
      </c>
      <c r="D204" s="69"/>
      <c r="E204" s="69" t="s">
        <v>4292</v>
      </c>
      <c r="F204" s="69" t="s">
        <v>6046</v>
      </c>
      <c r="G204" s="69" t="s">
        <v>456</v>
      </c>
      <c r="H204" s="116" t="s">
        <v>1460</v>
      </c>
      <c r="I204" s="114">
        <f t="array" ref="I204">XLOOKUP(G204,KLUS!$A$2:$A$2010,KLUS!$E$2:$E$2010)+XLOOKUP(H204,KLUS!$A$2:$A$2010,KLUS!$E$2:$E$2010)</f>
        <v>39</v>
      </c>
      <c r="J204" s="114">
        <f t="shared" si="1"/>
        <v>35.1</v>
      </c>
      <c r="K204" s="115">
        <f t="shared" si="2"/>
        <v>28.08</v>
      </c>
      <c r="L204" s="125"/>
      <c r="M204" s="126"/>
      <c r="N204" s="127"/>
      <c r="O204" s="127"/>
    </row>
    <row r="205">
      <c r="A205" s="69" t="s">
        <v>6047</v>
      </c>
      <c r="B205" s="69" t="s">
        <v>5473</v>
      </c>
      <c r="C205" s="112" t="s">
        <v>6045</v>
      </c>
      <c r="D205" s="69"/>
      <c r="E205" s="69" t="s">
        <v>4294</v>
      </c>
      <c r="F205" s="118"/>
      <c r="G205" s="69" t="s">
        <v>456</v>
      </c>
      <c r="H205" s="116" t="s">
        <v>1466</v>
      </c>
      <c r="I205" s="114">
        <f t="array" ref="I205">XLOOKUP(G205,KLUS!$A$2:$A$2010,KLUS!$E$2:$E$2010)+XLOOKUP(H205,KLUS!$A$2:$A$2010,KLUS!$E$2:$E$2010)</f>
        <v>39</v>
      </c>
      <c r="J205" s="114">
        <f t="shared" si="1"/>
        <v>35.1</v>
      </c>
      <c r="K205" s="115">
        <f t="shared" si="2"/>
        <v>28.08</v>
      </c>
      <c r="L205" s="125"/>
      <c r="M205" s="126"/>
      <c r="N205" s="127"/>
      <c r="O205" s="127"/>
    </row>
    <row r="206">
      <c r="A206" s="69" t="s">
        <v>6048</v>
      </c>
      <c r="B206" s="69" t="s">
        <v>5473</v>
      </c>
      <c r="C206" s="112" t="s">
        <v>6049</v>
      </c>
      <c r="D206" s="69"/>
      <c r="E206" s="69" t="s">
        <v>4298</v>
      </c>
      <c r="F206" s="69" t="s">
        <v>6050</v>
      </c>
      <c r="G206" s="69" t="s">
        <v>459</v>
      </c>
      <c r="H206" s="113" t="s">
        <v>1462</v>
      </c>
      <c r="I206" s="114">
        <f t="array" ref="I206">XLOOKUP(G206,KLUS!$A$2:$A$2010,KLUS!$E$2:$E$2010)+XLOOKUP(H206,KLUS!$A$2:$A$2010,KLUS!$E$2:$E$2010)</f>
        <v>78</v>
      </c>
      <c r="J206" s="114">
        <f t="shared" si="1"/>
        <v>70.2</v>
      </c>
      <c r="K206" s="115">
        <f t="shared" si="2"/>
        <v>56.16</v>
      </c>
      <c r="L206" s="125"/>
      <c r="M206" s="126"/>
      <c r="N206" s="127"/>
      <c r="O206" s="127"/>
    </row>
    <row r="207">
      <c r="A207" s="69" t="s">
        <v>6051</v>
      </c>
      <c r="B207" s="69" t="s">
        <v>5473</v>
      </c>
      <c r="C207" s="112" t="s">
        <v>6049</v>
      </c>
      <c r="D207" s="69"/>
      <c r="E207" s="69" t="s">
        <v>4300</v>
      </c>
      <c r="F207" s="118"/>
      <c r="G207" s="69" t="s">
        <v>459</v>
      </c>
      <c r="H207" s="113" t="s">
        <v>1468</v>
      </c>
      <c r="I207" s="114">
        <f t="array" ref="I207">XLOOKUP(G207,KLUS!$A$2:$A$2010,KLUS!$E$2:$E$2010)+XLOOKUP(H207,KLUS!$A$2:$A$2010,KLUS!$E$2:$E$2010)</f>
        <v>78</v>
      </c>
      <c r="J207" s="114">
        <f t="shared" si="1"/>
        <v>70.2</v>
      </c>
      <c r="K207" s="115">
        <f t="shared" si="2"/>
        <v>56.16</v>
      </c>
      <c r="L207" s="125"/>
      <c r="M207" s="126"/>
      <c r="N207" s="127"/>
      <c r="O207" s="127"/>
    </row>
    <row r="208">
      <c r="A208" s="69" t="s">
        <v>6052</v>
      </c>
      <c r="B208" s="69" t="s">
        <v>5473</v>
      </c>
      <c r="C208" s="112" t="s">
        <v>6053</v>
      </c>
      <c r="D208" s="69"/>
      <c r="E208" s="69" t="s">
        <v>4304</v>
      </c>
      <c r="F208" s="118"/>
      <c r="G208" s="69" t="s">
        <v>461</v>
      </c>
      <c r="H208" s="113" t="s">
        <v>1464</v>
      </c>
      <c r="I208" s="114">
        <f t="array" ref="I208">XLOOKUP(G208,KLUS!$A$2:$A$2010,KLUS!$E$2:$E$2010)+XLOOKUP(H208,KLUS!$A$2:$A$2010,KLUS!$E$2:$E$2010)</f>
        <v>117</v>
      </c>
      <c r="J208" s="114">
        <f t="shared" si="1"/>
        <v>105.3</v>
      </c>
      <c r="K208" s="115">
        <f t="shared" si="2"/>
        <v>84.24</v>
      </c>
      <c r="L208" s="125"/>
      <c r="M208" s="126"/>
      <c r="N208" s="127"/>
      <c r="O208" s="127"/>
    </row>
    <row r="209">
      <c r="A209" s="69" t="s">
        <v>6054</v>
      </c>
      <c r="B209" s="69" t="s">
        <v>5473</v>
      </c>
      <c r="C209" s="112" t="s">
        <v>6053</v>
      </c>
      <c r="D209" s="69"/>
      <c r="E209" s="69" t="s">
        <v>4306</v>
      </c>
      <c r="F209" s="118"/>
      <c r="G209" s="69" t="s">
        <v>461</v>
      </c>
      <c r="H209" s="113" t="s">
        <v>1470</v>
      </c>
      <c r="I209" s="114">
        <f t="array" ref="I209">XLOOKUP(G209,KLUS!$A$2:$A$2010,KLUS!$E$2:$E$2010)+XLOOKUP(H209,KLUS!$A$2:$A$2010,KLUS!$E$2:$E$2010)</f>
        <v>117</v>
      </c>
      <c r="J209" s="114">
        <f t="shared" si="1"/>
        <v>105.3</v>
      </c>
      <c r="K209" s="115">
        <f t="shared" si="2"/>
        <v>84.24</v>
      </c>
      <c r="L209" s="125"/>
      <c r="M209" s="126"/>
      <c r="N209" s="127"/>
      <c r="O209" s="127"/>
    </row>
    <row r="210">
      <c r="A210" s="69" t="s">
        <v>6055</v>
      </c>
      <c r="B210" s="69" t="s">
        <v>5473</v>
      </c>
      <c r="C210" s="112" t="s">
        <v>5487</v>
      </c>
      <c r="D210" s="69"/>
      <c r="E210" s="69" t="s">
        <v>6056</v>
      </c>
      <c r="F210" s="118"/>
      <c r="G210" s="69" t="s">
        <v>149</v>
      </c>
      <c r="H210" s="116" t="s">
        <v>1369</v>
      </c>
      <c r="I210" s="114">
        <f t="array" ref="I210">XLOOKUP(G210,KLUS!$A$2:$A$2010,KLUS!$E$2:$E$2010)+XLOOKUP(H210,KLUS!$A$2:$A$2010,KLUS!$E$2:$E$2010)</f>
        <v>33.9</v>
      </c>
      <c r="J210" s="114">
        <f t="shared" si="1"/>
        <v>30.51</v>
      </c>
      <c r="K210" s="115">
        <f t="shared" si="2"/>
        <v>24.408</v>
      </c>
      <c r="L210" s="125"/>
      <c r="M210" s="126"/>
      <c r="N210" s="127"/>
      <c r="O210" s="127"/>
    </row>
    <row r="211">
      <c r="A211" s="69" t="s">
        <v>6057</v>
      </c>
      <c r="B211" s="69" t="s">
        <v>5473</v>
      </c>
      <c r="C211" s="112" t="s">
        <v>6058</v>
      </c>
      <c r="D211" s="69"/>
      <c r="E211" s="69" t="s">
        <v>6059</v>
      </c>
      <c r="F211" s="118"/>
      <c r="G211" s="69" t="s">
        <v>152</v>
      </c>
      <c r="H211" s="113" t="s">
        <v>1372</v>
      </c>
      <c r="I211" s="114">
        <f t="array" ref="I211">XLOOKUP(G211,KLUS!$A$2:$A$2010,KLUS!$E$2:$E$2010)+XLOOKUP(H211,KLUS!$A$2:$A$2010,KLUS!$E$2:$E$2010)</f>
        <v>67.8</v>
      </c>
      <c r="J211" s="114">
        <f t="shared" si="1"/>
        <v>61.02</v>
      </c>
      <c r="K211" s="115">
        <f t="shared" si="2"/>
        <v>48.816</v>
      </c>
      <c r="L211" s="125"/>
      <c r="M211" s="126"/>
      <c r="N211" s="127"/>
      <c r="O211" s="127"/>
    </row>
    <row r="212">
      <c r="A212" s="69" t="s">
        <v>6060</v>
      </c>
      <c r="B212" s="69" t="s">
        <v>5473</v>
      </c>
      <c r="C212" s="112" t="s">
        <v>6061</v>
      </c>
      <c r="D212" s="69"/>
      <c r="E212" s="69" t="s">
        <v>6062</v>
      </c>
      <c r="F212" s="118"/>
      <c r="G212" s="69" t="s">
        <v>152</v>
      </c>
      <c r="H212" s="116" t="s">
        <v>1359</v>
      </c>
      <c r="I212" s="114">
        <f t="array" ref="I212">XLOOKUP(G212,KLUS!$A$2:$A$2010,KLUS!$E$2:$E$2010)+XLOOKUP(H212,KLUS!$A$2:$A$2010,KLUS!$E$2:$E$2010)</f>
        <v>56.3</v>
      </c>
      <c r="J212" s="114">
        <f t="shared" si="1"/>
        <v>50.67</v>
      </c>
      <c r="K212" s="115">
        <f t="shared" si="2"/>
        <v>40.536</v>
      </c>
      <c r="L212" s="125"/>
      <c r="M212" s="126"/>
      <c r="N212" s="127"/>
      <c r="O212" s="127"/>
    </row>
    <row r="213">
      <c r="A213" s="69" t="s">
        <v>4376</v>
      </c>
      <c r="B213" s="69" t="s">
        <v>5473</v>
      </c>
      <c r="C213" s="112" t="s">
        <v>6063</v>
      </c>
      <c r="D213" s="69"/>
      <c r="E213" s="69" t="s">
        <v>4377</v>
      </c>
      <c r="F213" s="69" t="s">
        <v>6064</v>
      </c>
      <c r="G213" s="69" t="s">
        <v>6065</v>
      </c>
      <c r="H213" s="119"/>
      <c r="I213" s="114" t="str">
        <f t="array" ref="I213">XLOOKUP(G213,KLUS!$A$2:$A$2010,KLUS!$E$2:$E$2010)+XLOOKUP(H213,KLUS!$A$2:$A$2010,KLUS!$E$2:$E$2010)</f>
        <v>#N/A</v>
      </c>
      <c r="J213" s="114" t="str">
        <f t="shared" si="1"/>
        <v>#N/A</v>
      </c>
      <c r="K213" s="115" t="str">
        <f t="shared" si="2"/>
        <v>#N/A</v>
      </c>
      <c r="L213" s="125"/>
      <c r="M213" s="126"/>
      <c r="N213" s="127"/>
      <c r="O213" s="127"/>
    </row>
    <row r="214">
      <c r="A214" s="69" t="s">
        <v>4378</v>
      </c>
      <c r="B214" s="69" t="s">
        <v>5486</v>
      </c>
      <c r="C214" s="112" t="s">
        <v>6066</v>
      </c>
      <c r="D214" s="69"/>
      <c r="E214" s="69" t="s">
        <v>4379</v>
      </c>
      <c r="F214" s="69" t="s">
        <v>6067</v>
      </c>
      <c r="G214" s="69" t="s">
        <v>6068</v>
      </c>
      <c r="H214" s="119"/>
      <c r="I214" s="114" t="str">
        <f t="array" ref="I214">XLOOKUP(G214,KLUS!$A$2:$A$2010,KLUS!$E$2:$E$2010)+XLOOKUP(H214,KLUS!$A$2:$A$2010,KLUS!$E$2:$E$2010)</f>
        <v>#N/A</v>
      </c>
      <c r="J214" s="114" t="str">
        <f t="shared" si="1"/>
        <v>#N/A</v>
      </c>
      <c r="K214" s="115" t="str">
        <f t="shared" si="2"/>
        <v>#N/A</v>
      </c>
      <c r="L214" s="125"/>
      <c r="M214" s="126"/>
      <c r="N214" s="127"/>
      <c r="O214" s="127"/>
    </row>
    <row r="215">
      <c r="A215" s="69" t="s">
        <v>4380</v>
      </c>
      <c r="B215" s="69" t="s">
        <v>5473</v>
      </c>
      <c r="C215" s="112" t="s">
        <v>6069</v>
      </c>
      <c r="D215" s="69"/>
      <c r="E215" s="69" t="s">
        <v>6070</v>
      </c>
      <c r="F215" s="118"/>
      <c r="G215" s="69" t="s">
        <v>6068</v>
      </c>
      <c r="H215" s="116" t="s">
        <v>1394</v>
      </c>
      <c r="I215" s="114" t="str">
        <f t="array" ref="I215">XLOOKUP(G215,KLUS!$A$2:$A$2010,KLUS!$E$2:$E$2010)+XLOOKUP(H215,KLUS!$A$2:$A$2010,KLUS!$E$2:$E$2010)</f>
        <v>#N/A</v>
      </c>
      <c r="J215" s="114" t="str">
        <f t="shared" si="1"/>
        <v>#N/A</v>
      </c>
      <c r="K215" s="115" t="str">
        <f t="shared" si="2"/>
        <v>#N/A</v>
      </c>
      <c r="L215" s="125"/>
      <c r="M215" s="126"/>
      <c r="N215" s="127"/>
      <c r="O215" s="127"/>
    </row>
    <row r="216">
      <c r="A216" s="69" t="s">
        <v>4382</v>
      </c>
      <c r="B216" s="69" t="s">
        <v>5473</v>
      </c>
      <c r="C216" s="112" t="s">
        <v>6071</v>
      </c>
      <c r="D216" s="69"/>
      <c r="E216" s="69" t="s">
        <v>4383</v>
      </c>
      <c r="F216" s="69" t="s">
        <v>6072</v>
      </c>
      <c r="G216" s="69" t="s">
        <v>6068</v>
      </c>
      <c r="H216" s="116" t="s">
        <v>1369</v>
      </c>
      <c r="I216" s="114" t="str">
        <f t="array" ref="I216">XLOOKUP(G216,KLUS!$A$2:$A$2010,KLUS!$E$2:$E$2010)+XLOOKUP(H216,KLUS!$A$2:$A$2010,KLUS!$E$2:$E$2010)</f>
        <v>#N/A</v>
      </c>
      <c r="J216" s="114" t="str">
        <f t="shared" si="1"/>
        <v>#N/A</v>
      </c>
      <c r="K216" s="115" t="str">
        <f t="shared" si="2"/>
        <v>#N/A</v>
      </c>
      <c r="L216" s="125"/>
      <c r="M216" s="126"/>
      <c r="N216" s="127"/>
      <c r="O216" s="127"/>
    </row>
    <row r="217">
      <c r="A217" s="69" t="s">
        <v>4384</v>
      </c>
      <c r="B217" s="69" t="s">
        <v>5486</v>
      </c>
      <c r="C217" s="112" t="s">
        <v>6073</v>
      </c>
      <c r="D217" s="69"/>
      <c r="E217" s="69" t="s">
        <v>6074</v>
      </c>
      <c r="F217" s="69" t="s">
        <v>6075</v>
      </c>
      <c r="G217" s="69" t="s">
        <v>6068</v>
      </c>
      <c r="H217" s="113" t="s">
        <v>1356</v>
      </c>
      <c r="I217" s="114" t="str">
        <f t="array" ref="I217">XLOOKUP(G217,KLUS!$A$2:$A$2010,KLUS!$E$2:$E$2010)+XLOOKUP(H217,KLUS!$A$2:$A$2010,KLUS!$E$2:$E$2010)</f>
        <v>#N/A</v>
      </c>
      <c r="J217" s="114" t="str">
        <f t="shared" si="1"/>
        <v>#N/A</v>
      </c>
      <c r="K217" s="115" t="str">
        <f t="shared" si="2"/>
        <v>#N/A</v>
      </c>
      <c r="L217" s="125"/>
      <c r="M217" s="126"/>
      <c r="N217" s="127"/>
      <c r="O217" s="127"/>
    </row>
    <row r="218">
      <c r="A218" s="69" t="s">
        <v>4386</v>
      </c>
      <c r="B218" s="69" t="s">
        <v>5473</v>
      </c>
      <c r="C218" s="112" t="s">
        <v>6071</v>
      </c>
      <c r="D218" s="69"/>
      <c r="E218" s="69" t="s">
        <v>4387</v>
      </c>
      <c r="F218" s="69" t="s">
        <v>6076</v>
      </c>
      <c r="G218" s="69" t="s">
        <v>6068</v>
      </c>
      <c r="H218" s="113" t="s">
        <v>6077</v>
      </c>
      <c r="I218" s="114" t="str">
        <f t="array" ref="I218">XLOOKUP(G218,KLUS!$A$2:$A$2010,KLUS!$E$2:$E$2010)+XLOOKUP(H218,KLUS!$A$2:$A$2010,KLUS!$E$2:$E$2010)</f>
        <v>#N/A</v>
      </c>
      <c r="J218" s="114" t="str">
        <f t="shared" si="1"/>
        <v>#N/A</v>
      </c>
      <c r="K218" s="115" t="str">
        <f t="shared" si="2"/>
        <v>#N/A</v>
      </c>
      <c r="L218" s="125"/>
      <c r="M218" s="126"/>
      <c r="N218" s="127"/>
      <c r="O218" s="127"/>
    </row>
    <row r="219">
      <c r="A219" s="69" t="s">
        <v>4388</v>
      </c>
      <c r="B219" s="69" t="s">
        <v>5473</v>
      </c>
      <c r="C219" s="112" t="s">
        <v>6073</v>
      </c>
      <c r="D219" s="69"/>
      <c r="E219" s="69" t="s">
        <v>6078</v>
      </c>
      <c r="F219" s="69" t="s">
        <v>6079</v>
      </c>
      <c r="G219" s="69" t="s">
        <v>6068</v>
      </c>
      <c r="H219" s="113" t="s">
        <v>1363</v>
      </c>
      <c r="I219" s="114" t="str">
        <f t="array" ref="I219">XLOOKUP(G219,KLUS!$A$2:$A$2010,KLUS!$E$2:$E$2010)+XLOOKUP(H219,KLUS!$A$2:$A$2010,KLUS!$E$2:$E$2010)</f>
        <v>#N/A</v>
      </c>
      <c r="J219" s="114" t="str">
        <f t="shared" si="1"/>
        <v>#N/A</v>
      </c>
      <c r="K219" s="115" t="str">
        <f t="shared" si="2"/>
        <v>#N/A</v>
      </c>
      <c r="L219" s="125"/>
      <c r="M219" s="126"/>
      <c r="N219" s="127"/>
      <c r="O219" s="127"/>
    </row>
    <row r="220">
      <c r="A220" s="69" t="s">
        <v>4390</v>
      </c>
      <c r="B220" s="69" t="s">
        <v>5473</v>
      </c>
      <c r="C220" s="112" t="s">
        <v>6066</v>
      </c>
      <c r="D220" s="69"/>
      <c r="E220" s="69" t="s">
        <v>4391</v>
      </c>
      <c r="F220" s="69" t="s">
        <v>6080</v>
      </c>
      <c r="G220" s="69" t="s">
        <v>6081</v>
      </c>
      <c r="H220" s="119"/>
      <c r="I220" s="114" t="str">
        <f t="array" ref="I220">XLOOKUP(G220,KLUS!$A$2:$A$2010,KLUS!$E$2:$E$2010)+XLOOKUP(H220,KLUS!$A$2:$A$2010,KLUS!$E$2:$E$2010)</f>
        <v>#N/A</v>
      </c>
      <c r="J220" s="114" t="str">
        <f t="shared" si="1"/>
        <v>#N/A</v>
      </c>
      <c r="K220" s="115" t="str">
        <f t="shared" si="2"/>
        <v>#N/A</v>
      </c>
      <c r="L220" s="125"/>
      <c r="M220" s="126"/>
      <c r="N220" s="127"/>
      <c r="O220" s="127"/>
    </row>
    <row r="221">
      <c r="A221" s="69" t="s">
        <v>4392</v>
      </c>
      <c r="B221" s="69" t="s">
        <v>5473</v>
      </c>
      <c r="C221" s="112" t="s">
        <v>6082</v>
      </c>
      <c r="D221" s="69"/>
      <c r="E221" s="69" t="s">
        <v>4393</v>
      </c>
      <c r="F221" s="118"/>
      <c r="G221" s="69" t="s">
        <v>6083</v>
      </c>
      <c r="H221" s="116" t="s">
        <v>1369</v>
      </c>
      <c r="I221" s="114" t="str">
        <f t="array" ref="I221">XLOOKUP(G221,KLUS!$A$2:$A$2010,KLUS!$E$2:$E$2010)+XLOOKUP(H221,KLUS!$A$2:$A$2010,KLUS!$E$2:$E$2010)</f>
        <v>#N/A</v>
      </c>
      <c r="J221" s="114" t="str">
        <f t="shared" si="1"/>
        <v>#N/A</v>
      </c>
      <c r="K221" s="115" t="str">
        <f t="shared" si="2"/>
        <v>#N/A</v>
      </c>
      <c r="L221" s="125"/>
      <c r="M221" s="126"/>
      <c r="N221" s="127"/>
      <c r="O221" s="127"/>
    </row>
    <row r="222">
      <c r="A222" s="69" t="s">
        <v>4394</v>
      </c>
      <c r="B222" s="69" t="s">
        <v>5473</v>
      </c>
      <c r="C222" s="112" t="s">
        <v>6084</v>
      </c>
      <c r="D222" s="69"/>
      <c r="E222" s="69" t="s">
        <v>4395</v>
      </c>
      <c r="F222" s="69" t="s">
        <v>6085</v>
      </c>
      <c r="G222" s="69" t="s">
        <v>6086</v>
      </c>
      <c r="H222" s="119"/>
      <c r="I222" s="114" t="str">
        <f t="array" ref="I222">XLOOKUP(G222,KLUS!$A$2:$A$2010,KLUS!$E$2:$E$2010)+XLOOKUP(H222,KLUS!$A$2:$A$2010,KLUS!$E$2:$E$2010)</f>
        <v>#N/A</v>
      </c>
      <c r="J222" s="114" t="str">
        <f t="shared" si="1"/>
        <v>#N/A</v>
      </c>
      <c r="K222" s="115" t="str">
        <f t="shared" si="2"/>
        <v>#N/A</v>
      </c>
      <c r="L222" s="125"/>
      <c r="M222" s="126"/>
      <c r="N222" s="127"/>
      <c r="O222" s="127"/>
    </row>
    <row r="223">
      <c r="A223" s="69" t="s">
        <v>4396</v>
      </c>
      <c r="B223" s="69" t="s">
        <v>5473</v>
      </c>
      <c r="C223" s="112" t="s">
        <v>6087</v>
      </c>
      <c r="D223" s="69"/>
      <c r="E223" s="69" t="s">
        <v>6088</v>
      </c>
      <c r="F223" s="118"/>
      <c r="G223" s="69" t="s">
        <v>6086</v>
      </c>
      <c r="H223" s="116" t="s">
        <v>1369</v>
      </c>
      <c r="I223" s="114" t="str">
        <f t="array" ref="I223">XLOOKUP(G223,KLUS!$A$2:$A$2010,KLUS!$E$2:$E$2010)+XLOOKUP(H223,KLUS!$A$2:$A$2010,KLUS!$E$2:$E$2010)</f>
        <v>#N/A</v>
      </c>
      <c r="J223" s="114" t="str">
        <f t="shared" si="1"/>
        <v>#N/A</v>
      </c>
      <c r="K223" s="115" t="str">
        <f t="shared" si="2"/>
        <v>#N/A</v>
      </c>
      <c r="L223" s="125"/>
      <c r="M223" s="126"/>
      <c r="N223" s="127"/>
      <c r="O223" s="127"/>
    </row>
    <row r="224">
      <c r="A224" s="69" t="s">
        <v>4398</v>
      </c>
      <c r="B224" s="69" t="s">
        <v>5473</v>
      </c>
      <c r="C224" s="112" t="s">
        <v>6089</v>
      </c>
      <c r="D224" s="69"/>
      <c r="E224" s="69" t="s">
        <v>4399</v>
      </c>
      <c r="F224" s="69" t="s">
        <v>6090</v>
      </c>
      <c r="G224" s="69" t="s">
        <v>6091</v>
      </c>
      <c r="H224" s="119"/>
      <c r="I224" s="114" t="str">
        <f t="array" ref="I224">XLOOKUP(G224,KLUS!$A$2:$A$2010,KLUS!$E$2:$E$2010)+XLOOKUP(H224,KLUS!$A$2:$A$2010,KLUS!$E$2:$E$2010)</f>
        <v>#N/A</v>
      </c>
      <c r="J224" s="114" t="str">
        <f t="shared" si="1"/>
        <v>#N/A</v>
      </c>
      <c r="K224" s="115" t="str">
        <f t="shared" si="2"/>
        <v>#N/A</v>
      </c>
      <c r="L224" s="125"/>
      <c r="M224" s="126"/>
      <c r="N224" s="127"/>
      <c r="O224" s="127"/>
    </row>
    <row r="225">
      <c r="A225" s="69" t="s">
        <v>4400</v>
      </c>
      <c r="B225" s="69" t="s">
        <v>5473</v>
      </c>
      <c r="C225" s="112" t="s">
        <v>6082</v>
      </c>
      <c r="D225" s="69"/>
      <c r="E225" s="69" t="s">
        <v>6092</v>
      </c>
      <c r="F225" s="118"/>
      <c r="G225" s="69" t="s">
        <v>6093</v>
      </c>
      <c r="H225" s="116" t="s">
        <v>1369</v>
      </c>
      <c r="I225" s="114" t="str">
        <f t="array" ref="I225">XLOOKUP(G225,KLUS!$A$2:$A$2010,KLUS!$E$2:$E$2010)+XLOOKUP(H225,KLUS!$A$2:$A$2010,KLUS!$E$2:$E$2010)</f>
        <v>#N/A</v>
      </c>
      <c r="J225" s="114" t="str">
        <f t="shared" si="1"/>
        <v>#N/A</v>
      </c>
      <c r="K225" s="115" t="str">
        <f t="shared" si="2"/>
        <v>#N/A</v>
      </c>
      <c r="L225" s="125"/>
      <c r="M225" s="126"/>
      <c r="N225" s="127"/>
      <c r="O225" s="127"/>
    </row>
    <row r="226">
      <c r="A226" s="69" t="s">
        <v>4402</v>
      </c>
      <c r="B226" s="69" t="s">
        <v>5473</v>
      </c>
      <c r="C226" s="112" t="s">
        <v>6094</v>
      </c>
      <c r="D226" s="69"/>
      <c r="E226" s="69" t="s">
        <v>4403</v>
      </c>
      <c r="F226" s="69" t="s">
        <v>6095</v>
      </c>
      <c r="G226" s="69" t="s">
        <v>6096</v>
      </c>
      <c r="H226" s="116" t="s">
        <v>1369</v>
      </c>
      <c r="I226" s="114" t="str">
        <f t="array" ref="I226">XLOOKUP(G226,KLUS!$A$2:$A$2010,KLUS!$E$2:$E$2010)+XLOOKUP(H226,KLUS!$A$2:$A$2010,KLUS!$E$2:$E$2010)</f>
        <v>#N/A</v>
      </c>
      <c r="J226" s="114" t="str">
        <f t="shared" si="1"/>
        <v>#N/A</v>
      </c>
      <c r="K226" s="115" t="str">
        <f t="shared" si="2"/>
        <v>#N/A</v>
      </c>
      <c r="L226" s="125"/>
      <c r="M226" s="126"/>
      <c r="N226" s="127"/>
      <c r="O226" s="127"/>
    </row>
    <row r="227">
      <c r="A227" s="69" t="s">
        <v>4404</v>
      </c>
      <c r="B227" s="69" t="s">
        <v>5473</v>
      </c>
      <c r="C227" s="112" t="s">
        <v>6097</v>
      </c>
      <c r="D227" s="69"/>
      <c r="E227" s="69" t="s">
        <v>4405</v>
      </c>
      <c r="F227" s="69" t="s">
        <v>6098</v>
      </c>
      <c r="G227" s="69" t="s">
        <v>6096</v>
      </c>
      <c r="H227" s="116" t="s">
        <v>1356</v>
      </c>
      <c r="I227" s="114" t="str">
        <f t="array" ref="I227">XLOOKUP(G227,KLUS!$A$2:$A$2010,KLUS!$E$2:$E$2010)+XLOOKUP(H227,KLUS!$A$2:$A$2010,KLUS!$E$2:$E$2010)</f>
        <v>#N/A</v>
      </c>
      <c r="J227" s="114" t="str">
        <f t="shared" si="1"/>
        <v>#N/A</v>
      </c>
      <c r="K227" s="115" t="str">
        <f t="shared" si="2"/>
        <v>#N/A</v>
      </c>
      <c r="L227" s="125"/>
      <c r="M227" s="126"/>
      <c r="N227" s="127"/>
      <c r="O227" s="127"/>
    </row>
    <row r="228">
      <c r="A228" s="69" t="s">
        <v>4406</v>
      </c>
      <c r="B228" s="69" t="s">
        <v>5473</v>
      </c>
      <c r="C228" s="112" t="s">
        <v>6099</v>
      </c>
      <c r="D228" s="69"/>
      <c r="E228" s="69" t="s">
        <v>6100</v>
      </c>
      <c r="F228" s="118"/>
      <c r="G228" s="69" t="s">
        <v>6096</v>
      </c>
      <c r="H228" s="113" t="s">
        <v>1406</v>
      </c>
      <c r="I228" s="114" t="str">
        <f t="array" ref="I228">XLOOKUP(G228,KLUS!$A$2:$A$2010,KLUS!$E$2:$E$2010)+XLOOKUP(H228,KLUS!$A$2:$A$2010,KLUS!$E$2:$E$2010)</f>
        <v>#N/A</v>
      </c>
      <c r="J228" s="114" t="str">
        <f t="shared" si="1"/>
        <v>#N/A</v>
      </c>
      <c r="K228" s="115" t="str">
        <f t="shared" si="2"/>
        <v>#N/A</v>
      </c>
      <c r="L228" s="125"/>
      <c r="M228" s="126"/>
      <c r="N228" s="127"/>
      <c r="O228" s="127"/>
    </row>
    <row r="229">
      <c r="A229" s="69" t="s">
        <v>4408</v>
      </c>
      <c r="B229" s="69" t="s">
        <v>5473</v>
      </c>
      <c r="C229" s="112" t="s">
        <v>6101</v>
      </c>
      <c r="D229" s="69"/>
      <c r="E229" s="69" t="s">
        <v>4409</v>
      </c>
      <c r="F229" s="69" t="s">
        <v>6102</v>
      </c>
      <c r="G229" s="69" t="s">
        <v>6096</v>
      </c>
      <c r="H229" s="113" t="s">
        <v>1376</v>
      </c>
      <c r="I229" s="114" t="str">
        <f t="array" ref="I229">XLOOKUP(G229,KLUS!$A$2:$A$2010,KLUS!$E$2:$E$2010)+XLOOKUP(H229,KLUS!$A$2:$A$2010,KLUS!$E$2:$E$2010)</f>
        <v>#N/A</v>
      </c>
      <c r="J229" s="114" t="str">
        <f t="shared" si="1"/>
        <v>#N/A</v>
      </c>
      <c r="K229" s="115" t="str">
        <f t="shared" si="2"/>
        <v>#N/A</v>
      </c>
      <c r="L229" s="125"/>
      <c r="M229" s="126"/>
      <c r="N229" s="127"/>
      <c r="O229" s="127"/>
    </row>
    <row r="230">
      <c r="A230" s="69" t="s">
        <v>4410</v>
      </c>
      <c r="B230" s="69" t="s">
        <v>5473</v>
      </c>
      <c r="C230" s="112" t="s">
        <v>6097</v>
      </c>
      <c r="D230" s="69"/>
      <c r="E230" s="69" t="s">
        <v>4411</v>
      </c>
      <c r="F230" s="69" t="s">
        <v>6103</v>
      </c>
      <c r="G230" s="69" t="s">
        <v>6096</v>
      </c>
      <c r="H230" s="113" t="s">
        <v>1363</v>
      </c>
      <c r="I230" s="114" t="str">
        <f t="array" ref="I230">XLOOKUP(G230,KLUS!$A$2:$A$2010,KLUS!$E$2:$E$2010)+XLOOKUP(H230,KLUS!$A$2:$A$2010,KLUS!$E$2:$E$2010)</f>
        <v>#N/A</v>
      </c>
      <c r="J230" s="114" t="str">
        <f t="shared" si="1"/>
        <v>#N/A</v>
      </c>
      <c r="K230" s="115" t="str">
        <f t="shared" si="2"/>
        <v>#N/A</v>
      </c>
      <c r="L230" s="125"/>
      <c r="M230" s="126"/>
      <c r="N230" s="127"/>
      <c r="O230" s="127"/>
    </row>
    <row r="231">
      <c r="A231" s="69" t="s">
        <v>250</v>
      </c>
      <c r="B231" s="69" t="s">
        <v>5473</v>
      </c>
      <c r="C231" s="112" t="s">
        <v>6104</v>
      </c>
      <c r="D231" s="69"/>
      <c r="E231" s="69" t="s">
        <v>4412</v>
      </c>
      <c r="F231" s="69" t="s">
        <v>6105</v>
      </c>
      <c r="G231" s="69" t="s">
        <v>249</v>
      </c>
      <c r="H231" s="119"/>
      <c r="I231" s="114" t="str">
        <f t="array" ref="I231">XLOOKUP(G231,KLUS!$A$2:$A$2010,KLUS!$E$2:$E$2010)+XLOOKUP(H231,KLUS!$A$2:$A$2010,KLUS!$E$2:$E$2010)</f>
        <v>#N/A</v>
      </c>
      <c r="J231" s="114" t="str">
        <f t="shared" si="1"/>
        <v>#N/A</v>
      </c>
      <c r="K231" s="115" t="str">
        <f t="shared" si="2"/>
        <v>#N/A</v>
      </c>
      <c r="L231" s="125"/>
      <c r="M231" s="126"/>
      <c r="N231" s="127"/>
      <c r="O231" s="127"/>
    </row>
    <row r="232">
      <c r="A232" s="69" t="s">
        <v>4413</v>
      </c>
      <c r="B232" s="69" t="s">
        <v>5473</v>
      </c>
      <c r="C232" s="112" t="s">
        <v>6106</v>
      </c>
      <c r="D232" s="69"/>
      <c r="E232" s="69" t="s">
        <v>4414</v>
      </c>
      <c r="F232" s="69" t="s">
        <v>6107</v>
      </c>
      <c r="G232" s="69" t="s">
        <v>6108</v>
      </c>
      <c r="H232" s="119"/>
      <c r="I232" s="114" t="str">
        <f t="array" ref="I232">XLOOKUP(G232,KLUS!$A$2:$A$2010,KLUS!$E$2:$E$2010)+XLOOKUP(H232,KLUS!$A$2:$A$2010,KLUS!$E$2:$E$2010)</f>
        <v>#N/A</v>
      </c>
      <c r="J232" s="114" t="str">
        <f t="shared" si="1"/>
        <v>#N/A</v>
      </c>
      <c r="K232" s="115" t="str">
        <f t="shared" si="2"/>
        <v>#N/A</v>
      </c>
      <c r="L232" s="125"/>
      <c r="M232" s="126"/>
      <c r="N232" s="127"/>
      <c r="O232" s="127"/>
    </row>
    <row r="233">
      <c r="A233" s="69" t="s">
        <v>4415</v>
      </c>
      <c r="B233" s="69" t="s">
        <v>5486</v>
      </c>
      <c r="C233" s="112" t="s">
        <v>6109</v>
      </c>
      <c r="D233" s="69"/>
      <c r="E233" s="69" t="s">
        <v>6110</v>
      </c>
      <c r="F233" s="69" t="s">
        <v>6111</v>
      </c>
      <c r="G233" s="69" t="s">
        <v>6108</v>
      </c>
      <c r="H233" s="113" t="s">
        <v>1396</v>
      </c>
      <c r="I233" s="114" t="str">
        <f t="array" ref="I233">XLOOKUP(G233,KLUS!$A$2:$A$2010,KLUS!$E$2:$E$2010)+XLOOKUP(H233,KLUS!$A$2:$A$2010,KLUS!$E$2:$E$2010)</f>
        <v>#N/A</v>
      </c>
      <c r="J233" s="114" t="str">
        <f t="shared" si="1"/>
        <v>#N/A</v>
      </c>
      <c r="K233" s="115" t="str">
        <f t="shared" si="2"/>
        <v>#N/A</v>
      </c>
      <c r="L233" s="125"/>
      <c r="M233" s="126"/>
      <c r="N233" s="127"/>
      <c r="O233" s="127"/>
    </row>
    <row r="234">
      <c r="A234" s="69" t="s">
        <v>4417</v>
      </c>
      <c r="B234" s="69" t="s">
        <v>5473</v>
      </c>
      <c r="C234" s="112" t="s">
        <v>6112</v>
      </c>
      <c r="D234" s="69"/>
      <c r="E234" s="69" t="s">
        <v>4418</v>
      </c>
      <c r="F234" s="69" t="s">
        <v>6113</v>
      </c>
      <c r="G234" s="69" t="s">
        <v>6108</v>
      </c>
      <c r="H234" s="113" t="s">
        <v>1372</v>
      </c>
      <c r="I234" s="114" t="str">
        <f t="array" ref="I234">XLOOKUP(G234,KLUS!$A$2:$A$2010,KLUS!$E$2:$E$2010)+XLOOKUP(H234,KLUS!$A$2:$A$2010,KLUS!$E$2:$E$2010)</f>
        <v>#N/A</v>
      </c>
      <c r="J234" s="114" t="str">
        <f t="shared" si="1"/>
        <v>#N/A</v>
      </c>
      <c r="K234" s="115" t="str">
        <f t="shared" si="2"/>
        <v>#N/A</v>
      </c>
      <c r="L234" s="125"/>
      <c r="M234" s="126"/>
      <c r="N234" s="127"/>
      <c r="O234" s="127"/>
    </row>
    <row r="235">
      <c r="A235" s="69" t="s">
        <v>4419</v>
      </c>
      <c r="B235" s="69" t="s">
        <v>5486</v>
      </c>
      <c r="C235" s="112" t="s">
        <v>6114</v>
      </c>
      <c r="D235" s="69"/>
      <c r="E235" s="69" t="s">
        <v>6115</v>
      </c>
      <c r="F235" s="69" t="s">
        <v>6116</v>
      </c>
      <c r="G235" s="69" t="s">
        <v>6108</v>
      </c>
      <c r="H235" s="116" t="s">
        <v>1359</v>
      </c>
      <c r="I235" s="114" t="str">
        <f t="array" ref="I235">XLOOKUP(G235,KLUS!$A$2:$A$2010,KLUS!$E$2:$E$2010)+XLOOKUP(H235,KLUS!$A$2:$A$2010,KLUS!$E$2:$E$2010)</f>
        <v>#N/A</v>
      </c>
      <c r="J235" s="114" t="str">
        <f t="shared" si="1"/>
        <v>#N/A</v>
      </c>
      <c r="K235" s="115" t="str">
        <f t="shared" si="2"/>
        <v>#N/A</v>
      </c>
      <c r="L235" s="125"/>
      <c r="M235" s="126"/>
      <c r="N235" s="127"/>
      <c r="O235" s="127"/>
    </row>
    <row r="236">
      <c r="A236" s="69" t="s">
        <v>4421</v>
      </c>
      <c r="B236" s="69" t="s">
        <v>5473</v>
      </c>
      <c r="C236" s="112" t="s">
        <v>6109</v>
      </c>
      <c r="D236" s="69"/>
      <c r="E236" s="69" t="s">
        <v>6117</v>
      </c>
      <c r="F236" s="118"/>
      <c r="G236" s="69" t="s">
        <v>6108</v>
      </c>
      <c r="H236" s="116" t="s">
        <v>1402</v>
      </c>
      <c r="I236" s="114" t="str">
        <f t="array" ref="I236">XLOOKUP(G236,KLUS!$A$2:$A$2010,KLUS!$E$2:$E$2010)+XLOOKUP(H236,KLUS!$A$2:$A$2010,KLUS!$E$2:$E$2010)</f>
        <v>#N/A</v>
      </c>
      <c r="J236" s="114" t="str">
        <f t="shared" si="1"/>
        <v>#N/A</v>
      </c>
      <c r="K236" s="115" t="str">
        <f t="shared" si="2"/>
        <v>#N/A</v>
      </c>
      <c r="L236" s="125"/>
      <c r="M236" s="126"/>
      <c r="N236" s="127"/>
      <c r="O236" s="127"/>
    </row>
    <row r="237">
      <c r="A237" s="69" t="s">
        <v>4423</v>
      </c>
      <c r="B237" s="69" t="s">
        <v>5473</v>
      </c>
      <c r="C237" s="112" t="s">
        <v>6112</v>
      </c>
      <c r="D237" s="69"/>
      <c r="E237" s="69" t="s">
        <v>4424</v>
      </c>
      <c r="F237" s="69" t="s">
        <v>6118</v>
      </c>
      <c r="G237" s="69" t="s">
        <v>6108</v>
      </c>
      <c r="H237" s="116" t="s">
        <v>1378</v>
      </c>
      <c r="I237" s="114" t="str">
        <f t="array" ref="I237">XLOOKUP(G237,KLUS!$A$2:$A$2010,KLUS!$E$2:$E$2010)+XLOOKUP(H237,KLUS!$A$2:$A$2010,KLUS!$E$2:$E$2010)</f>
        <v>#N/A</v>
      </c>
      <c r="J237" s="114" t="str">
        <f t="shared" si="1"/>
        <v>#N/A</v>
      </c>
      <c r="K237" s="115" t="str">
        <f t="shared" si="2"/>
        <v>#N/A</v>
      </c>
      <c r="L237" s="125"/>
      <c r="M237" s="126"/>
      <c r="N237" s="127"/>
      <c r="O237" s="127"/>
    </row>
    <row r="238">
      <c r="A238" s="69" t="s">
        <v>4425</v>
      </c>
      <c r="B238" s="69" t="s">
        <v>5473</v>
      </c>
      <c r="C238" s="112" t="s">
        <v>6119</v>
      </c>
      <c r="D238" s="69"/>
      <c r="E238" s="69" t="s">
        <v>6120</v>
      </c>
      <c r="F238" s="69" t="s">
        <v>6121</v>
      </c>
      <c r="G238" s="69" t="s">
        <v>6108</v>
      </c>
      <c r="H238" s="113" t="s">
        <v>1365</v>
      </c>
      <c r="I238" s="114" t="str">
        <f t="array" ref="I238">XLOOKUP(G238,KLUS!$A$2:$A$2010,KLUS!$E$2:$E$2010)+XLOOKUP(H238,KLUS!$A$2:$A$2010,KLUS!$E$2:$E$2010)</f>
        <v>#N/A</v>
      </c>
      <c r="J238" s="114" t="str">
        <f t="shared" si="1"/>
        <v>#N/A</v>
      </c>
      <c r="K238" s="115" t="str">
        <f t="shared" si="2"/>
        <v>#N/A</v>
      </c>
      <c r="L238" s="125"/>
      <c r="M238" s="126"/>
      <c r="N238" s="127"/>
      <c r="O238" s="127"/>
    </row>
    <row r="239">
      <c r="A239" s="69" t="s">
        <v>4427</v>
      </c>
      <c r="B239" s="69" t="s">
        <v>5473</v>
      </c>
      <c r="C239" s="112" t="s">
        <v>6106</v>
      </c>
      <c r="D239" s="69"/>
      <c r="E239" s="69" t="s">
        <v>4428</v>
      </c>
      <c r="F239" s="69" t="s">
        <v>6122</v>
      </c>
      <c r="G239" s="69" t="s">
        <v>6123</v>
      </c>
      <c r="H239" s="119"/>
      <c r="I239" s="114" t="str">
        <f t="array" ref="I239">XLOOKUP(G239,KLUS!$A$2:$A$2010,KLUS!$E$2:$E$2010)+XLOOKUP(H239,KLUS!$A$2:$A$2010,KLUS!$E$2:$E$2010)</f>
        <v>#N/A</v>
      </c>
      <c r="J239" s="114" t="str">
        <f t="shared" si="1"/>
        <v>#N/A</v>
      </c>
      <c r="K239" s="115" t="str">
        <f t="shared" si="2"/>
        <v>#N/A</v>
      </c>
      <c r="L239" s="125"/>
      <c r="M239" s="126"/>
      <c r="N239" s="127"/>
      <c r="O239" s="127"/>
    </row>
    <row r="240">
      <c r="A240" s="69" t="s">
        <v>4429</v>
      </c>
      <c r="B240" s="69" t="s">
        <v>5473</v>
      </c>
      <c r="C240" s="112" t="s">
        <v>6124</v>
      </c>
      <c r="D240" s="69"/>
      <c r="E240" s="69" t="s">
        <v>4430</v>
      </c>
      <c r="F240" s="118"/>
      <c r="G240" s="69" t="s">
        <v>6125</v>
      </c>
      <c r="H240" s="116" t="s">
        <v>1372</v>
      </c>
      <c r="I240" s="114" t="str">
        <f t="array" ref="I240">XLOOKUP(G240,KLUS!$A$2:$A$2010,KLUS!$E$2:$E$2010)+XLOOKUP(H240,KLUS!$A$2:$A$2010,KLUS!$E$2:$E$2010)</f>
        <v>#N/A</v>
      </c>
      <c r="J240" s="114" t="str">
        <f t="shared" si="1"/>
        <v>#N/A</v>
      </c>
      <c r="K240" s="115" t="str">
        <f t="shared" si="2"/>
        <v>#N/A</v>
      </c>
      <c r="L240" s="125"/>
      <c r="M240" s="126"/>
      <c r="N240" s="127"/>
      <c r="O240" s="127"/>
    </row>
    <row r="241">
      <c r="A241" s="69" t="s">
        <v>4431</v>
      </c>
      <c r="B241" s="69" t="s">
        <v>5473</v>
      </c>
      <c r="C241" s="112" t="s">
        <v>6124</v>
      </c>
      <c r="D241" s="69"/>
      <c r="E241" s="69" t="s">
        <v>4432</v>
      </c>
      <c r="F241" s="118"/>
      <c r="G241" s="69" t="s">
        <v>6125</v>
      </c>
      <c r="H241" s="116" t="s">
        <v>1378</v>
      </c>
      <c r="I241" s="114" t="str">
        <f t="array" ref="I241">XLOOKUP(G241,KLUS!$A$2:$A$2010,KLUS!$E$2:$E$2010)+XLOOKUP(H241,KLUS!$A$2:$A$2010,KLUS!$E$2:$E$2010)</f>
        <v>#N/A</v>
      </c>
      <c r="J241" s="114" t="str">
        <f t="shared" si="1"/>
        <v>#N/A</v>
      </c>
      <c r="K241" s="115" t="str">
        <f t="shared" si="2"/>
        <v>#N/A</v>
      </c>
      <c r="L241" s="125"/>
      <c r="M241" s="126"/>
      <c r="N241" s="127"/>
      <c r="O241" s="127"/>
    </row>
    <row r="242">
      <c r="A242" s="69" t="s">
        <v>4433</v>
      </c>
      <c r="B242" s="69" t="s">
        <v>5473</v>
      </c>
      <c r="C242" s="112" t="s">
        <v>6126</v>
      </c>
      <c r="D242" s="69"/>
      <c r="E242" s="69" t="s">
        <v>4434</v>
      </c>
      <c r="F242" s="69" t="s">
        <v>6127</v>
      </c>
      <c r="G242" s="69" t="s">
        <v>6128</v>
      </c>
      <c r="H242" s="119"/>
      <c r="I242" s="114" t="str">
        <f t="array" ref="I242">XLOOKUP(G242,KLUS!$A$2:$A$2010,KLUS!$E$2:$E$2010)+XLOOKUP(H242,KLUS!$A$2:$A$2010,KLUS!$E$2:$E$2010)</f>
        <v>#N/A</v>
      </c>
      <c r="J242" s="114" t="str">
        <f t="shared" si="1"/>
        <v>#N/A</v>
      </c>
      <c r="K242" s="115" t="str">
        <f t="shared" si="2"/>
        <v>#N/A</v>
      </c>
      <c r="L242" s="125"/>
      <c r="M242" s="126"/>
      <c r="N242" s="127"/>
      <c r="O242" s="127"/>
    </row>
    <row r="243">
      <c r="A243" s="69" t="s">
        <v>4435</v>
      </c>
      <c r="B243" s="69" t="s">
        <v>5473</v>
      </c>
      <c r="C243" s="112" t="s">
        <v>6129</v>
      </c>
      <c r="D243" s="69"/>
      <c r="E243" s="69" t="s">
        <v>4436</v>
      </c>
      <c r="F243" s="69" t="s">
        <v>6130</v>
      </c>
      <c r="G243" s="69" t="s">
        <v>6131</v>
      </c>
      <c r="H243" s="119"/>
      <c r="I243" s="114" t="str">
        <f t="array" ref="I243">XLOOKUP(G243,KLUS!$A$2:$A$2010,KLUS!$E$2:$E$2010)+XLOOKUP(H243,KLUS!$A$2:$A$2010,KLUS!$E$2:$E$2010)</f>
        <v>#N/A</v>
      </c>
      <c r="J243" s="114" t="str">
        <f t="shared" si="1"/>
        <v>#N/A</v>
      </c>
      <c r="K243" s="115" t="str">
        <f t="shared" si="2"/>
        <v>#N/A</v>
      </c>
      <c r="L243" s="125"/>
      <c r="M243" s="126"/>
      <c r="N243" s="127"/>
      <c r="O243" s="127"/>
    </row>
    <row r="244">
      <c r="A244" s="69" t="s">
        <v>4437</v>
      </c>
      <c r="B244" s="69" t="s">
        <v>5473</v>
      </c>
      <c r="C244" s="112" t="s">
        <v>6132</v>
      </c>
      <c r="D244" s="69"/>
      <c r="E244" s="69" t="s">
        <v>6133</v>
      </c>
      <c r="F244" s="118"/>
      <c r="G244" s="69" t="s">
        <v>6131</v>
      </c>
      <c r="H244" s="113" t="s">
        <v>1372</v>
      </c>
      <c r="I244" s="114" t="str">
        <f t="array" ref="I244">XLOOKUP(G244,KLUS!$A$2:$A$2010,KLUS!$E$2:$E$2010)+XLOOKUP(H244,KLUS!$A$2:$A$2010,KLUS!$E$2:$E$2010)</f>
        <v>#N/A</v>
      </c>
      <c r="J244" s="114" t="str">
        <f t="shared" si="1"/>
        <v>#N/A</v>
      </c>
      <c r="K244" s="115" t="str">
        <f t="shared" si="2"/>
        <v>#N/A</v>
      </c>
      <c r="L244" s="125"/>
      <c r="M244" s="126"/>
      <c r="N244" s="127"/>
      <c r="O244" s="127"/>
    </row>
    <row r="245">
      <c r="A245" s="69" t="s">
        <v>4439</v>
      </c>
      <c r="B245" s="69" t="s">
        <v>5473</v>
      </c>
      <c r="C245" s="112" t="s">
        <v>6124</v>
      </c>
      <c r="D245" s="69"/>
      <c r="E245" s="69" t="s">
        <v>6134</v>
      </c>
      <c r="F245" s="118"/>
      <c r="G245" s="69" t="s">
        <v>6135</v>
      </c>
      <c r="H245" s="116" t="s">
        <v>1372</v>
      </c>
      <c r="I245" s="114" t="str">
        <f t="array" ref="I245">XLOOKUP(G245,KLUS!$A$2:$A$2010,KLUS!$E$2:$E$2010)+XLOOKUP(H245,KLUS!$A$2:$A$2010,KLUS!$E$2:$E$2010)</f>
        <v>#N/A</v>
      </c>
      <c r="J245" s="114" t="str">
        <f t="shared" si="1"/>
        <v>#N/A</v>
      </c>
      <c r="K245" s="115" t="str">
        <f t="shared" si="2"/>
        <v>#N/A</v>
      </c>
      <c r="L245" s="125"/>
      <c r="M245" s="126"/>
      <c r="N245" s="127"/>
      <c r="O245" s="127"/>
    </row>
    <row r="246">
      <c r="A246" s="69" t="s">
        <v>4441</v>
      </c>
      <c r="B246" s="69" t="s">
        <v>5473</v>
      </c>
      <c r="C246" s="112" t="s">
        <v>6136</v>
      </c>
      <c r="D246" s="69"/>
      <c r="E246" s="69" t="s">
        <v>6137</v>
      </c>
      <c r="F246" s="118"/>
      <c r="G246" s="69" t="s">
        <v>6138</v>
      </c>
      <c r="H246" s="116" t="s">
        <v>1396</v>
      </c>
      <c r="I246" s="114" t="str">
        <f t="array" ref="I246">XLOOKUP(G246,KLUS!$A$2:$A$2010,KLUS!$E$2:$E$2010)+XLOOKUP(H246,KLUS!$A$2:$A$2010,KLUS!$E$2:$E$2010)</f>
        <v>#N/A</v>
      </c>
      <c r="J246" s="114" t="str">
        <f t="shared" si="1"/>
        <v>#N/A</v>
      </c>
      <c r="K246" s="115" t="str">
        <f t="shared" si="2"/>
        <v>#N/A</v>
      </c>
      <c r="L246" s="125"/>
      <c r="M246" s="126"/>
      <c r="N246" s="127"/>
      <c r="O246" s="127"/>
    </row>
    <row r="247">
      <c r="A247" s="69" t="s">
        <v>4443</v>
      </c>
      <c r="B247" s="69" t="s">
        <v>5473</v>
      </c>
      <c r="C247" s="112" t="s">
        <v>6139</v>
      </c>
      <c r="D247" s="69"/>
      <c r="E247" s="69" t="s">
        <v>4444</v>
      </c>
      <c r="F247" s="69" t="s">
        <v>6140</v>
      </c>
      <c r="G247" s="69" t="s">
        <v>6138</v>
      </c>
      <c r="H247" s="116" t="s">
        <v>1372</v>
      </c>
      <c r="I247" s="114" t="str">
        <f t="array" ref="I247">XLOOKUP(G247,KLUS!$A$2:$A$2010,KLUS!$E$2:$E$2010)+XLOOKUP(H247,KLUS!$A$2:$A$2010,KLUS!$E$2:$E$2010)</f>
        <v>#N/A</v>
      </c>
      <c r="J247" s="114" t="str">
        <f t="shared" si="1"/>
        <v>#N/A</v>
      </c>
      <c r="K247" s="115" t="str">
        <f t="shared" si="2"/>
        <v>#N/A</v>
      </c>
      <c r="L247" s="125"/>
      <c r="M247" s="126"/>
      <c r="N247" s="127"/>
      <c r="O247" s="127"/>
    </row>
    <row r="248">
      <c r="A248" s="69" t="s">
        <v>4445</v>
      </c>
      <c r="B248" s="69" t="s">
        <v>5486</v>
      </c>
      <c r="C248" s="112" t="s">
        <v>6114</v>
      </c>
      <c r="D248" s="69"/>
      <c r="E248" s="69" t="s">
        <v>4446</v>
      </c>
      <c r="F248" s="69" t="s">
        <v>6141</v>
      </c>
      <c r="G248" s="69" t="s">
        <v>6138</v>
      </c>
      <c r="H248" s="113" t="s">
        <v>1359</v>
      </c>
      <c r="I248" s="114" t="str">
        <f t="array" ref="I248">XLOOKUP(G248,KLUS!$A$2:$A$2010,KLUS!$E$2:$E$2010)+XLOOKUP(H248,KLUS!$A$2:$A$2010,KLUS!$E$2:$E$2010)</f>
        <v>#N/A</v>
      </c>
      <c r="J248" s="114" t="str">
        <f t="shared" si="1"/>
        <v>#N/A</v>
      </c>
      <c r="K248" s="115" t="str">
        <f t="shared" si="2"/>
        <v>#N/A</v>
      </c>
      <c r="L248" s="125"/>
      <c r="M248" s="126"/>
      <c r="N248" s="127"/>
      <c r="O248" s="127"/>
    </row>
    <row r="249">
      <c r="A249" s="69" t="s">
        <v>4447</v>
      </c>
      <c r="B249" s="69" t="s">
        <v>5473</v>
      </c>
      <c r="C249" s="112" t="s">
        <v>6139</v>
      </c>
      <c r="D249" s="69"/>
      <c r="E249" s="69" t="s">
        <v>4448</v>
      </c>
      <c r="F249" s="69" t="s">
        <v>6142</v>
      </c>
      <c r="G249" s="69" t="s">
        <v>6138</v>
      </c>
      <c r="H249" s="113" t="s">
        <v>1378</v>
      </c>
      <c r="I249" s="114" t="str">
        <f t="array" ref="I249">XLOOKUP(G249,KLUS!$A$2:$A$2010,KLUS!$E$2:$E$2010)+XLOOKUP(H249,KLUS!$A$2:$A$2010,KLUS!$E$2:$E$2010)</f>
        <v>#N/A</v>
      </c>
      <c r="J249" s="114" t="str">
        <f t="shared" si="1"/>
        <v>#N/A</v>
      </c>
      <c r="K249" s="115" t="str">
        <f t="shared" si="2"/>
        <v>#N/A</v>
      </c>
      <c r="L249" s="125"/>
      <c r="M249" s="126"/>
      <c r="N249" s="127"/>
      <c r="O249" s="127"/>
    </row>
    <row r="250">
      <c r="A250" s="69" t="s">
        <v>4449</v>
      </c>
      <c r="B250" s="69" t="s">
        <v>5473</v>
      </c>
      <c r="C250" s="112" t="s">
        <v>6114</v>
      </c>
      <c r="D250" s="69"/>
      <c r="E250" s="69" t="s">
        <v>4450</v>
      </c>
      <c r="F250" s="69" t="s">
        <v>6143</v>
      </c>
      <c r="G250" s="69" t="s">
        <v>6138</v>
      </c>
      <c r="H250" s="116" t="s">
        <v>1365</v>
      </c>
      <c r="I250" s="114" t="str">
        <f t="array" ref="I250">XLOOKUP(G250,KLUS!$A$2:$A$2010,KLUS!$E$2:$E$2010)+XLOOKUP(H250,KLUS!$A$2:$A$2010,KLUS!$E$2:$E$2010)</f>
        <v>#N/A</v>
      </c>
      <c r="J250" s="114" t="str">
        <f t="shared" si="1"/>
        <v>#N/A</v>
      </c>
      <c r="K250" s="115" t="str">
        <f t="shared" si="2"/>
        <v>#N/A</v>
      </c>
      <c r="L250" s="125"/>
      <c r="M250" s="126"/>
      <c r="N250" s="127"/>
      <c r="O250" s="127"/>
    </row>
    <row r="251">
      <c r="A251" s="69" t="s">
        <v>4451</v>
      </c>
      <c r="B251" s="69" t="s">
        <v>5473</v>
      </c>
      <c r="C251" s="112" t="s">
        <v>6144</v>
      </c>
      <c r="D251" s="69"/>
      <c r="E251" s="69" t="s">
        <v>4452</v>
      </c>
      <c r="F251" s="69" t="s">
        <v>6145</v>
      </c>
      <c r="G251" s="69" t="s">
        <v>6146</v>
      </c>
      <c r="H251" s="119"/>
      <c r="I251" s="114" t="str">
        <f t="array" ref="I251">XLOOKUP(G251,KLUS!$A$2:$A$2010,KLUS!$E$2:$E$2010)+XLOOKUP(H251,KLUS!$A$2:$A$2010,KLUS!$E$2:$E$2010)</f>
        <v>#N/A</v>
      </c>
      <c r="J251" s="114" t="str">
        <f t="shared" si="1"/>
        <v>#N/A</v>
      </c>
      <c r="K251" s="115" t="str">
        <f t="shared" si="2"/>
        <v>#N/A</v>
      </c>
      <c r="L251" s="125"/>
      <c r="M251" s="126"/>
      <c r="N251" s="127"/>
      <c r="O251" s="127"/>
    </row>
    <row r="252">
      <c r="A252" s="69" t="s">
        <v>4453</v>
      </c>
      <c r="B252" s="69" t="s">
        <v>5473</v>
      </c>
      <c r="C252" s="112" t="s">
        <v>6147</v>
      </c>
      <c r="D252" s="69"/>
      <c r="E252" s="69" t="s">
        <v>4454</v>
      </c>
      <c r="F252" s="69" t="s">
        <v>6148</v>
      </c>
      <c r="G252" s="69" t="s">
        <v>6149</v>
      </c>
      <c r="H252" s="119"/>
      <c r="I252" s="114" t="str">
        <f t="array" ref="I252">XLOOKUP(G252,KLUS!$A$2:$A$2010,KLUS!$E$2:$E$2010)+XLOOKUP(H252,KLUS!$A$2:$A$2010,KLUS!$E$2:$E$2010)</f>
        <v>#N/A</v>
      </c>
      <c r="J252" s="114" t="str">
        <f t="shared" si="1"/>
        <v>#N/A</v>
      </c>
      <c r="K252" s="115" t="str">
        <f t="shared" si="2"/>
        <v>#N/A</v>
      </c>
      <c r="L252" s="125"/>
      <c r="M252" s="126"/>
      <c r="N252" s="127"/>
      <c r="O252" s="127"/>
    </row>
    <row r="253">
      <c r="A253" s="69" t="s">
        <v>4455</v>
      </c>
      <c r="B253" s="69" t="s">
        <v>5473</v>
      </c>
      <c r="C253" s="112" t="s">
        <v>6150</v>
      </c>
      <c r="D253" s="69"/>
      <c r="E253" s="69" t="s">
        <v>6151</v>
      </c>
      <c r="F253" s="69" t="s">
        <v>6152</v>
      </c>
      <c r="G253" s="69" t="s">
        <v>6149</v>
      </c>
      <c r="H253" s="116" t="s">
        <v>1398</v>
      </c>
      <c r="I253" s="114" t="str">
        <f t="array" ref="I253">XLOOKUP(G253,KLUS!$A$2:$A$2010,KLUS!$E$2:$E$2010)+XLOOKUP(H253,KLUS!$A$2:$A$2010,KLUS!$E$2:$E$2010)</f>
        <v>#N/A</v>
      </c>
      <c r="J253" s="114" t="str">
        <f t="shared" si="1"/>
        <v>#N/A</v>
      </c>
      <c r="K253" s="115" t="str">
        <f t="shared" si="2"/>
        <v>#N/A</v>
      </c>
      <c r="L253" s="125"/>
      <c r="M253" s="126"/>
      <c r="N253" s="127"/>
      <c r="O253" s="127"/>
    </row>
    <row r="254">
      <c r="A254" s="69" t="s">
        <v>4457</v>
      </c>
      <c r="B254" s="69" t="s">
        <v>5473</v>
      </c>
      <c r="C254" s="112" t="s">
        <v>6153</v>
      </c>
      <c r="D254" s="69"/>
      <c r="E254" s="69" t="s">
        <v>4458</v>
      </c>
      <c r="F254" s="69" t="s">
        <v>6154</v>
      </c>
      <c r="G254" s="69" t="s">
        <v>6149</v>
      </c>
      <c r="H254" s="113" t="s">
        <v>1374</v>
      </c>
      <c r="I254" s="114" t="str">
        <f t="array" ref="I254">XLOOKUP(G254,KLUS!$A$2:$A$2010,KLUS!$E$2:$E$2010)+XLOOKUP(H254,KLUS!$A$2:$A$2010,KLUS!$E$2:$E$2010)</f>
        <v>#N/A</v>
      </c>
      <c r="J254" s="114" t="str">
        <f t="shared" si="1"/>
        <v>#N/A</v>
      </c>
      <c r="K254" s="115" t="str">
        <f t="shared" si="2"/>
        <v>#N/A</v>
      </c>
      <c r="L254" s="125"/>
      <c r="M254" s="126"/>
      <c r="N254" s="127"/>
      <c r="O254" s="127"/>
    </row>
    <row r="255">
      <c r="A255" s="69" t="s">
        <v>4459</v>
      </c>
      <c r="B255" s="69" t="s">
        <v>5486</v>
      </c>
      <c r="C255" s="112" t="s">
        <v>6155</v>
      </c>
      <c r="D255" s="69"/>
      <c r="E255" s="69" t="s">
        <v>6156</v>
      </c>
      <c r="F255" s="69" t="s">
        <v>6157</v>
      </c>
      <c r="G255" s="69" t="s">
        <v>6149</v>
      </c>
      <c r="H255" s="113" t="s">
        <v>1361</v>
      </c>
      <c r="I255" s="114" t="str">
        <f t="array" ref="I255">XLOOKUP(G255,KLUS!$A$2:$A$2010,KLUS!$E$2:$E$2010)+XLOOKUP(H255,KLUS!$A$2:$A$2010,KLUS!$E$2:$E$2010)</f>
        <v>#N/A</v>
      </c>
      <c r="J255" s="114" t="str">
        <f t="shared" si="1"/>
        <v>#N/A</v>
      </c>
      <c r="K255" s="115" t="str">
        <f t="shared" si="2"/>
        <v>#N/A</v>
      </c>
      <c r="L255" s="125"/>
      <c r="M255" s="126"/>
      <c r="N255" s="127"/>
      <c r="O255" s="127"/>
    </row>
    <row r="256">
      <c r="A256" s="69" t="s">
        <v>4461</v>
      </c>
      <c r="B256" s="69" t="s">
        <v>5473</v>
      </c>
      <c r="C256" s="112" t="s">
        <v>6150</v>
      </c>
      <c r="D256" s="69"/>
      <c r="E256" s="69" t="s">
        <v>6158</v>
      </c>
      <c r="F256" s="118"/>
      <c r="G256" s="69" t="s">
        <v>6149</v>
      </c>
      <c r="H256" s="113" t="s">
        <v>1404</v>
      </c>
      <c r="I256" s="114" t="str">
        <f t="array" ref="I256">XLOOKUP(G256,KLUS!$A$2:$A$2010,KLUS!$E$2:$E$2010)+XLOOKUP(H256,KLUS!$A$2:$A$2010,KLUS!$E$2:$E$2010)</f>
        <v>#N/A</v>
      </c>
      <c r="J256" s="114" t="str">
        <f t="shared" si="1"/>
        <v>#N/A</v>
      </c>
      <c r="K256" s="115" t="str">
        <f t="shared" si="2"/>
        <v>#N/A</v>
      </c>
      <c r="L256" s="125"/>
      <c r="M256" s="126"/>
      <c r="N256" s="127"/>
      <c r="O256" s="127"/>
    </row>
    <row r="257">
      <c r="A257" s="69" t="s">
        <v>4463</v>
      </c>
      <c r="B257" s="69" t="s">
        <v>5473</v>
      </c>
      <c r="C257" s="112" t="s">
        <v>6155</v>
      </c>
      <c r="D257" s="69"/>
      <c r="E257" s="69" t="s">
        <v>6159</v>
      </c>
      <c r="F257" s="69" t="s">
        <v>6160</v>
      </c>
      <c r="G257" s="69" t="s">
        <v>6149</v>
      </c>
      <c r="H257" s="113" t="s">
        <v>1367</v>
      </c>
      <c r="I257" s="114" t="str">
        <f t="array" ref="I257">XLOOKUP(G257,KLUS!$A$2:$A$2010,KLUS!$E$2:$E$2010)+XLOOKUP(H257,KLUS!$A$2:$A$2010,KLUS!$E$2:$E$2010)</f>
        <v>#N/A</v>
      </c>
      <c r="J257" s="114" t="str">
        <f t="shared" si="1"/>
        <v>#N/A</v>
      </c>
      <c r="K257" s="115" t="str">
        <f t="shared" si="2"/>
        <v>#N/A</v>
      </c>
      <c r="L257" s="125"/>
      <c r="M257" s="126"/>
      <c r="N257" s="127"/>
      <c r="O257" s="127"/>
    </row>
    <row r="258">
      <c r="A258" s="69" t="s">
        <v>4465</v>
      </c>
      <c r="B258" s="69" t="s">
        <v>5473</v>
      </c>
      <c r="C258" s="112" t="s">
        <v>6161</v>
      </c>
      <c r="D258" s="69"/>
      <c r="E258" s="69" t="s">
        <v>4466</v>
      </c>
      <c r="F258" s="69" t="s">
        <v>6162</v>
      </c>
      <c r="G258" s="69" t="s">
        <v>6163</v>
      </c>
      <c r="H258" s="119"/>
      <c r="I258" s="114" t="str">
        <f t="array" ref="I258">XLOOKUP(G258,KLUS!$A$2:$A$2010,KLUS!$E$2:$E$2010)+XLOOKUP(H258,KLUS!$A$2:$A$2010,KLUS!$E$2:$E$2010)</f>
        <v>#N/A</v>
      </c>
      <c r="J258" s="114" t="str">
        <f t="shared" si="1"/>
        <v>#N/A</v>
      </c>
      <c r="K258" s="115" t="str">
        <f t="shared" si="2"/>
        <v>#N/A</v>
      </c>
      <c r="L258" s="125"/>
      <c r="M258" s="126"/>
      <c r="N258" s="127"/>
      <c r="O258" s="127"/>
    </row>
    <row r="259">
      <c r="A259" s="69" t="s">
        <v>4467</v>
      </c>
      <c r="B259" s="69" t="s">
        <v>5473</v>
      </c>
      <c r="C259" s="112" t="s">
        <v>6164</v>
      </c>
      <c r="D259" s="69"/>
      <c r="E259" s="69" t="s">
        <v>4468</v>
      </c>
      <c r="F259" s="69" t="s">
        <v>6165</v>
      </c>
      <c r="G259" s="69" t="s">
        <v>6166</v>
      </c>
      <c r="H259" s="119"/>
      <c r="I259" s="114" t="str">
        <f t="array" ref="I259">XLOOKUP(G259,KLUS!$A$2:$A$2010,KLUS!$E$2:$E$2010)+XLOOKUP(H259,KLUS!$A$2:$A$2010,KLUS!$E$2:$E$2010)</f>
        <v>#N/A</v>
      </c>
      <c r="J259" s="114" t="str">
        <f t="shared" si="1"/>
        <v>#N/A</v>
      </c>
      <c r="K259" s="115" t="str">
        <f t="shared" si="2"/>
        <v>#N/A</v>
      </c>
      <c r="L259" s="125"/>
      <c r="M259" s="126"/>
      <c r="N259" s="127"/>
      <c r="O259" s="127"/>
    </row>
    <row r="260">
      <c r="A260" s="69" t="s">
        <v>4469</v>
      </c>
      <c r="B260" s="69" t="s">
        <v>5473</v>
      </c>
      <c r="C260" s="112" t="s">
        <v>6167</v>
      </c>
      <c r="D260" s="69"/>
      <c r="E260" s="69" t="s">
        <v>4470</v>
      </c>
      <c r="F260" s="69" t="s">
        <v>6168</v>
      </c>
      <c r="G260" s="69" t="s">
        <v>6169</v>
      </c>
      <c r="H260" s="119"/>
      <c r="I260" s="114" t="str">
        <f t="array" ref="I260">XLOOKUP(G260,KLUS!$A$2:$A$2010,KLUS!$E$2:$E$2010)+XLOOKUP(H260,KLUS!$A$2:$A$2010,KLUS!$E$2:$E$2010)</f>
        <v>#N/A</v>
      </c>
      <c r="J260" s="114" t="str">
        <f t="shared" si="1"/>
        <v>#N/A</v>
      </c>
      <c r="K260" s="115" t="str">
        <f t="shared" si="2"/>
        <v>#N/A</v>
      </c>
      <c r="L260" s="125"/>
      <c r="M260" s="126"/>
      <c r="N260" s="127"/>
      <c r="O260" s="127"/>
    </row>
    <row r="261">
      <c r="A261" s="69" t="s">
        <v>4471</v>
      </c>
      <c r="B261" s="69" t="s">
        <v>5486</v>
      </c>
      <c r="C261" s="112" t="s">
        <v>6170</v>
      </c>
      <c r="D261" s="69"/>
      <c r="E261" s="69" t="s">
        <v>4472</v>
      </c>
      <c r="F261" s="69" t="s">
        <v>6171</v>
      </c>
      <c r="G261" s="69" t="s">
        <v>6172</v>
      </c>
      <c r="H261" s="116" t="s">
        <v>1374</v>
      </c>
      <c r="I261" s="114" t="str">
        <f t="array" ref="I261">XLOOKUP(G261,KLUS!$A$2:$A$2010,KLUS!$E$2:$E$2010)+XLOOKUP(H261,KLUS!$A$2:$A$2010,KLUS!$E$2:$E$2010)</f>
        <v>#N/A</v>
      </c>
      <c r="J261" s="114" t="str">
        <f t="shared" si="1"/>
        <v>#N/A</v>
      </c>
      <c r="K261" s="115" t="str">
        <f t="shared" si="2"/>
        <v>#N/A</v>
      </c>
      <c r="L261" s="125"/>
      <c r="M261" s="126"/>
      <c r="N261" s="127"/>
      <c r="O261" s="127"/>
    </row>
    <row r="262">
      <c r="A262" s="69" t="s">
        <v>4473</v>
      </c>
      <c r="B262" s="69" t="s">
        <v>5473</v>
      </c>
      <c r="C262" s="112" t="s">
        <v>6173</v>
      </c>
      <c r="D262" s="69"/>
      <c r="E262" s="69" t="s">
        <v>4474</v>
      </c>
      <c r="F262" s="69" t="s">
        <v>6174</v>
      </c>
      <c r="G262" s="69" t="s">
        <v>6172</v>
      </c>
      <c r="H262" s="113" t="s">
        <v>1361</v>
      </c>
      <c r="I262" s="114" t="str">
        <f t="array" ref="I262">XLOOKUP(G262,KLUS!$A$2:$A$2010,KLUS!$E$2:$E$2010)+XLOOKUP(H262,KLUS!$A$2:$A$2010,KLUS!$E$2:$E$2010)</f>
        <v>#N/A</v>
      </c>
      <c r="J262" s="114" t="str">
        <f t="shared" si="1"/>
        <v>#N/A</v>
      </c>
      <c r="K262" s="115" t="str">
        <f t="shared" si="2"/>
        <v>#N/A</v>
      </c>
      <c r="L262" s="125"/>
      <c r="M262" s="126"/>
      <c r="N262" s="127"/>
      <c r="O262" s="127"/>
    </row>
    <row r="263">
      <c r="A263" s="69" t="s">
        <v>4475</v>
      </c>
      <c r="B263" s="69" t="s">
        <v>5473</v>
      </c>
      <c r="C263" s="112" t="s">
        <v>6170</v>
      </c>
      <c r="D263" s="69"/>
      <c r="E263" s="69" t="s">
        <v>4476</v>
      </c>
      <c r="F263" s="118"/>
      <c r="G263" s="69" t="s">
        <v>6172</v>
      </c>
      <c r="H263" s="116" t="s">
        <v>1380</v>
      </c>
      <c r="I263" s="114" t="str">
        <f t="array" ref="I263">XLOOKUP(G263,KLUS!$A$2:$A$2010,KLUS!$E$2:$E$2010)+XLOOKUP(H263,KLUS!$A$2:$A$2010,KLUS!$E$2:$E$2010)</f>
        <v>#N/A</v>
      </c>
      <c r="J263" s="114" t="str">
        <f t="shared" si="1"/>
        <v>#N/A</v>
      </c>
      <c r="K263" s="115" t="str">
        <f t="shared" si="2"/>
        <v>#N/A</v>
      </c>
      <c r="L263" s="125"/>
      <c r="M263" s="126"/>
      <c r="N263" s="127"/>
      <c r="O263" s="127"/>
    </row>
    <row r="264">
      <c r="A264" s="69" t="s">
        <v>4477</v>
      </c>
      <c r="B264" s="69" t="s">
        <v>5473</v>
      </c>
      <c r="C264" s="112" t="s">
        <v>6173</v>
      </c>
      <c r="D264" s="69"/>
      <c r="E264" s="69" t="s">
        <v>4478</v>
      </c>
      <c r="F264" s="69" t="s">
        <v>6175</v>
      </c>
      <c r="G264" s="69" t="s">
        <v>6172</v>
      </c>
      <c r="H264" s="113" t="s">
        <v>1367</v>
      </c>
      <c r="I264" s="114" t="str">
        <f t="array" ref="I264">XLOOKUP(G264,KLUS!$A$2:$A$2010,KLUS!$E$2:$E$2010)+XLOOKUP(H264,KLUS!$A$2:$A$2010,KLUS!$E$2:$E$2010)</f>
        <v>#N/A</v>
      </c>
      <c r="J264" s="114" t="str">
        <f t="shared" si="1"/>
        <v>#N/A</v>
      </c>
      <c r="K264" s="115" t="str">
        <f t="shared" si="2"/>
        <v>#N/A</v>
      </c>
      <c r="L264" s="125"/>
      <c r="M264" s="126"/>
      <c r="N264" s="127"/>
      <c r="O264" s="127"/>
    </row>
    <row r="265">
      <c r="A265" s="69" t="s">
        <v>4479</v>
      </c>
      <c r="B265" s="69" t="s">
        <v>5486</v>
      </c>
      <c r="C265" s="112" t="s">
        <v>6094</v>
      </c>
      <c r="D265" s="69"/>
      <c r="E265" s="69" t="s">
        <v>4480</v>
      </c>
      <c r="F265" s="69" t="s">
        <v>6176</v>
      </c>
      <c r="G265" s="69" t="s">
        <v>6177</v>
      </c>
      <c r="H265" s="119"/>
      <c r="I265" s="114" t="str">
        <f t="array" ref="I265">XLOOKUP(G265,KLUS!$A$2:$A$2010,KLUS!$E$2:$E$2010)+XLOOKUP(H265,KLUS!$A$2:$A$2010,KLUS!$E$2:$E$2010)</f>
        <v>#N/A</v>
      </c>
      <c r="J265" s="114" t="str">
        <f t="shared" si="1"/>
        <v>#N/A</v>
      </c>
      <c r="K265" s="115" t="str">
        <f t="shared" si="2"/>
        <v>#N/A</v>
      </c>
      <c r="L265" s="125"/>
      <c r="M265" s="126"/>
      <c r="N265" s="127"/>
      <c r="O265" s="127"/>
    </row>
    <row r="266">
      <c r="A266" s="69" t="s">
        <v>4481</v>
      </c>
      <c r="B266" s="69" t="s">
        <v>5473</v>
      </c>
      <c r="C266" s="112" t="s">
        <v>6178</v>
      </c>
      <c r="D266" s="69"/>
      <c r="E266" s="69" t="s">
        <v>4482</v>
      </c>
      <c r="F266" s="69" t="s">
        <v>6179</v>
      </c>
      <c r="G266" s="69" t="s">
        <v>6180</v>
      </c>
      <c r="H266" s="116" t="s">
        <v>1369</v>
      </c>
      <c r="I266" s="114" t="str">
        <f t="array" ref="I266">XLOOKUP(G266,KLUS!$A$2:$A$2010,KLUS!$E$2:$E$2010)+XLOOKUP(H266,KLUS!$A$2:$A$2010,KLUS!$E$2:$E$2010)</f>
        <v>#N/A</v>
      </c>
      <c r="J266" s="114" t="str">
        <f t="shared" si="1"/>
        <v>#N/A</v>
      </c>
      <c r="K266" s="115" t="str">
        <f t="shared" si="2"/>
        <v>#N/A</v>
      </c>
      <c r="L266" s="125"/>
      <c r="M266" s="126"/>
      <c r="N266" s="127"/>
      <c r="O266" s="127"/>
    </row>
    <row r="267">
      <c r="A267" s="69" t="s">
        <v>4483</v>
      </c>
      <c r="B267" s="69" t="s">
        <v>5473</v>
      </c>
      <c r="C267" s="112" t="s">
        <v>5907</v>
      </c>
      <c r="D267" s="69"/>
      <c r="E267" s="69" t="s">
        <v>4484</v>
      </c>
      <c r="F267" s="69" t="s">
        <v>6181</v>
      </c>
      <c r="G267" s="69" t="s">
        <v>6180</v>
      </c>
      <c r="H267" s="113" t="s">
        <v>1356</v>
      </c>
      <c r="I267" s="114" t="str">
        <f t="array" ref="I267">XLOOKUP(G267,KLUS!$A$2:$A$2010,KLUS!$E$2:$E$2010)+XLOOKUP(H267,KLUS!$A$2:$A$2010,KLUS!$E$2:$E$2010)</f>
        <v>#N/A</v>
      </c>
      <c r="J267" s="114" t="str">
        <f t="shared" si="1"/>
        <v>#N/A</v>
      </c>
      <c r="K267" s="115" t="str">
        <f t="shared" si="2"/>
        <v>#N/A</v>
      </c>
      <c r="L267" s="125"/>
      <c r="M267" s="126"/>
      <c r="N267" s="127"/>
      <c r="O267" s="127"/>
    </row>
    <row r="268">
      <c r="A268" s="69" t="s">
        <v>4485</v>
      </c>
      <c r="B268" s="69" t="s">
        <v>5473</v>
      </c>
      <c r="C268" s="112" t="s">
        <v>5927</v>
      </c>
      <c r="D268" s="69"/>
      <c r="E268" s="69" t="s">
        <v>6182</v>
      </c>
      <c r="F268" s="69" t="s">
        <v>6183</v>
      </c>
      <c r="G268" s="69" t="s">
        <v>6180</v>
      </c>
      <c r="H268" s="116" t="s">
        <v>1406</v>
      </c>
      <c r="I268" s="114" t="str">
        <f t="array" ref="I268">XLOOKUP(G268,KLUS!$A$2:$A$2010,KLUS!$E$2:$E$2010)+XLOOKUP(H268,KLUS!$A$2:$A$2010,KLUS!$E$2:$E$2010)</f>
        <v>#N/A</v>
      </c>
      <c r="J268" s="114" t="str">
        <f t="shared" si="1"/>
        <v>#N/A</v>
      </c>
      <c r="K268" s="115" t="str">
        <f t="shared" si="2"/>
        <v>#N/A</v>
      </c>
      <c r="L268" s="125"/>
      <c r="M268" s="126"/>
      <c r="N268" s="127"/>
      <c r="O268" s="127"/>
    </row>
    <row r="269">
      <c r="A269" s="69" t="s">
        <v>4487</v>
      </c>
      <c r="B269" s="69" t="s">
        <v>5473</v>
      </c>
      <c r="C269" s="112" t="s">
        <v>6178</v>
      </c>
      <c r="D269" s="69"/>
      <c r="E269" s="69" t="s">
        <v>4488</v>
      </c>
      <c r="F269" s="69" t="s">
        <v>6184</v>
      </c>
      <c r="G269" s="69" t="s">
        <v>6177</v>
      </c>
      <c r="H269" s="116" t="s">
        <v>6185</v>
      </c>
      <c r="I269" s="114" t="str">
        <f t="array" ref="I269">XLOOKUP(G269,KLUS!$A$2:$A$2010,KLUS!$E$2:$E$2010)+XLOOKUP(H269,KLUS!$A$2:$A$2010,KLUS!$E$2:$E$2010)</f>
        <v>#N/A</v>
      </c>
      <c r="J269" s="114" t="str">
        <f t="shared" si="1"/>
        <v>#N/A</v>
      </c>
      <c r="K269" s="115" t="str">
        <f t="shared" si="2"/>
        <v>#N/A</v>
      </c>
      <c r="L269" s="125"/>
      <c r="M269" s="126"/>
      <c r="N269" s="127"/>
      <c r="O269" s="127"/>
    </row>
    <row r="270">
      <c r="A270" s="69" t="s">
        <v>4489</v>
      </c>
      <c r="B270" s="69" t="s">
        <v>5473</v>
      </c>
      <c r="C270" s="112" t="s">
        <v>5907</v>
      </c>
      <c r="D270" s="69"/>
      <c r="E270" s="69" t="s">
        <v>4490</v>
      </c>
      <c r="F270" s="69" t="s">
        <v>6186</v>
      </c>
      <c r="G270" s="69" t="s">
        <v>6177</v>
      </c>
      <c r="H270" s="116" t="s">
        <v>1363</v>
      </c>
      <c r="I270" s="114" t="str">
        <f t="array" ref="I270">XLOOKUP(G270,KLUS!$A$2:$A$2010,KLUS!$E$2:$E$2010)+XLOOKUP(H270,KLUS!$A$2:$A$2010,KLUS!$E$2:$E$2010)</f>
        <v>#N/A</v>
      </c>
      <c r="J270" s="114" t="str">
        <f t="shared" si="1"/>
        <v>#N/A</v>
      </c>
      <c r="K270" s="115" t="str">
        <f t="shared" si="2"/>
        <v>#N/A</v>
      </c>
      <c r="L270" s="125"/>
      <c r="M270" s="126"/>
      <c r="N270" s="127"/>
      <c r="O270" s="127"/>
    </row>
    <row r="271">
      <c r="A271" s="69" t="s">
        <v>4491</v>
      </c>
      <c r="B271" s="69" t="s">
        <v>5486</v>
      </c>
      <c r="C271" s="112" t="s">
        <v>6187</v>
      </c>
      <c r="D271" s="69"/>
      <c r="E271" s="69" t="s">
        <v>6188</v>
      </c>
      <c r="F271" s="69" t="s">
        <v>6189</v>
      </c>
      <c r="G271" s="69" t="s">
        <v>6190</v>
      </c>
      <c r="H271" s="119"/>
      <c r="I271" s="114" t="str">
        <f t="array" ref="I271">XLOOKUP(G271,KLUS!$A$2:$A$2010,KLUS!$E$2:$E$2010)+XLOOKUP(H271,KLUS!$A$2:$A$2010,KLUS!$E$2:$E$2010)</f>
        <v>#N/A</v>
      </c>
      <c r="J271" s="114" t="str">
        <f t="shared" si="1"/>
        <v>#N/A</v>
      </c>
      <c r="K271" s="115" t="str">
        <f t="shared" si="2"/>
        <v>#N/A</v>
      </c>
      <c r="L271" s="125"/>
      <c r="M271" s="126"/>
      <c r="N271" s="127"/>
      <c r="O271" s="127"/>
    </row>
    <row r="272">
      <c r="A272" s="69" t="s">
        <v>4492</v>
      </c>
      <c r="B272" s="69" t="s">
        <v>5486</v>
      </c>
      <c r="C272" s="112" t="s">
        <v>6191</v>
      </c>
      <c r="D272" s="69"/>
      <c r="E272" s="69" t="s">
        <v>6192</v>
      </c>
      <c r="F272" s="69" t="s">
        <v>6193</v>
      </c>
      <c r="G272" s="69" t="s">
        <v>6194</v>
      </c>
      <c r="H272" s="119"/>
      <c r="I272" s="114" t="str">
        <f t="array" ref="I272">XLOOKUP(G272,KLUS!$A$2:$A$2010,KLUS!$E$2:$E$2010)+XLOOKUP(H272,KLUS!$A$2:$A$2010,KLUS!$E$2:$E$2010)</f>
        <v>#N/A</v>
      </c>
      <c r="J272" s="114" t="str">
        <f t="shared" si="1"/>
        <v>#N/A</v>
      </c>
      <c r="K272" s="115" t="str">
        <f t="shared" si="2"/>
        <v>#N/A</v>
      </c>
      <c r="L272" s="125"/>
      <c r="M272" s="126"/>
      <c r="N272" s="127"/>
      <c r="O272" s="127"/>
    </row>
    <row r="273">
      <c r="A273" s="69" t="s">
        <v>4494</v>
      </c>
      <c r="B273" s="69" t="s">
        <v>5473</v>
      </c>
      <c r="C273" s="112" t="s">
        <v>6195</v>
      </c>
      <c r="D273" s="69"/>
      <c r="E273" s="69" t="s">
        <v>4495</v>
      </c>
      <c r="F273" s="69" t="s">
        <v>6196</v>
      </c>
      <c r="G273" s="69" t="s">
        <v>6197</v>
      </c>
      <c r="H273" s="119"/>
      <c r="I273" s="114" t="str">
        <f t="array" ref="I273">XLOOKUP(G273,KLUS!$A$2:$A$2010,KLUS!$E$2:$E$2010)+XLOOKUP(H273,KLUS!$A$2:$A$2010,KLUS!$E$2:$E$2010)</f>
        <v>#N/A</v>
      </c>
      <c r="J273" s="114" t="str">
        <f t="shared" si="1"/>
        <v>#N/A</v>
      </c>
      <c r="K273" s="115" t="str">
        <f t="shared" si="2"/>
        <v>#N/A</v>
      </c>
      <c r="L273" s="125"/>
      <c r="M273" s="126"/>
      <c r="N273" s="127"/>
      <c r="O273" s="127"/>
    </row>
    <row r="274">
      <c r="A274" s="69" t="s">
        <v>4496</v>
      </c>
      <c r="B274" s="69" t="s">
        <v>5486</v>
      </c>
      <c r="C274" s="112" t="s">
        <v>5935</v>
      </c>
      <c r="D274" s="69"/>
      <c r="E274" s="69" t="s">
        <v>4497</v>
      </c>
      <c r="F274" s="69" t="s">
        <v>6198</v>
      </c>
      <c r="G274" s="69" t="s">
        <v>6199</v>
      </c>
      <c r="H274" s="113" t="s">
        <v>1372</v>
      </c>
      <c r="I274" s="114" t="str">
        <f t="array" ref="I274">XLOOKUP(G274,KLUS!$A$2:$A$2010,KLUS!$E$2:$E$2010)+XLOOKUP(H274,KLUS!$A$2:$A$2010,KLUS!$E$2:$E$2010)</f>
        <v>#N/A</v>
      </c>
      <c r="J274" s="114" t="str">
        <f t="shared" si="1"/>
        <v>#N/A</v>
      </c>
      <c r="K274" s="115" t="str">
        <f t="shared" si="2"/>
        <v>#N/A</v>
      </c>
      <c r="L274" s="125"/>
      <c r="M274" s="126"/>
      <c r="N274" s="127"/>
      <c r="O274" s="127"/>
    </row>
    <row r="275">
      <c r="A275" s="69" t="s">
        <v>4498</v>
      </c>
      <c r="B275" s="69" t="s">
        <v>5486</v>
      </c>
      <c r="C275" s="112" t="s">
        <v>5484</v>
      </c>
      <c r="D275" s="69"/>
      <c r="E275" s="69" t="s">
        <v>4499</v>
      </c>
      <c r="F275" s="69" t="s">
        <v>6200</v>
      </c>
      <c r="G275" s="69" t="s">
        <v>6199</v>
      </c>
      <c r="H275" s="116" t="s">
        <v>1359</v>
      </c>
      <c r="I275" s="114" t="str">
        <f t="array" ref="I275">XLOOKUP(G275,KLUS!$A$2:$A$2010,KLUS!$E$2:$E$2010)+XLOOKUP(H275,KLUS!$A$2:$A$2010,KLUS!$E$2:$E$2010)</f>
        <v>#N/A</v>
      </c>
      <c r="J275" s="114" t="str">
        <f t="shared" si="1"/>
        <v>#N/A</v>
      </c>
      <c r="K275" s="115" t="str">
        <f t="shared" si="2"/>
        <v>#N/A</v>
      </c>
      <c r="L275" s="125"/>
      <c r="M275" s="126"/>
      <c r="N275" s="127"/>
      <c r="O275" s="127"/>
    </row>
    <row r="276">
      <c r="A276" s="69" t="s">
        <v>4500</v>
      </c>
      <c r="B276" s="69" t="s">
        <v>5473</v>
      </c>
      <c r="C276" s="112" t="s">
        <v>5943</v>
      </c>
      <c r="D276" s="69"/>
      <c r="E276" s="69" t="s">
        <v>6201</v>
      </c>
      <c r="F276" s="69" t="s">
        <v>6202</v>
      </c>
      <c r="G276" s="69" t="s">
        <v>6199</v>
      </c>
      <c r="H276" s="113" t="s">
        <v>1408</v>
      </c>
      <c r="I276" s="114" t="str">
        <f t="array" ref="I276">XLOOKUP(G276,KLUS!$A$2:$A$2010,KLUS!$E$2:$E$2010)+XLOOKUP(H276,KLUS!$A$2:$A$2010,KLUS!$E$2:$E$2010)</f>
        <v>#N/A</v>
      </c>
      <c r="J276" s="114" t="str">
        <f t="shared" si="1"/>
        <v>#N/A</v>
      </c>
      <c r="K276" s="115" t="str">
        <f t="shared" si="2"/>
        <v>#N/A</v>
      </c>
      <c r="L276" s="125"/>
      <c r="M276" s="126"/>
      <c r="N276" s="127"/>
      <c r="O276" s="127"/>
    </row>
    <row r="277">
      <c r="A277" s="69" t="s">
        <v>4502</v>
      </c>
      <c r="B277" s="69" t="s">
        <v>5486</v>
      </c>
      <c r="C277" s="112" t="s">
        <v>5935</v>
      </c>
      <c r="D277" s="69"/>
      <c r="E277" s="69" t="s">
        <v>4503</v>
      </c>
      <c r="F277" s="69" t="s">
        <v>6203</v>
      </c>
      <c r="G277" s="69" t="s">
        <v>6197</v>
      </c>
      <c r="H277" s="113" t="s">
        <v>6204</v>
      </c>
      <c r="I277" s="114" t="str">
        <f t="array" ref="I277">XLOOKUP(G277,KLUS!$A$2:$A$2010,KLUS!$E$2:$E$2010)+XLOOKUP(H277,KLUS!$A$2:$A$2010,KLUS!$E$2:$E$2010)</f>
        <v>#N/A</v>
      </c>
      <c r="J277" s="114" t="str">
        <f t="shared" si="1"/>
        <v>#N/A</v>
      </c>
      <c r="K277" s="115" t="str">
        <f t="shared" si="2"/>
        <v>#N/A</v>
      </c>
      <c r="L277" s="125"/>
      <c r="M277" s="126"/>
      <c r="N277" s="127"/>
      <c r="O277" s="127"/>
    </row>
    <row r="278">
      <c r="A278" s="69" t="s">
        <v>4504</v>
      </c>
      <c r="B278" s="69" t="s">
        <v>5473</v>
      </c>
      <c r="C278" s="112" t="s">
        <v>5939</v>
      </c>
      <c r="D278" s="69"/>
      <c r="E278" s="69" t="s">
        <v>4505</v>
      </c>
      <c r="F278" s="69" t="s">
        <v>6205</v>
      </c>
      <c r="G278" s="69" t="s">
        <v>6199</v>
      </c>
      <c r="H278" s="113" t="s">
        <v>1365</v>
      </c>
      <c r="I278" s="114" t="str">
        <f t="array" ref="I278">XLOOKUP(G278,KLUS!$A$2:$A$2010,KLUS!$E$2:$E$2010)+XLOOKUP(H278,KLUS!$A$2:$A$2010,KLUS!$E$2:$E$2010)</f>
        <v>#N/A</v>
      </c>
      <c r="J278" s="114" t="str">
        <f t="shared" si="1"/>
        <v>#N/A</v>
      </c>
      <c r="K278" s="115" t="str">
        <f t="shared" si="2"/>
        <v>#N/A</v>
      </c>
      <c r="L278" s="125"/>
      <c r="M278" s="126"/>
      <c r="N278" s="127"/>
      <c r="O278" s="127"/>
    </row>
    <row r="279">
      <c r="A279" s="69" t="s">
        <v>4506</v>
      </c>
      <c r="B279" s="69" t="s">
        <v>5473</v>
      </c>
      <c r="C279" s="112" t="s">
        <v>6206</v>
      </c>
      <c r="D279" s="69"/>
      <c r="E279" s="69" t="s">
        <v>6207</v>
      </c>
      <c r="F279" s="69" t="s">
        <v>6208</v>
      </c>
      <c r="G279" s="69" t="s">
        <v>6209</v>
      </c>
      <c r="H279" s="119"/>
      <c r="I279" s="114" t="str">
        <f t="array" ref="I279">XLOOKUP(G279,KLUS!$A$2:$A$2010,KLUS!$E$2:$E$2010)+XLOOKUP(H279,KLUS!$A$2:$A$2010,KLUS!$E$2:$E$2010)</f>
        <v>#N/A</v>
      </c>
      <c r="J279" s="114" t="str">
        <f t="shared" si="1"/>
        <v>#N/A</v>
      </c>
      <c r="K279" s="115" t="str">
        <f t="shared" si="2"/>
        <v>#N/A</v>
      </c>
      <c r="L279" s="125"/>
      <c r="M279" s="126"/>
      <c r="N279" s="127"/>
      <c r="O279" s="127"/>
    </row>
    <row r="280">
      <c r="A280" s="69" t="s">
        <v>4507</v>
      </c>
      <c r="B280" s="69" t="s">
        <v>5473</v>
      </c>
      <c r="C280" s="112" t="s">
        <v>6210</v>
      </c>
      <c r="D280" s="69"/>
      <c r="E280" s="69" t="s">
        <v>6211</v>
      </c>
      <c r="F280" s="69" t="s">
        <v>6212</v>
      </c>
      <c r="G280" s="69" t="s">
        <v>6213</v>
      </c>
      <c r="H280" s="119"/>
      <c r="I280" s="114" t="str">
        <f t="array" ref="I280">XLOOKUP(G280,KLUS!$A$2:$A$2010,KLUS!$E$2:$E$2010)+XLOOKUP(H280,KLUS!$A$2:$A$2010,KLUS!$E$2:$E$2010)</f>
        <v>#N/A</v>
      </c>
      <c r="J280" s="114" t="str">
        <f t="shared" si="1"/>
        <v>#N/A</v>
      </c>
      <c r="K280" s="115" t="str">
        <f t="shared" si="2"/>
        <v>#N/A</v>
      </c>
      <c r="L280" s="125"/>
      <c r="M280" s="126"/>
      <c r="N280" s="127"/>
      <c r="O280" s="127"/>
    </row>
    <row r="281">
      <c r="A281" s="69" t="s">
        <v>4509</v>
      </c>
      <c r="B281" s="69" t="s">
        <v>5473</v>
      </c>
      <c r="C281" s="112" t="s">
        <v>6214</v>
      </c>
      <c r="D281" s="69"/>
      <c r="E281" s="69" t="s">
        <v>4510</v>
      </c>
      <c r="F281" s="69" t="s">
        <v>6215</v>
      </c>
      <c r="G281" s="69" t="s">
        <v>4510</v>
      </c>
      <c r="H281" s="119"/>
      <c r="I281" s="114" t="str">
        <f t="array" ref="I281">XLOOKUP(G281,KLUS!$A$2:$A$2010,KLUS!$E$2:$E$2010)+XLOOKUP(H281,KLUS!$A$2:$A$2010,KLUS!$E$2:$E$2010)</f>
        <v>#N/A</v>
      </c>
      <c r="J281" s="114" t="str">
        <f t="shared" si="1"/>
        <v>#N/A</v>
      </c>
      <c r="K281" s="115" t="str">
        <f t="shared" si="2"/>
        <v>#N/A</v>
      </c>
      <c r="L281" s="125"/>
      <c r="M281" s="126"/>
      <c r="N281" s="127"/>
      <c r="O281" s="127"/>
    </row>
    <row r="282">
      <c r="A282" s="69" t="s">
        <v>4511</v>
      </c>
      <c r="B282" s="69" t="s">
        <v>5473</v>
      </c>
      <c r="C282" s="112" t="s">
        <v>6216</v>
      </c>
      <c r="D282" s="69"/>
      <c r="E282" s="69" t="s">
        <v>4512</v>
      </c>
      <c r="F282" s="69" t="s">
        <v>6217</v>
      </c>
      <c r="G282" s="69" t="s">
        <v>6218</v>
      </c>
      <c r="H282" s="119"/>
      <c r="I282" s="114" t="str">
        <f t="array" ref="I282">XLOOKUP(G282,KLUS!$A$2:$A$2010,KLUS!$E$2:$E$2010)+XLOOKUP(H282,KLUS!$A$2:$A$2010,KLUS!$E$2:$E$2010)</f>
        <v>#N/A</v>
      </c>
      <c r="J282" s="114" t="str">
        <f t="shared" si="1"/>
        <v>#N/A</v>
      </c>
      <c r="K282" s="115" t="str">
        <f t="shared" si="2"/>
        <v>#N/A</v>
      </c>
      <c r="L282" s="125"/>
      <c r="M282" s="126"/>
      <c r="N282" s="127"/>
      <c r="O282" s="127"/>
    </row>
    <row r="283">
      <c r="A283" s="69" t="s">
        <v>4513</v>
      </c>
      <c r="B283" s="69" t="s">
        <v>5473</v>
      </c>
      <c r="C283" s="112" t="s">
        <v>5976</v>
      </c>
      <c r="D283" s="69"/>
      <c r="E283" s="69" t="s">
        <v>4514</v>
      </c>
      <c r="F283" s="69" t="s">
        <v>6219</v>
      </c>
      <c r="G283" s="69" t="s">
        <v>6220</v>
      </c>
      <c r="H283" s="116" t="s">
        <v>1374</v>
      </c>
      <c r="I283" s="114" t="str">
        <f t="array" ref="I283">XLOOKUP(G283,KLUS!$A$2:$A$2010,KLUS!$E$2:$E$2010)+XLOOKUP(H283,KLUS!$A$2:$A$2010,KLUS!$E$2:$E$2010)</f>
        <v>#N/A</v>
      </c>
      <c r="J283" s="114" t="str">
        <f t="shared" si="1"/>
        <v>#N/A</v>
      </c>
      <c r="K283" s="115" t="str">
        <f t="shared" si="2"/>
        <v>#N/A</v>
      </c>
      <c r="L283" s="125"/>
      <c r="M283" s="126"/>
      <c r="N283" s="127"/>
      <c r="O283" s="127"/>
    </row>
    <row r="284">
      <c r="A284" s="69" t="s">
        <v>4515</v>
      </c>
      <c r="B284" s="69" t="s">
        <v>5486</v>
      </c>
      <c r="C284" s="112" t="s">
        <v>5979</v>
      </c>
      <c r="D284" s="69"/>
      <c r="E284" s="69" t="s">
        <v>4516</v>
      </c>
      <c r="F284" s="69" t="s">
        <v>6221</v>
      </c>
      <c r="G284" s="69" t="s">
        <v>6220</v>
      </c>
      <c r="H284" s="113" t="s">
        <v>1361</v>
      </c>
      <c r="I284" s="114" t="str">
        <f t="array" ref="I284">XLOOKUP(G284,KLUS!$A$2:$A$2010,KLUS!$E$2:$E$2010)+XLOOKUP(H284,KLUS!$A$2:$A$2010,KLUS!$E$2:$E$2010)</f>
        <v>#N/A</v>
      </c>
      <c r="J284" s="114" t="str">
        <f t="shared" si="1"/>
        <v>#N/A</v>
      </c>
      <c r="K284" s="115" t="str">
        <f t="shared" si="2"/>
        <v>#N/A</v>
      </c>
      <c r="L284" s="125"/>
      <c r="M284" s="126"/>
      <c r="N284" s="127"/>
      <c r="O284" s="127"/>
    </row>
    <row r="285">
      <c r="A285" s="69" t="s">
        <v>4517</v>
      </c>
      <c r="B285" s="69" t="s">
        <v>5473</v>
      </c>
      <c r="C285" s="112" t="s">
        <v>6222</v>
      </c>
      <c r="D285" s="69"/>
      <c r="E285" s="69" t="s">
        <v>6223</v>
      </c>
      <c r="F285" s="69" t="s">
        <v>6224</v>
      </c>
      <c r="G285" s="69" t="s">
        <v>6220</v>
      </c>
      <c r="H285" s="113" t="s">
        <v>1410</v>
      </c>
      <c r="I285" s="114" t="str">
        <f t="array" ref="I285">XLOOKUP(G285,KLUS!$A$2:$A$2010,KLUS!$E$2:$E$2010)+XLOOKUP(H285,KLUS!$A$2:$A$2010,KLUS!$E$2:$E$2010)</f>
        <v>#N/A</v>
      </c>
      <c r="J285" s="114" t="str">
        <f t="shared" si="1"/>
        <v>#N/A</v>
      </c>
      <c r="K285" s="115" t="str">
        <f t="shared" si="2"/>
        <v>#N/A</v>
      </c>
      <c r="L285" s="125"/>
      <c r="M285" s="126"/>
      <c r="N285" s="127"/>
      <c r="O285" s="127"/>
    </row>
    <row r="286">
      <c r="A286" s="69" t="s">
        <v>4519</v>
      </c>
      <c r="B286" s="69" t="s">
        <v>5473</v>
      </c>
      <c r="C286" s="112" t="s">
        <v>5976</v>
      </c>
      <c r="D286" s="69"/>
      <c r="E286" s="69" t="s">
        <v>4520</v>
      </c>
      <c r="F286" s="69" t="s">
        <v>6225</v>
      </c>
      <c r="G286" s="69" t="s">
        <v>6218</v>
      </c>
      <c r="H286" s="116" t="s">
        <v>1380</v>
      </c>
      <c r="I286" s="114" t="str">
        <f t="array" ref="I286">XLOOKUP(G286,KLUS!$A$2:$A$2010,KLUS!$E$2:$E$2010)+XLOOKUP(H286,KLUS!$A$2:$A$2010,KLUS!$E$2:$E$2010)</f>
        <v>#N/A</v>
      </c>
      <c r="J286" s="114" t="str">
        <f t="shared" si="1"/>
        <v>#N/A</v>
      </c>
      <c r="K286" s="115" t="str">
        <f t="shared" si="2"/>
        <v>#N/A</v>
      </c>
      <c r="L286" s="125"/>
      <c r="M286" s="126"/>
      <c r="N286" s="127"/>
      <c r="O286" s="127"/>
    </row>
    <row r="287">
      <c r="A287" s="69" t="s">
        <v>4521</v>
      </c>
      <c r="B287" s="69" t="s">
        <v>5473</v>
      </c>
      <c r="C287" s="112" t="s">
        <v>6226</v>
      </c>
      <c r="D287" s="69"/>
      <c r="E287" s="69" t="s">
        <v>4522</v>
      </c>
      <c r="F287" s="69" t="s">
        <v>6227</v>
      </c>
      <c r="G287" s="69" t="s">
        <v>6228</v>
      </c>
      <c r="H287" s="119"/>
      <c r="I287" s="114" t="str">
        <f t="array" ref="I287">XLOOKUP(G287,KLUS!$A$2:$A$2010,KLUS!$E$2:$E$2010)+XLOOKUP(H287,KLUS!$A$2:$A$2010,KLUS!$E$2:$E$2010)</f>
        <v>#N/A</v>
      </c>
      <c r="J287" s="114" t="str">
        <f t="shared" si="1"/>
        <v>#N/A</v>
      </c>
      <c r="K287" s="115" t="str">
        <f t="shared" si="2"/>
        <v>#N/A</v>
      </c>
      <c r="L287" s="125"/>
      <c r="M287" s="126"/>
      <c r="N287" s="127"/>
      <c r="O287" s="127"/>
    </row>
    <row r="288">
      <c r="A288" s="69" t="s">
        <v>4523</v>
      </c>
      <c r="B288" s="69" t="s">
        <v>5473</v>
      </c>
      <c r="C288" s="112" t="s">
        <v>6164</v>
      </c>
      <c r="D288" s="69"/>
      <c r="E288" s="69" t="s">
        <v>6229</v>
      </c>
      <c r="F288" s="69" t="s">
        <v>6230</v>
      </c>
      <c r="G288" s="69" t="s">
        <v>6231</v>
      </c>
      <c r="H288" s="119"/>
      <c r="I288" s="114" t="str">
        <f t="array" ref="I288">XLOOKUP(G288,KLUS!$A$2:$A$2010,KLUS!$E$2:$E$2010)+XLOOKUP(H288,KLUS!$A$2:$A$2010,KLUS!$E$2:$E$2010)</f>
        <v>#N/A</v>
      </c>
      <c r="J288" s="114" t="str">
        <f t="shared" si="1"/>
        <v>#N/A</v>
      </c>
      <c r="K288" s="115" t="str">
        <f t="shared" si="2"/>
        <v>#N/A</v>
      </c>
      <c r="L288" s="125"/>
      <c r="M288" s="126"/>
      <c r="N288" s="127"/>
      <c r="O288" s="127"/>
    </row>
    <row r="289">
      <c r="A289" s="69" t="s">
        <v>4525</v>
      </c>
      <c r="B289" s="69" t="s">
        <v>5473</v>
      </c>
      <c r="C289" s="112" t="s">
        <v>6232</v>
      </c>
      <c r="D289" s="69"/>
      <c r="E289" s="69" t="s">
        <v>4526</v>
      </c>
      <c r="F289" s="118"/>
      <c r="G289" s="69" t="s">
        <v>6233</v>
      </c>
      <c r="H289" s="119"/>
      <c r="I289" s="114" t="str">
        <f t="array" ref="I289">XLOOKUP(G289,KLUS!$A$2:$A$2010,KLUS!$E$2:$E$2010)+XLOOKUP(H289,KLUS!$A$2:$A$2010,KLUS!$E$2:$E$2010)</f>
        <v>#N/A</v>
      </c>
      <c r="J289" s="114" t="str">
        <f t="shared" si="1"/>
        <v>#N/A</v>
      </c>
      <c r="K289" s="115" t="str">
        <f t="shared" si="2"/>
        <v>#N/A</v>
      </c>
      <c r="L289" s="125"/>
      <c r="M289" s="126"/>
      <c r="N289" s="127"/>
      <c r="O289" s="127"/>
    </row>
    <row r="290">
      <c r="A290" s="69" t="s">
        <v>6234</v>
      </c>
      <c r="B290" s="69" t="s">
        <v>5473</v>
      </c>
      <c r="C290" s="112" t="s">
        <v>5988</v>
      </c>
      <c r="D290" s="69"/>
      <c r="E290" s="69" t="s">
        <v>4528</v>
      </c>
      <c r="F290" s="69" t="s">
        <v>6235</v>
      </c>
      <c r="G290" s="69" t="s">
        <v>201</v>
      </c>
      <c r="H290" s="119"/>
      <c r="I290" s="114" t="str">
        <f t="array" ref="I290">XLOOKUP(G290,KLUS!$A$2:$A$2010,KLUS!$E$2:$E$2010)+XLOOKUP(H290,KLUS!$A$2:$A$2010,KLUS!$E$2:$E$2010)</f>
        <v>#N/A</v>
      </c>
      <c r="J290" s="114" t="str">
        <f t="shared" si="1"/>
        <v>#N/A</v>
      </c>
      <c r="K290" s="115" t="str">
        <f t="shared" si="2"/>
        <v>#N/A</v>
      </c>
      <c r="L290" s="125"/>
      <c r="M290" s="126"/>
      <c r="N290" s="127"/>
      <c r="O290" s="127"/>
    </row>
    <row r="291">
      <c r="A291" s="69" t="s">
        <v>6236</v>
      </c>
      <c r="B291" s="69" t="s">
        <v>5473</v>
      </c>
      <c r="C291" s="112" t="s">
        <v>6237</v>
      </c>
      <c r="D291" s="69"/>
      <c r="E291" s="69" t="s">
        <v>222</v>
      </c>
      <c r="F291" s="69" t="s">
        <v>6238</v>
      </c>
      <c r="G291" s="118"/>
      <c r="H291" s="119"/>
      <c r="I291" s="114" t="str">
        <f t="array" ref="I291">XLOOKUP(G291,KLUS!$A$2:$A$2010,KLUS!$E$2:$E$2010)+XLOOKUP(H291,KLUS!$A$2:$A$2010,KLUS!$E$2:$E$2010)</f>
        <v>#N/A</v>
      </c>
      <c r="J291" s="114" t="str">
        <f t="shared" si="1"/>
        <v>#N/A</v>
      </c>
      <c r="K291" s="115" t="str">
        <f t="shared" si="2"/>
        <v>#N/A</v>
      </c>
      <c r="L291" s="125"/>
      <c r="M291" s="126"/>
      <c r="N291" s="127"/>
      <c r="O291" s="127"/>
    </row>
    <row r="292">
      <c r="A292" s="69" t="s">
        <v>6239</v>
      </c>
      <c r="B292" s="69" t="s">
        <v>5473</v>
      </c>
      <c r="C292" s="112" t="s">
        <v>6240</v>
      </c>
      <c r="D292" s="69"/>
      <c r="E292" s="69" t="s">
        <v>6241</v>
      </c>
      <c r="F292" s="69" t="s">
        <v>6242</v>
      </c>
      <c r="G292" s="69" t="s">
        <v>208</v>
      </c>
      <c r="H292" s="119"/>
      <c r="I292" s="114" t="str">
        <f t="array" ref="I292">XLOOKUP(G292,KLUS!$A$2:$A$2010,KLUS!$E$2:$E$2010)+XLOOKUP(H292,KLUS!$A$2:$A$2010,KLUS!$E$2:$E$2010)</f>
        <v>#N/A</v>
      </c>
      <c r="J292" s="114" t="str">
        <f t="shared" si="1"/>
        <v>#N/A</v>
      </c>
      <c r="K292" s="115" t="str">
        <f t="shared" si="2"/>
        <v>#N/A</v>
      </c>
      <c r="L292" s="125"/>
      <c r="M292" s="126"/>
      <c r="N292" s="127"/>
      <c r="O292" s="127"/>
    </row>
    <row r="293">
      <c r="A293" s="69" t="s">
        <v>6243</v>
      </c>
      <c r="B293" s="69" t="s">
        <v>5473</v>
      </c>
      <c r="C293" s="112" t="s">
        <v>6244</v>
      </c>
      <c r="D293" s="69"/>
      <c r="E293" s="69" t="s">
        <v>4533</v>
      </c>
      <c r="F293" s="69" t="s">
        <v>6245</v>
      </c>
      <c r="G293" s="69" t="s">
        <v>204</v>
      </c>
      <c r="H293" s="119"/>
      <c r="I293" s="114" t="str">
        <f t="array" ref="I293">XLOOKUP(G293,KLUS!$A$2:$A$2010,KLUS!$E$2:$E$2010)+XLOOKUP(H293,KLUS!$A$2:$A$2010,KLUS!$E$2:$E$2010)</f>
        <v>#N/A</v>
      </c>
      <c r="J293" s="114" t="str">
        <f t="shared" si="1"/>
        <v>#N/A</v>
      </c>
      <c r="K293" s="115" t="str">
        <f t="shared" si="2"/>
        <v>#N/A</v>
      </c>
      <c r="L293" s="125"/>
      <c r="M293" s="126"/>
      <c r="N293" s="127"/>
      <c r="O293" s="127"/>
    </row>
    <row r="294">
      <c r="A294" s="69" t="s">
        <v>6246</v>
      </c>
      <c r="B294" s="69" t="s">
        <v>5473</v>
      </c>
      <c r="C294" s="112" t="s">
        <v>6247</v>
      </c>
      <c r="D294" s="69"/>
      <c r="E294" s="69" t="s">
        <v>224</v>
      </c>
      <c r="F294" s="69" t="s">
        <v>6248</v>
      </c>
      <c r="G294" s="69" t="s">
        <v>224</v>
      </c>
      <c r="H294" s="119"/>
      <c r="I294" s="114" t="str">
        <f t="array" ref="I294">XLOOKUP(G294,KLUS!$A$2:$A$2010,KLUS!$E$2:$E$2010)+XLOOKUP(H294,KLUS!$A$2:$A$2010,KLUS!$E$2:$E$2010)</f>
        <v>#N/A</v>
      </c>
      <c r="J294" s="114" t="str">
        <f t="shared" si="1"/>
        <v>#N/A</v>
      </c>
      <c r="K294" s="115" t="str">
        <f t="shared" si="2"/>
        <v>#N/A</v>
      </c>
      <c r="L294" s="125"/>
      <c r="M294" s="126"/>
      <c r="N294" s="127"/>
      <c r="O294" s="127"/>
    </row>
    <row r="295">
      <c r="A295" s="69" t="s">
        <v>6249</v>
      </c>
      <c r="B295" s="69" t="s">
        <v>5473</v>
      </c>
      <c r="C295" s="112" t="s">
        <v>6250</v>
      </c>
      <c r="D295" s="69"/>
      <c r="E295" s="69" t="s">
        <v>6251</v>
      </c>
      <c r="F295" s="69" t="s">
        <v>6252</v>
      </c>
      <c r="G295" s="69" t="s">
        <v>211</v>
      </c>
      <c r="H295" s="119"/>
      <c r="I295" s="114" t="str">
        <f t="array" ref="I295">XLOOKUP(G295,KLUS!$A$2:$A$2010,KLUS!$E$2:$E$2010)+XLOOKUP(H295,KLUS!$A$2:$A$2010,KLUS!$E$2:$E$2010)</f>
        <v>#N/A</v>
      </c>
      <c r="J295" s="114" t="str">
        <f t="shared" si="1"/>
        <v>#N/A</v>
      </c>
      <c r="K295" s="115" t="str">
        <f t="shared" si="2"/>
        <v>#N/A</v>
      </c>
      <c r="L295" s="125"/>
      <c r="M295" s="126"/>
      <c r="N295" s="127"/>
      <c r="O295" s="127"/>
    </row>
    <row r="296">
      <c r="A296" s="69" t="s">
        <v>6253</v>
      </c>
      <c r="B296" s="69" t="s">
        <v>5473</v>
      </c>
      <c r="C296" s="112" t="s">
        <v>6013</v>
      </c>
      <c r="D296" s="69"/>
      <c r="E296" s="69" t="s">
        <v>4539</v>
      </c>
      <c r="F296" s="69" t="s">
        <v>6254</v>
      </c>
      <c r="G296" s="69" t="s">
        <v>206</v>
      </c>
      <c r="H296" s="119"/>
      <c r="I296" s="114" t="str">
        <f t="array" ref="I296">XLOOKUP(G296,KLUS!$A$2:$A$2010,KLUS!$E$2:$E$2010)+XLOOKUP(H296,KLUS!$A$2:$A$2010,KLUS!$E$2:$E$2010)</f>
        <v>#N/A</v>
      </c>
      <c r="J296" s="114" t="str">
        <f t="shared" si="1"/>
        <v>#N/A</v>
      </c>
      <c r="K296" s="115" t="str">
        <f t="shared" si="2"/>
        <v>#N/A</v>
      </c>
      <c r="L296" s="125"/>
      <c r="M296" s="126"/>
      <c r="N296" s="127"/>
      <c r="O296" s="127"/>
    </row>
    <row r="297">
      <c r="A297" s="69" t="s">
        <v>6255</v>
      </c>
      <c r="B297" s="69" t="s">
        <v>5473</v>
      </c>
      <c r="C297" s="112" t="s">
        <v>6256</v>
      </c>
      <c r="D297" s="69"/>
      <c r="E297" s="69" t="s">
        <v>6257</v>
      </c>
      <c r="F297" s="69" t="s">
        <v>6258</v>
      </c>
      <c r="G297" s="69" t="s">
        <v>6257</v>
      </c>
      <c r="H297" s="119"/>
      <c r="I297" s="114" t="str">
        <f t="array" ref="I297">XLOOKUP(G297,KLUS!$A$2:$A$2010,KLUS!$E$2:$E$2010)+XLOOKUP(H297,KLUS!$A$2:$A$2010,KLUS!$E$2:$E$2010)</f>
        <v>#N/A</v>
      </c>
      <c r="J297" s="114" t="str">
        <f t="shared" si="1"/>
        <v>#N/A</v>
      </c>
      <c r="K297" s="115" t="str">
        <f t="shared" si="2"/>
        <v>#N/A</v>
      </c>
      <c r="L297" s="125"/>
      <c r="M297" s="126"/>
      <c r="N297" s="127"/>
      <c r="O297" s="127"/>
    </row>
    <row r="298">
      <c r="A298" s="69" t="s">
        <v>6259</v>
      </c>
      <c r="B298" s="69" t="s">
        <v>5473</v>
      </c>
      <c r="C298" s="112" t="s">
        <v>6260</v>
      </c>
      <c r="D298" s="69"/>
      <c r="E298" s="69" t="s">
        <v>6261</v>
      </c>
      <c r="F298" s="69" t="s">
        <v>6262</v>
      </c>
      <c r="G298" s="69" t="s">
        <v>213</v>
      </c>
      <c r="H298" s="119"/>
      <c r="I298" s="114" t="str">
        <f t="array" ref="I298">XLOOKUP(G298,KLUS!$A$2:$A$2010,KLUS!$E$2:$E$2010)+XLOOKUP(H298,KLUS!$A$2:$A$2010,KLUS!$E$2:$E$2010)</f>
        <v>#N/A</v>
      </c>
      <c r="J298" s="114" t="str">
        <f t="shared" si="1"/>
        <v>#N/A</v>
      </c>
      <c r="K298" s="115" t="str">
        <f t="shared" si="2"/>
        <v>#N/A</v>
      </c>
      <c r="L298" s="125"/>
      <c r="M298" s="126"/>
      <c r="N298" s="127"/>
      <c r="O298" s="127"/>
    </row>
    <row r="299">
      <c r="A299" s="69" t="s">
        <v>4317</v>
      </c>
      <c r="B299" s="69" t="s">
        <v>5473</v>
      </c>
      <c r="C299" s="112" t="s">
        <v>6263</v>
      </c>
      <c r="D299" s="69"/>
      <c r="E299" s="69" t="s">
        <v>4318</v>
      </c>
      <c r="F299" s="69" t="s">
        <v>6264</v>
      </c>
      <c r="G299" s="69" t="s">
        <v>173</v>
      </c>
      <c r="H299" s="119"/>
      <c r="I299" s="114" t="str">
        <f t="array" ref="I299">XLOOKUP(G299,KLUS!$A$2:$A$2010,KLUS!$E$2:$E$2010)+XLOOKUP(H299,KLUS!$A$2:$A$2010,KLUS!$E$2:$E$2010)</f>
        <v>#N/A</v>
      </c>
      <c r="J299" s="114" t="str">
        <f t="shared" si="1"/>
        <v>#N/A</v>
      </c>
      <c r="K299" s="115" t="str">
        <f t="shared" si="2"/>
        <v>#N/A</v>
      </c>
      <c r="L299" s="125"/>
      <c r="M299" s="126"/>
      <c r="N299" s="127"/>
      <c r="O299" s="127"/>
    </row>
    <row r="300">
      <c r="A300" s="69" t="s">
        <v>4319</v>
      </c>
      <c r="B300" s="69" t="s">
        <v>5473</v>
      </c>
      <c r="C300" s="112" t="s">
        <v>6265</v>
      </c>
      <c r="D300" s="69"/>
      <c r="E300" s="69" t="s">
        <v>4320</v>
      </c>
      <c r="F300" s="69" t="s">
        <v>6266</v>
      </c>
      <c r="G300" s="69" t="s">
        <v>176</v>
      </c>
      <c r="H300" s="119"/>
      <c r="I300" s="114" t="str">
        <f t="array" ref="I300">XLOOKUP(G300,KLUS!$A$2:$A$2010,KLUS!$E$2:$E$2010)+XLOOKUP(H300,KLUS!$A$2:$A$2010,KLUS!$E$2:$E$2010)</f>
        <v>#N/A</v>
      </c>
      <c r="J300" s="114" t="str">
        <f t="shared" si="1"/>
        <v>#N/A</v>
      </c>
      <c r="K300" s="115" t="str">
        <f t="shared" si="2"/>
        <v>#N/A</v>
      </c>
      <c r="L300" s="125"/>
      <c r="M300" s="126"/>
      <c r="N300" s="127"/>
      <c r="O300" s="127"/>
    </row>
    <row r="301">
      <c r="A301" s="69" t="s">
        <v>4321</v>
      </c>
      <c r="B301" s="69" t="s">
        <v>5473</v>
      </c>
      <c r="C301" s="112" t="s">
        <v>6267</v>
      </c>
      <c r="D301" s="69"/>
      <c r="E301" s="69" t="s">
        <v>4322</v>
      </c>
      <c r="F301" s="69" t="s">
        <v>6268</v>
      </c>
      <c r="G301" s="69" t="s">
        <v>178</v>
      </c>
      <c r="H301" s="119"/>
      <c r="I301" s="114" t="str">
        <f t="array" ref="I301">XLOOKUP(G301,KLUS!$A$2:$A$2010,KLUS!$E$2:$E$2010)+XLOOKUP(H301,KLUS!$A$2:$A$2010,KLUS!$E$2:$E$2010)</f>
        <v>#N/A</v>
      </c>
      <c r="J301" s="114" t="str">
        <f t="shared" si="1"/>
        <v>#N/A</v>
      </c>
      <c r="K301" s="115" t="str">
        <f t="shared" si="2"/>
        <v>#N/A</v>
      </c>
      <c r="L301" s="125"/>
      <c r="M301" s="126"/>
      <c r="N301" s="127"/>
      <c r="O301" s="127"/>
    </row>
    <row r="302">
      <c r="A302" s="69" t="s">
        <v>6269</v>
      </c>
      <c r="B302" s="69" t="s">
        <v>5473</v>
      </c>
      <c r="C302" s="112" t="s">
        <v>6270</v>
      </c>
      <c r="D302" s="69"/>
      <c r="E302" s="69" t="s">
        <v>6271</v>
      </c>
      <c r="F302" s="69" t="s">
        <v>6272</v>
      </c>
      <c r="G302" s="69" t="s">
        <v>270</v>
      </c>
      <c r="H302" s="119"/>
      <c r="I302" s="114" t="str">
        <f t="array" ref="I302">XLOOKUP(G302,KLUS!$A$2:$A$2010,KLUS!$E$2:$E$2010)+XLOOKUP(H302,KLUS!$A$2:$A$2010,KLUS!$E$2:$E$2010)</f>
        <v>#N/A</v>
      </c>
      <c r="J302" s="114" t="str">
        <f t="shared" si="1"/>
        <v>#N/A</v>
      </c>
      <c r="K302" s="115" t="str">
        <f t="shared" si="2"/>
        <v>#N/A</v>
      </c>
      <c r="L302" s="125"/>
      <c r="M302" s="126"/>
      <c r="N302" s="127"/>
      <c r="O302" s="127"/>
    </row>
    <row r="303">
      <c r="A303" s="69" t="s">
        <v>6273</v>
      </c>
      <c r="B303" s="69" t="s">
        <v>5473</v>
      </c>
      <c r="C303" s="112" t="s">
        <v>6274</v>
      </c>
      <c r="D303" s="69"/>
      <c r="E303" s="69" t="s">
        <v>284</v>
      </c>
      <c r="F303" s="69" t="s">
        <v>6275</v>
      </c>
      <c r="G303" s="69" t="s">
        <v>284</v>
      </c>
      <c r="H303" s="119"/>
      <c r="I303" s="114" t="str">
        <f t="array" ref="I303">XLOOKUP(G303,KLUS!$A$2:$A$2010,KLUS!$E$2:$E$2010)+XLOOKUP(H303,KLUS!$A$2:$A$2010,KLUS!$E$2:$E$2010)</f>
        <v>#N/A</v>
      </c>
      <c r="J303" s="114" t="str">
        <f t="shared" si="1"/>
        <v>#N/A</v>
      </c>
      <c r="K303" s="115" t="str">
        <f t="shared" si="2"/>
        <v>#N/A</v>
      </c>
      <c r="L303" s="125"/>
      <c r="M303" s="126"/>
      <c r="N303" s="127"/>
      <c r="O303" s="127"/>
    </row>
    <row r="304">
      <c r="A304" s="69" t="s">
        <v>6276</v>
      </c>
      <c r="B304" s="69" t="s">
        <v>5473</v>
      </c>
      <c r="C304" s="112" t="s">
        <v>6240</v>
      </c>
      <c r="D304" s="69"/>
      <c r="E304" s="69" t="s">
        <v>277</v>
      </c>
      <c r="F304" s="69" t="s">
        <v>6277</v>
      </c>
      <c r="G304" s="69" t="s">
        <v>277</v>
      </c>
      <c r="H304" s="119"/>
      <c r="I304" s="114" t="str">
        <f t="array" ref="I304">XLOOKUP(G304,KLUS!$A$2:$A$2010,KLUS!$E$2:$E$2010)+XLOOKUP(H304,KLUS!$A$2:$A$2010,KLUS!$E$2:$E$2010)</f>
        <v>#N/A</v>
      </c>
      <c r="J304" s="114" t="str">
        <f t="shared" si="1"/>
        <v>#N/A</v>
      </c>
      <c r="K304" s="115" t="str">
        <f t="shared" si="2"/>
        <v>#N/A</v>
      </c>
      <c r="L304" s="125"/>
      <c r="M304" s="126"/>
      <c r="N304" s="127"/>
      <c r="O304" s="127"/>
    </row>
    <row r="305">
      <c r="A305" s="69" t="s">
        <v>6278</v>
      </c>
      <c r="B305" s="69" t="s">
        <v>5473</v>
      </c>
      <c r="C305" s="112" t="s">
        <v>6279</v>
      </c>
      <c r="D305" s="69"/>
      <c r="E305" s="69" t="s">
        <v>6280</v>
      </c>
      <c r="F305" s="69" t="s">
        <v>6281</v>
      </c>
      <c r="G305" s="69" t="s">
        <v>273</v>
      </c>
      <c r="H305" s="119"/>
      <c r="I305" s="114" t="str">
        <f t="array" ref="I305">XLOOKUP(G305,KLUS!$A$2:$A$2010,KLUS!$E$2:$E$2010)+XLOOKUP(H305,KLUS!$A$2:$A$2010,KLUS!$E$2:$E$2010)</f>
        <v>#N/A</v>
      </c>
      <c r="J305" s="114" t="str">
        <f t="shared" si="1"/>
        <v>#N/A</v>
      </c>
      <c r="K305" s="115" t="str">
        <f t="shared" si="2"/>
        <v>#N/A</v>
      </c>
      <c r="L305" s="125"/>
      <c r="M305" s="126"/>
      <c r="N305" s="127"/>
      <c r="O305" s="127"/>
    </row>
    <row r="306">
      <c r="A306" s="69" t="s">
        <v>6282</v>
      </c>
      <c r="B306" s="69" t="s">
        <v>5473</v>
      </c>
      <c r="C306" s="112" t="s">
        <v>6283</v>
      </c>
      <c r="D306" s="69"/>
      <c r="E306" s="69" t="s">
        <v>287</v>
      </c>
      <c r="F306" s="69" t="s">
        <v>6284</v>
      </c>
      <c r="G306" s="69" t="s">
        <v>287</v>
      </c>
      <c r="H306" s="119"/>
      <c r="I306" s="114" t="str">
        <f t="array" ref="I306">XLOOKUP(G306,KLUS!$A$2:$A$2010,KLUS!$E$2:$E$2010)+XLOOKUP(H306,KLUS!$A$2:$A$2010,KLUS!$E$2:$E$2010)</f>
        <v>#N/A</v>
      </c>
      <c r="J306" s="114" t="str">
        <f t="shared" si="1"/>
        <v>#N/A</v>
      </c>
      <c r="K306" s="115" t="str">
        <f t="shared" si="2"/>
        <v>#N/A</v>
      </c>
      <c r="L306" s="125"/>
      <c r="M306" s="126"/>
      <c r="N306" s="127"/>
      <c r="O306" s="127"/>
    </row>
    <row r="307">
      <c r="A307" s="69" t="s">
        <v>6285</v>
      </c>
      <c r="B307" s="69" t="s">
        <v>5473</v>
      </c>
      <c r="C307" s="112" t="s">
        <v>6286</v>
      </c>
      <c r="D307" s="69"/>
      <c r="E307" s="69" t="s">
        <v>6287</v>
      </c>
      <c r="F307" s="69" t="s">
        <v>6288</v>
      </c>
      <c r="G307" s="69" t="s">
        <v>280</v>
      </c>
      <c r="H307" s="119"/>
      <c r="I307" s="114" t="str">
        <f t="array" ref="I307">XLOOKUP(G307,KLUS!$A$2:$A$2010,KLUS!$E$2:$E$2010)+XLOOKUP(H307,KLUS!$A$2:$A$2010,KLUS!$E$2:$E$2010)</f>
        <v>#N/A</v>
      </c>
      <c r="J307" s="114" t="str">
        <f t="shared" si="1"/>
        <v>#N/A</v>
      </c>
      <c r="K307" s="115" t="str">
        <f t="shared" si="2"/>
        <v>#N/A</v>
      </c>
      <c r="L307" s="125"/>
      <c r="M307" s="126"/>
      <c r="N307" s="127"/>
      <c r="O307" s="127"/>
    </row>
    <row r="308">
      <c r="A308" s="69" t="s">
        <v>6289</v>
      </c>
      <c r="B308" s="69" t="s">
        <v>5473</v>
      </c>
      <c r="C308" s="112" t="s">
        <v>6290</v>
      </c>
      <c r="D308" s="69"/>
      <c r="E308" s="69" t="s">
        <v>6291</v>
      </c>
      <c r="F308" s="69" t="s">
        <v>6292</v>
      </c>
      <c r="G308" s="69" t="s">
        <v>275</v>
      </c>
      <c r="H308" s="119"/>
      <c r="I308" s="114" t="str">
        <f t="array" ref="I308">XLOOKUP(G308,KLUS!$A$2:$A$2010,KLUS!$E$2:$E$2010)+XLOOKUP(H308,KLUS!$A$2:$A$2010,KLUS!$E$2:$E$2010)</f>
        <v>#N/A</v>
      </c>
      <c r="J308" s="114" t="str">
        <f t="shared" si="1"/>
        <v>#N/A</v>
      </c>
      <c r="K308" s="115" t="str">
        <f t="shared" si="2"/>
        <v>#N/A</v>
      </c>
      <c r="L308" s="125"/>
      <c r="M308" s="126"/>
      <c r="N308" s="127"/>
      <c r="O308" s="127"/>
    </row>
    <row r="309">
      <c r="A309" s="69" t="s">
        <v>6293</v>
      </c>
      <c r="B309" s="69" t="s">
        <v>5473</v>
      </c>
      <c r="C309" s="112" t="s">
        <v>6294</v>
      </c>
      <c r="D309" s="69"/>
      <c r="E309" s="69" t="s">
        <v>6295</v>
      </c>
      <c r="F309" s="69" t="s">
        <v>6296</v>
      </c>
      <c r="G309" s="69" t="s">
        <v>6295</v>
      </c>
      <c r="H309" s="119"/>
      <c r="I309" s="114" t="str">
        <f t="array" ref="I309">XLOOKUP(G309,KLUS!$A$2:$A$2010,KLUS!$E$2:$E$2010)+XLOOKUP(H309,KLUS!$A$2:$A$2010,KLUS!$E$2:$E$2010)</f>
        <v>#N/A</v>
      </c>
      <c r="J309" s="114" t="str">
        <f t="shared" si="1"/>
        <v>#N/A</v>
      </c>
      <c r="K309" s="115" t="str">
        <f t="shared" si="2"/>
        <v>#N/A</v>
      </c>
      <c r="L309" s="125"/>
      <c r="M309" s="126"/>
      <c r="N309" s="127"/>
      <c r="O309" s="127"/>
    </row>
    <row r="310">
      <c r="A310" s="69" t="s">
        <v>6297</v>
      </c>
      <c r="B310" s="69" t="s">
        <v>5473</v>
      </c>
      <c r="C310" s="112" t="s">
        <v>6298</v>
      </c>
      <c r="D310" s="69"/>
      <c r="E310" s="69" t="s">
        <v>6299</v>
      </c>
      <c r="F310" s="69" t="s">
        <v>6300</v>
      </c>
      <c r="G310" s="69" t="s">
        <v>282</v>
      </c>
      <c r="H310" s="119"/>
      <c r="I310" s="114" t="str">
        <f t="array" ref="I310">XLOOKUP(G310,KLUS!$A$2:$A$2010,KLUS!$E$2:$E$2010)+XLOOKUP(H310,KLUS!$A$2:$A$2010,KLUS!$E$2:$E$2010)</f>
        <v>#N/A</v>
      </c>
      <c r="J310" s="114" t="str">
        <f t="shared" si="1"/>
        <v>#N/A</v>
      </c>
      <c r="K310" s="115" t="str">
        <f t="shared" si="2"/>
        <v>#N/A</v>
      </c>
      <c r="L310" s="125"/>
      <c r="M310" s="126"/>
      <c r="N310" s="127"/>
      <c r="O310" s="127"/>
    </row>
    <row r="311">
      <c r="A311" s="69" t="s">
        <v>6301</v>
      </c>
      <c r="B311" s="69" t="s">
        <v>5473</v>
      </c>
      <c r="C311" s="112" t="s">
        <v>5517</v>
      </c>
      <c r="D311" s="69"/>
      <c r="E311" s="69" t="s">
        <v>6302</v>
      </c>
      <c r="F311" s="118"/>
      <c r="G311" s="69" t="s">
        <v>323</v>
      </c>
      <c r="H311" s="116" t="s">
        <v>1394</v>
      </c>
      <c r="I311" s="114">
        <f t="array" ref="I311">XLOOKUP(G311,KLUS!$A$2:$A$2010,KLUS!$E$2:$E$2010)+XLOOKUP(H311,KLUS!$A$2:$A$2010,KLUS!$E$2:$E$2010)</f>
        <v>33.6</v>
      </c>
      <c r="J311" s="114">
        <f t="shared" si="1"/>
        <v>30.24</v>
      </c>
      <c r="K311" s="115">
        <f t="shared" si="2"/>
        <v>24.192</v>
      </c>
      <c r="L311" s="125"/>
      <c r="M311" s="126"/>
      <c r="N311" s="127"/>
      <c r="O311" s="127"/>
    </row>
    <row r="312">
      <c r="A312" s="69" t="s">
        <v>6303</v>
      </c>
      <c r="B312" s="69" t="s">
        <v>5473</v>
      </c>
      <c r="C312" s="112" t="s">
        <v>6304</v>
      </c>
      <c r="D312" s="69"/>
      <c r="E312" s="69" t="s">
        <v>4340</v>
      </c>
      <c r="F312" s="118"/>
      <c r="G312" s="69" t="s">
        <v>323</v>
      </c>
      <c r="H312" s="116" t="s">
        <v>1369</v>
      </c>
      <c r="I312" s="114">
        <f t="array" ref="I312">XLOOKUP(G312,KLUS!$A$2:$A$2010,KLUS!$E$2:$E$2010)+XLOOKUP(H312,KLUS!$A$2:$A$2010,KLUS!$E$2:$E$2010)</f>
        <v>32.3</v>
      </c>
      <c r="J312" s="114">
        <f t="shared" si="1"/>
        <v>29.07</v>
      </c>
      <c r="K312" s="115">
        <f t="shared" si="2"/>
        <v>23.256</v>
      </c>
      <c r="L312" s="125"/>
      <c r="M312" s="126"/>
      <c r="N312" s="127"/>
      <c r="O312" s="127"/>
    </row>
    <row r="313">
      <c r="A313" s="69" t="s">
        <v>6305</v>
      </c>
      <c r="B313" s="69" t="s">
        <v>5473</v>
      </c>
      <c r="C313" s="112" t="s">
        <v>6306</v>
      </c>
      <c r="D313" s="69"/>
      <c r="E313" s="69" t="s">
        <v>4342</v>
      </c>
      <c r="F313" s="118"/>
      <c r="G313" s="69" t="s">
        <v>323</v>
      </c>
      <c r="H313" s="113" t="s">
        <v>1356</v>
      </c>
      <c r="I313" s="114">
        <f t="array" ref="I313">XLOOKUP(G313,KLUS!$A$2:$A$2010,KLUS!$E$2:$E$2010)+XLOOKUP(H313,KLUS!$A$2:$A$2010,KLUS!$E$2:$E$2010)</f>
        <v>26.5</v>
      </c>
      <c r="J313" s="114">
        <f t="shared" si="1"/>
        <v>23.85</v>
      </c>
      <c r="K313" s="115">
        <f t="shared" si="2"/>
        <v>19.08</v>
      </c>
      <c r="L313" s="125"/>
      <c r="M313" s="126"/>
      <c r="N313" s="127"/>
      <c r="O313" s="127"/>
    </row>
    <row r="314">
      <c r="A314" s="69" t="s">
        <v>6307</v>
      </c>
      <c r="B314" s="69" t="s">
        <v>5473</v>
      </c>
      <c r="C314" s="112" t="s">
        <v>6308</v>
      </c>
      <c r="D314" s="69"/>
      <c r="E314" s="69" t="s">
        <v>4344</v>
      </c>
      <c r="F314" s="118"/>
      <c r="G314" s="69" t="s">
        <v>323</v>
      </c>
      <c r="H314" s="116" t="s">
        <v>1376</v>
      </c>
      <c r="I314" s="114">
        <f t="array" ref="I314">XLOOKUP(G314,KLUS!$A$2:$A$2010,KLUS!$E$2:$E$2010)+XLOOKUP(H314,KLUS!$A$2:$A$2010,KLUS!$E$2:$E$2010)</f>
        <v>32.3</v>
      </c>
      <c r="J314" s="114">
        <f t="shared" si="1"/>
        <v>29.07</v>
      </c>
      <c r="K314" s="115">
        <f t="shared" si="2"/>
        <v>23.256</v>
      </c>
      <c r="L314" s="125"/>
      <c r="M314" s="126"/>
      <c r="N314" s="127"/>
      <c r="O314" s="127"/>
    </row>
    <row r="315">
      <c r="A315" s="69" t="s">
        <v>6309</v>
      </c>
      <c r="B315" s="69" t="s">
        <v>5473</v>
      </c>
      <c r="C315" s="112" t="s">
        <v>6310</v>
      </c>
      <c r="D315" s="69"/>
      <c r="E315" s="69" t="s">
        <v>4348</v>
      </c>
      <c r="F315" s="118"/>
      <c r="G315" s="69" t="s">
        <v>326</v>
      </c>
      <c r="H315" s="113" t="s">
        <v>1372</v>
      </c>
      <c r="I315" s="114">
        <f t="array" ref="I315">XLOOKUP(G315,KLUS!$A$2:$A$2010,KLUS!$E$2:$E$2010)+XLOOKUP(H315,KLUS!$A$2:$A$2010,KLUS!$E$2:$E$2010)</f>
        <v>64.4</v>
      </c>
      <c r="J315" s="114">
        <f t="shared" si="1"/>
        <v>57.96</v>
      </c>
      <c r="K315" s="115">
        <f t="shared" si="2"/>
        <v>46.368</v>
      </c>
      <c r="L315" s="125"/>
      <c r="M315" s="126"/>
      <c r="N315" s="127"/>
      <c r="O315" s="127"/>
    </row>
    <row r="316">
      <c r="A316" s="69" t="s">
        <v>6311</v>
      </c>
      <c r="B316" s="69" t="s">
        <v>5473</v>
      </c>
      <c r="C316" s="112" t="s">
        <v>6310</v>
      </c>
      <c r="D316" s="69"/>
      <c r="E316" s="69" t="s">
        <v>4350</v>
      </c>
      <c r="F316" s="118"/>
      <c r="G316" s="69" t="s">
        <v>326</v>
      </c>
      <c r="H316" s="113" t="s">
        <v>1378</v>
      </c>
      <c r="I316" s="114">
        <f t="array" ref="I316">XLOOKUP(G316,KLUS!$A$2:$A$2010,KLUS!$E$2:$E$2010)+XLOOKUP(H316,KLUS!$A$2:$A$2010,KLUS!$E$2:$E$2010)</f>
        <v>64.4</v>
      </c>
      <c r="J316" s="114">
        <f t="shared" si="1"/>
        <v>57.96</v>
      </c>
      <c r="K316" s="115">
        <f t="shared" si="2"/>
        <v>46.368</v>
      </c>
      <c r="L316" s="125"/>
      <c r="M316" s="126"/>
      <c r="N316" s="127"/>
      <c r="O316" s="127"/>
    </row>
    <row r="317">
      <c r="A317" s="69" t="s">
        <v>6312</v>
      </c>
      <c r="B317" s="69" t="s">
        <v>5473</v>
      </c>
      <c r="C317" s="112" t="s">
        <v>6313</v>
      </c>
      <c r="D317" s="69"/>
      <c r="E317" s="69" t="s">
        <v>4354</v>
      </c>
      <c r="F317" s="118"/>
      <c r="G317" s="69" t="s">
        <v>328</v>
      </c>
      <c r="H317" s="113" t="s">
        <v>1374</v>
      </c>
      <c r="I317" s="114">
        <f t="array" ref="I317">XLOOKUP(G317,KLUS!$A$2:$A$2010,KLUS!$E$2:$E$2010)+XLOOKUP(H317,KLUS!$A$2:$A$2010,KLUS!$E$2:$E$2010)</f>
        <v>96.6</v>
      </c>
      <c r="J317" s="114">
        <f t="shared" si="1"/>
        <v>86.94</v>
      </c>
      <c r="K317" s="115">
        <f t="shared" si="2"/>
        <v>69.552</v>
      </c>
      <c r="L317" s="125"/>
      <c r="M317" s="126"/>
      <c r="N317" s="127"/>
      <c r="O317" s="127"/>
    </row>
    <row r="318">
      <c r="A318" s="69" t="s">
        <v>6314</v>
      </c>
      <c r="B318" s="69" t="s">
        <v>5473</v>
      </c>
      <c r="C318" s="112" t="s">
        <v>6313</v>
      </c>
      <c r="D318" s="69"/>
      <c r="E318" s="69" t="s">
        <v>4356</v>
      </c>
      <c r="F318" s="118"/>
      <c r="G318" s="69" t="s">
        <v>328</v>
      </c>
      <c r="H318" s="113" t="s">
        <v>1380</v>
      </c>
      <c r="I318" s="114">
        <f t="array" ref="I318">XLOOKUP(G318,KLUS!$A$2:$A$2010,KLUS!$E$2:$E$2010)+XLOOKUP(H318,KLUS!$A$2:$A$2010,KLUS!$E$2:$E$2010)</f>
        <v>96.6</v>
      </c>
      <c r="J318" s="114">
        <f t="shared" si="1"/>
        <v>86.94</v>
      </c>
      <c r="K318" s="115">
        <f t="shared" si="2"/>
        <v>69.552</v>
      </c>
      <c r="L318" s="125"/>
      <c r="M318" s="126"/>
      <c r="N318" s="127"/>
      <c r="O318" s="127"/>
    </row>
    <row r="319">
      <c r="A319" s="69" t="s">
        <v>6315</v>
      </c>
      <c r="B319" s="69" t="s">
        <v>5473</v>
      </c>
      <c r="C319" s="112" t="s">
        <v>5818</v>
      </c>
      <c r="D319" s="69"/>
      <c r="E319" s="69" t="s">
        <v>6316</v>
      </c>
      <c r="F319" s="69" t="s">
        <v>6317</v>
      </c>
      <c r="G319" s="69" t="s">
        <v>296</v>
      </c>
      <c r="H319" s="119"/>
      <c r="I319" s="114" t="str">
        <f t="array" ref="I319">XLOOKUP(G319,KLUS!$A$2:$A$2010,KLUS!$E$2:$E$2010)+XLOOKUP(H319,KLUS!$A$2:$A$2010,KLUS!$E$2:$E$2010)</f>
        <v>#N/A</v>
      </c>
      <c r="J319" s="114" t="str">
        <f t="shared" si="1"/>
        <v>#N/A</v>
      </c>
      <c r="K319" s="115" t="str">
        <f t="shared" si="2"/>
        <v>#N/A</v>
      </c>
      <c r="L319" s="125"/>
      <c r="M319" s="126"/>
      <c r="N319" s="127"/>
      <c r="O319" s="127"/>
    </row>
    <row r="320">
      <c r="A320" s="69" t="s">
        <v>6318</v>
      </c>
      <c r="B320" s="69" t="s">
        <v>5473</v>
      </c>
      <c r="C320" s="112" t="s">
        <v>6319</v>
      </c>
      <c r="D320" s="69"/>
      <c r="E320" s="69" t="s">
        <v>6320</v>
      </c>
      <c r="F320" s="118"/>
      <c r="G320" s="69" t="s">
        <v>299</v>
      </c>
      <c r="H320" s="119"/>
      <c r="I320" s="114" t="str">
        <f t="array" ref="I320">XLOOKUP(G320,KLUS!$A$2:$A$2010,KLUS!$E$2:$E$2010)+XLOOKUP(H320,KLUS!$A$2:$A$2010,KLUS!$E$2:$E$2010)</f>
        <v>#N/A</v>
      </c>
      <c r="J320" s="114" t="str">
        <f t="shared" si="1"/>
        <v>#N/A</v>
      </c>
      <c r="K320" s="115" t="str">
        <f t="shared" si="2"/>
        <v>#N/A</v>
      </c>
      <c r="L320" s="125"/>
      <c r="M320" s="126"/>
      <c r="N320" s="127"/>
      <c r="O320" s="127"/>
    </row>
    <row r="321">
      <c r="A321" s="69" t="s">
        <v>6321</v>
      </c>
      <c r="B321" s="69" t="s">
        <v>5473</v>
      </c>
      <c r="C321" s="112" t="s">
        <v>6322</v>
      </c>
      <c r="D321" s="69"/>
      <c r="E321" s="69" t="s">
        <v>301</v>
      </c>
      <c r="F321" s="69" t="s">
        <v>6323</v>
      </c>
      <c r="G321" s="69" t="s">
        <v>301</v>
      </c>
      <c r="H321" s="119"/>
      <c r="I321" s="114" t="str">
        <f t="array" ref="I321">XLOOKUP(G321,KLUS!$A$2:$A$2010,KLUS!$E$2:$E$2010)+XLOOKUP(H321,KLUS!$A$2:$A$2010,KLUS!$E$2:$E$2010)</f>
        <v>#N/A</v>
      </c>
      <c r="J321" s="114" t="str">
        <f t="shared" si="1"/>
        <v>#N/A</v>
      </c>
      <c r="K321" s="115" t="str">
        <f t="shared" si="2"/>
        <v>#N/A</v>
      </c>
      <c r="L321" s="125"/>
      <c r="M321" s="126"/>
      <c r="N321" s="127"/>
      <c r="O321" s="127"/>
    </row>
    <row r="322">
      <c r="A322" s="69" t="s">
        <v>6324</v>
      </c>
      <c r="B322" s="69" t="s">
        <v>5473</v>
      </c>
      <c r="C322" s="112" t="s">
        <v>6325</v>
      </c>
      <c r="D322" s="69"/>
      <c r="E322" s="69" t="s">
        <v>4361</v>
      </c>
      <c r="F322" s="69" t="s">
        <v>6326</v>
      </c>
      <c r="G322" s="69" t="s">
        <v>149</v>
      </c>
      <c r="H322" s="119"/>
      <c r="I322" s="114" t="str">
        <f t="array" ref="I322">XLOOKUP(G322,KLUS!$A$2:$A$2010,KLUS!$E$2:$E$2010)+XLOOKUP(H322,KLUS!$A$2:$A$2010,KLUS!$E$2:$E$2010)</f>
        <v>#N/A</v>
      </c>
      <c r="J322" s="114" t="str">
        <f t="shared" si="1"/>
        <v>#N/A</v>
      </c>
      <c r="K322" s="115" t="str">
        <f t="shared" si="2"/>
        <v>#N/A</v>
      </c>
      <c r="L322" s="125"/>
      <c r="M322" s="126"/>
      <c r="N322" s="127"/>
      <c r="O322" s="127"/>
    </row>
    <row r="323">
      <c r="A323" s="69" t="s">
        <v>6327</v>
      </c>
      <c r="B323" s="69" t="s">
        <v>5473</v>
      </c>
      <c r="C323" s="112" t="s">
        <v>6328</v>
      </c>
      <c r="D323" s="69"/>
      <c r="E323" s="69" t="s">
        <v>6329</v>
      </c>
      <c r="F323" s="69" t="s">
        <v>6330</v>
      </c>
      <c r="G323" s="69" t="s">
        <v>180</v>
      </c>
      <c r="H323" s="119"/>
      <c r="I323" s="114" t="str">
        <f t="array" ref="I323">XLOOKUP(G323,KLUS!$A$2:$A$2010,KLUS!$E$2:$E$2010)+XLOOKUP(H323,KLUS!$A$2:$A$2010,KLUS!$E$2:$E$2010)</f>
        <v>#N/A</v>
      </c>
      <c r="J323" s="114" t="str">
        <f t="shared" si="1"/>
        <v>#N/A</v>
      </c>
      <c r="K323" s="115" t="str">
        <f t="shared" si="2"/>
        <v>#N/A</v>
      </c>
      <c r="L323" s="125"/>
      <c r="M323" s="126"/>
      <c r="N323" s="127"/>
      <c r="O323" s="127"/>
    </row>
    <row r="324">
      <c r="A324" s="69" t="s">
        <v>6331</v>
      </c>
      <c r="B324" s="69" t="s">
        <v>5473</v>
      </c>
      <c r="C324" s="112" t="s">
        <v>6332</v>
      </c>
      <c r="D324" s="69"/>
      <c r="E324" s="69" t="s">
        <v>4367</v>
      </c>
      <c r="F324" s="69" t="s">
        <v>6333</v>
      </c>
      <c r="G324" s="69" t="s">
        <v>187</v>
      </c>
      <c r="H324" s="119"/>
      <c r="I324" s="114" t="str">
        <f t="array" ref="I324">XLOOKUP(G324,KLUS!$A$2:$A$2010,KLUS!$E$2:$E$2010)+XLOOKUP(H324,KLUS!$A$2:$A$2010,KLUS!$E$2:$E$2010)</f>
        <v>#N/A</v>
      </c>
      <c r="J324" s="114" t="str">
        <f t="shared" si="1"/>
        <v>#N/A</v>
      </c>
      <c r="K324" s="115" t="str">
        <f t="shared" si="2"/>
        <v>#N/A</v>
      </c>
      <c r="L324" s="125"/>
      <c r="M324" s="126"/>
      <c r="N324" s="127"/>
      <c r="O324" s="127"/>
    </row>
    <row r="325">
      <c r="A325" s="69" t="s">
        <v>6334</v>
      </c>
      <c r="B325" s="69" t="s">
        <v>5473</v>
      </c>
      <c r="C325" s="112" t="s">
        <v>6283</v>
      </c>
      <c r="D325" s="69"/>
      <c r="E325" s="69" t="s">
        <v>4369</v>
      </c>
      <c r="F325" s="69" t="s">
        <v>6335</v>
      </c>
      <c r="G325" s="69" t="s">
        <v>183</v>
      </c>
      <c r="H325" s="119"/>
      <c r="I325" s="114" t="str">
        <f t="array" ref="I325">XLOOKUP(G325,KLUS!$A$2:$A$2010,KLUS!$E$2:$E$2010)+XLOOKUP(H325,KLUS!$A$2:$A$2010,KLUS!$E$2:$E$2010)</f>
        <v>#N/A</v>
      </c>
      <c r="J325" s="114" t="str">
        <f t="shared" si="1"/>
        <v>#N/A</v>
      </c>
      <c r="K325" s="115" t="str">
        <f t="shared" si="2"/>
        <v>#N/A</v>
      </c>
      <c r="L325" s="125"/>
      <c r="M325" s="126"/>
      <c r="N325" s="127"/>
      <c r="O325" s="127"/>
    </row>
    <row r="326">
      <c r="A326" s="69" t="s">
        <v>6336</v>
      </c>
      <c r="B326" s="69" t="s">
        <v>5473</v>
      </c>
      <c r="C326" s="112" t="s">
        <v>5881</v>
      </c>
      <c r="D326" s="69"/>
      <c r="E326" s="69" t="s">
        <v>4371</v>
      </c>
      <c r="F326" s="69" t="s">
        <v>6337</v>
      </c>
      <c r="G326" s="69" t="s">
        <v>190</v>
      </c>
      <c r="H326" s="119"/>
      <c r="I326" s="114" t="str">
        <f t="array" ref="I326">XLOOKUP(G326,KLUS!$A$2:$A$2010,KLUS!$E$2:$E$2010)+XLOOKUP(H326,KLUS!$A$2:$A$2010,KLUS!$E$2:$E$2010)</f>
        <v>#N/A</v>
      </c>
      <c r="J326" s="114" t="str">
        <f t="shared" si="1"/>
        <v>#N/A</v>
      </c>
      <c r="K326" s="115" t="str">
        <f t="shared" si="2"/>
        <v>#N/A</v>
      </c>
      <c r="L326" s="125"/>
      <c r="M326" s="126"/>
      <c r="N326" s="127"/>
      <c r="O326" s="127"/>
    </row>
    <row r="327">
      <c r="A327" s="69" t="s">
        <v>6338</v>
      </c>
      <c r="B327" s="69" t="s">
        <v>5473</v>
      </c>
      <c r="C327" s="112" t="s">
        <v>6339</v>
      </c>
      <c r="D327" s="69"/>
      <c r="E327" s="69" t="s">
        <v>4373</v>
      </c>
      <c r="F327" s="69" t="s">
        <v>6340</v>
      </c>
      <c r="G327" s="69" t="s">
        <v>185</v>
      </c>
      <c r="H327" s="119"/>
      <c r="I327" s="114" t="str">
        <f t="array" ref="I327">XLOOKUP(G327,KLUS!$A$2:$A$2010,KLUS!$E$2:$E$2010)+XLOOKUP(H327,KLUS!$A$2:$A$2010,KLUS!$E$2:$E$2010)</f>
        <v>#N/A</v>
      </c>
      <c r="J327" s="114" t="str">
        <f t="shared" si="1"/>
        <v>#N/A</v>
      </c>
      <c r="K327" s="115" t="str">
        <f t="shared" si="2"/>
        <v>#N/A</v>
      </c>
      <c r="L327" s="125"/>
      <c r="M327" s="126"/>
      <c r="N327" s="127"/>
      <c r="O327" s="127"/>
    </row>
    <row r="328">
      <c r="A328" s="69" t="s">
        <v>6341</v>
      </c>
      <c r="B328" s="69" t="s">
        <v>5473</v>
      </c>
      <c r="C328" s="112" t="s">
        <v>6342</v>
      </c>
      <c r="D328" s="69"/>
      <c r="E328" s="69" t="s">
        <v>4375</v>
      </c>
      <c r="F328" s="69" t="s">
        <v>6343</v>
      </c>
      <c r="G328" s="69" t="s">
        <v>192</v>
      </c>
      <c r="H328" s="119"/>
      <c r="I328" s="114" t="str">
        <f t="array" ref="I328">XLOOKUP(G328,KLUS!$A$2:$A$2010,KLUS!$E$2:$E$2010)+XLOOKUP(H328,KLUS!$A$2:$A$2010,KLUS!$E$2:$E$2010)</f>
        <v>#N/A</v>
      </c>
      <c r="J328" s="114" t="str">
        <f t="shared" si="1"/>
        <v>#N/A</v>
      </c>
      <c r="K328" s="115" t="str">
        <f t="shared" si="2"/>
        <v>#N/A</v>
      </c>
      <c r="L328" s="125"/>
      <c r="M328" s="126"/>
      <c r="N328" s="127"/>
      <c r="O328" s="127"/>
    </row>
    <row r="329">
      <c r="A329" s="69" t="s">
        <v>6344</v>
      </c>
      <c r="B329" s="69" t="s">
        <v>5473</v>
      </c>
      <c r="C329" s="112" t="s">
        <v>6332</v>
      </c>
      <c r="D329" s="69"/>
      <c r="E329" s="69" t="s">
        <v>6345</v>
      </c>
      <c r="F329" s="69" t="s">
        <v>6346</v>
      </c>
      <c r="G329" s="69" t="s">
        <v>156</v>
      </c>
      <c r="H329" s="119"/>
      <c r="I329" s="114" t="str">
        <f t="array" ref="I329">XLOOKUP(G329,KLUS!$A$2:$A$2010,KLUS!$E$2:$E$2010)+XLOOKUP(H329,KLUS!$A$2:$A$2010,KLUS!$E$2:$E$2010)</f>
        <v>#N/A</v>
      </c>
      <c r="J329" s="114" t="str">
        <f t="shared" si="1"/>
        <v>#N/A</v>
      </c>
      <c r="K329" s="115" t="str">
        <f t="shared" si="2"/>
        <v>#N/A</v>
      </c>
      <c r="L329" s="125"/>
      <c r="M329" s="126"/>
      <c r="N329" s="127"/>
      <c r="O329" s="127"/>
    </row>
    <row r="330">
      <c r="A330" s="69" t="s">
        <v>6347</v>
      </c>
      <c r="B330" s="69" t="s">
        <v>5473</v>
      </c>
      <c r="C330" s="112" t="s">
        <v>6348</v>
      </c>
      <c r="D330" s="69"/>
      <c r="E330" s="69" t="s">
        <v>6349</v>
      </c>
      <c r="F330" s="69" t="s">
        <v>6350</v>
      </c>
      <c r="G330" s="69" t="s">
        <v>159</v>
      </c>
      <c r="H330" s="119"/>
      <c r="I330" s="114" t="str">
        <f t="array" ref="I330">XLOOKUP(G330,KLUS!$A$2:$A$2010,KLUS!$E$2:$E$2010)+XLOOKUP(H330,KLUS!$A$2:$A$2010,KLUS!$E$2:$E$2010)</f>
        <v>#N/A</v>
      </c>
      <c r="J330" s="114" t="str">
        <f t="shared" si="1"/>
        <v>#N/A</v>
      </c>
      <c r="K330" s="115" t="str">
        <f t="shared" si="2"/>
        <v>#N/A</v>
      </c>
      <c r="L330" s="125"/>
      <c r="M330" s="126"/>
      <c r="N330" s="127"/>
      <c r="O330" s="127"/>
    </row>
    <row r="331">
      <c r="A331" s="69" t="s">
        <v>6351</v>
      </c>
      <c r="B331" s="69" t="s">
        <v>5473</v>
      </c>
      <c r="C331" s="112" t="s">
        <v>6342</v>
      </c>
      <c r="D331" s="69"/>
      <c r="E331" s="69" t="s">
        <v>6352</v>
      </c>
      <c r="F331" s="69" t="s">
        <v>6353</v>
      </c>
      <c r="G331" s="69" t="s">
        <v>161</v>
      </c>
      <c r="H331" s="119"/>
      <c r="I331" s="114" t="str">
        <f t="array" ref="I331">XLOOKUP(G331,KLUS!$A$2:$A$2010,KLUS!$E$2:$E$2010)+XLOOKUP(H331,KLUS!$A$2:$A$2010,KLUS!$E$2:$E$2010)</f>
        <v>#N/A</v>
      </c>
      <c r="J331" s="114" t="str">
        <f t="shared" si="1"/>
        <v>#N/A</v>
      </c>
      <c r="K331" s="115" t="str">
        <f t="shared" si="2"/>
        <v>#N/A</v>
      </c>
      <c r="L331" s="125"/>
      <c r="M331" s="126"/>
      <c r="N331" s="127"/>
      <c r="O331" s="127"/>
    </row>
    <row r="332">
      <c r="A332" s="69" t="s">
        <v>4544</v>
      </c>
      <c r="B332" s="69" t="s">
        <v>5473</v>
      </c>
      <c r="C332" s="112" t="s">
        <v>5914</v>
      </c>
      <c r="D332" s="69"/>
      <c r="E332" s="69" t="s">
        <v>4545</v>
      </c>
      <c r="F332" s="69" t="s">
        <v>6354</v>
      </c>
      <c r="G332" s="69" t="s">
        <v>5</v>
      </c>
      <c r="H332" s="119"/>
      <c r="I332" s="114" t="str">
        <f t="array" ref="I332">XLOOKUP(G332,KLUS!$A$2:$A$2010,KLUS!$E$2:$E$2010)+XLOOKUP(H332,KLUS!$A$2:$A$2010,KLUS!$E$2:$E$2010)</f>
        <v>#N/A</v>
      </c>
      <c r="J332" s="114" t="str">
        <f t="shared" si="1"/>
        <v>#N/A</v>
      </c>
      <c r="K332" s="115" t="str">
        <f t="shared" si="2"/>
        <v>#N/A</v>
      </c>
      <c r="L332" s="125"/>
      <c r="M332" s="126"/>
      <c r="N332" s="127"/>
      <c r="O332" s="127"/>
    </row>
    <row r="333">
      <c r="A333" s="69" t="s">
        <v>6355</v>
      </c>
      <c r="B333" s="69" t="s">
        <v>5473</v>
      </c>
      <c r="C333" s="112" t="s">
        <v>6356</v>
      </c>
      <c r="D333" s="69"/>
      <c r="E333" s="69" t="s">
        <v>4547</v>
      </c>
      <c r="F333" s="69" t="s">
        <v>6357</v>
      </c>
      <c r="G333" s="69" t="s">
        <v>5</v>
      </c>
      <c r="H333" s="116" t="s">
        <v>1274</v>
      </c>
      <c r="I333" s="114">
        <f t="array" ref="I333">XLOOKUP(G333,KLUS!$A$2:$A$2010,KLUS!$E$2:$E$2010)+XLOOKUP(H333,KLUS!$A$2:$A$2010,KLUS!$E$2:$E$2010)</f>
        <v>18.6</v>
      </c>
      <c r="J333" s="114">
        <f t="shared" si="1"/>
        <v>16.74</v>
      </c>
      <c r="K333" s="115">
        <f t="shared" si="2"/>
        <v>13.392</v>
      </c>
      <c r="L333" s="125"/>
      <c r="M333" s="126"/>
      <c r="N333" s="127"/>
      <c r="O333" s="127"/>
    </row>
    <row r="334">
      <c r="A334" s="69" t="s">
        <v>4548</v>
      </c>
      <c r="B334" s="69" t="s">
        <v>5473</v>
      </c>
      <c r="C334" s="112" t="s">
        <v>6358</v>
      </c>
      <c r="D334" s="69"/>
      <c r="E334" s="69" t="s">
        <v>4549</v>
      </c>
      <c r="F334" s="69" t="s">
        <v>6359</v>
      </c>
      <c r="G334" s="69" t="s">
        <v>8</v>
      </c>
      <c r="H334" s="119"/>
      <c r="I334" s="114" t="str">
        <f t="array" ref="I334">XLOOKUP(G334,KLUS!$A$2:$A$2010,KLUS!$E$2:$E$2010)+XLOOKUP(H334,KLUS!$A$2:$A$2010,KLUS!$E$2:$E$2010)</f>
        <v>#N/A</v>
      </c>
      <c r="J334" s="114" t="str">
        <f t="shared" si="1"/>
        <v>#N/A</v>
      </c>
      <c r="K334" s="115" t="str">
        <f t="shared" si="2"/>
        <v>#N/A</v>
      </c>
      <c r="L334" s="125"/>
      <c r="M334" s="126"/>
      <c r="N334" s="127"/>
      <c r="O334" s="127"/>
    </row>
    <row r="335">
      <c r="A335" s="69" t="s">
        <v>4550</v>
      </c>
      <c r="B335" s="69" t="s">
        <v>5473</v>
      </c>
      <c r="C335" s="112" t="s">
        <v>6360</v>
      </c>
      <c r="D335" s="69"/>
      <c r="E335" s="69" t="s">
        <v>6361</v>
      </c>
      <c r="F335" s="69" t="s">
        <v>6362</v>
      </c>
      <c r="G335" s="69" t="s">
        <v>10</v>
      </c>
      <c r="H335" s="119"/>
      <c r="I335" s="114" t="str">
        <f t="array" ref="I335">XLOOKUP(G335,KLUS!$A$2:$A$2010,KLUS!$E$2:$E$2010)+XLOOKUP(H335,KLUS!$A$2:$A$2010,KLUS!$E$2:$E$2010)</f>
        <v>#N/A</v>
      </c>
      <c r="J335" s="114" t="str">
        <f t="shared" si="1"/>
        <v>#N/A</v>
      </c>
      <c r="K335" s="115" t="str">
        <f t="shared" si="2"/>
        <v>#N/A</v>
      </c>
      <c r="L335" s="125"/>
      <c r="M335" s="126"/>
      <c r="N335" s="127"/>
      <c r="O335" s="127"/>
    </row>
    <row r="336">
      <c r="A336" s="69" t="s">
        <v>6363</v>
      </c>
      <c r="B336" s="69" t="s">
        <v>5473</v>
      </c>
      <c r="C336" s="112" t="s">
        <v>6364</v>
      </c>
      <c r="D336" s="69"/>
      <c r="E336" s="69" t="s">
        <v>6365</v>
      </c>
      <c r="F336" s="69" t="s">
        <v>6366</v>
      </c>
      <c r="G336" s="69" t="s">
        <v>19</v>
      </c>
      <c r="H336" s="119"/>
      <c r="I336" s="114" t="str">
        <f t="array" ref="I336">XLOOKUP(G336,KLUS!$A$2:$A$2010,KLUS!$E$2:$E$2010)+XLOOKUP(H336,KLUS!$A$2:$A$2010,KLUS!$E$2:$E$2010)</f>
        <v>#N/A</v>
      </c>
      <c r="J336" s="114" t="str">
        <f t="shared" si="1"/>
        <v>#N/A</v>
      </c>
      <c r="K336" s="115" t="str">
        <f t="shared" si="2"/>
        <v>#N/A</v>
      </c>
      <c r="L336" s="125"/>
      <c r="M336" s="126"/>
      <c r="N336" s="127"/>
      <c r="O336" s="127"/>
    </row>
    <row r="337">
      <c r="A337" s="69" t="s">
        <v>6367</v>
      </c>
      <c r="B337" s="69" t="s">
        <v>5473</v>
      </c>
      <c r="C337" s="112" t="s">
        <v>6368</v>
      </c>
      <c r="D337" s="69"/>
      <c r="E337" s="69" t="s">
        <v>4555</v>
      </c>
      <c r="F337" s="69" t="s">
        <v>6369</v>
      </c>
      <c r="G337" s="69" t="s">
        <v>26</v>
      </c>
      <c r="H337" s="119"/>
      <c r="I337" s="114" t="str">
        <f t="array" ref="I337">XLOOKUP(G337,KLUS!$A$2:$A$2010,KLUS!$E$2:$E$2010)+XLOOKUP(H337,KLUS!$A$2:$A$2010,KLUS!$E$2:$E$2010)</f>
        <v>#N/A</v>
      </c>
      <c r="J337" s="114" t="str">
        <f t="shared" si="1"/>
        <v>#N/A</v>
      </c>
      <c r="K337" s="115" t="str">
        <f t="shared" si="2"/>
        <v>#N/A</v>
      </c>
      <c r="L337" s="125"/>
      <c r="M337" s="126"/>
      <c r="N337" s="127"/>
      <c r="O337" s="127"/>
    </row>
    <row r="338">
      <c r="A338" s="69" t="s">
        <v>6370</v>
      </c>
      <c r="B338" s="69" t="s">
        <v>5473</v>
      </c>
      <c r="C338" s="112" t="s">
        <v>6371</v>
      </c>
      <c r="D338" s="69"/>
      <c r="E338" s="69" t="s">
        <v>4557</v>
      </c>
      <c r="F338" s="69" t="s">
        <v>6372</v>
      </c>
      <c r="G338" s="69" t="s">
        <v>22</v>
      </c>
      <c r="H338" s="119"/>
      <c r="I338" s="114" t="str">
        <f t="array" ref="I338">XLOOKUP(G338,KLUS!$A$2:$A$2010,KLUS!$E$2:$E$2010)+XLOOKUP(H338,KLUS!$A$2:$A$2010,KLUS!$E$2:$E$2010)</f>
        <v>#N/A</v>
      </c>
      <c r="J338" s="114" t="str">
        <f t="shared" si="1"/>
        <v>#N/A</v>
      </c>
      <c r="K338" s="115" t="str">
        <f t="shared" si="2"/>
        <v>#N/A</v>
      </c>
      <c r="L338" s="125"/>
      <c r="M338" s="126"/>
      <c r="N338" s="127"/>
      <c r="O338" s="127"/>
    </row>
    <row r="339">
      <c r="A339" s="69" t="s">
        <v>6373</v>
      </c>
      <c r="B339" s="69" t="s">
        <v>5473</v>
      </c>
      <c r="C339" s="112" t="s">
        <v>6374</v>
      </c>
      <c r="D339" s="69"/>
      <c r="E339" s="69" t="s">
        <v>4559</v>
      </c>
      <c r="F339" s="69" t="s">
        <v>6375</v>
      </c>
      <c r="G339" s="69" t="s">
        <v>29</v>
      </c>
      <c r="H339" s="119"/>
      <c r="I339" s="114" t="str">
        <f t="array" ref="I339">XLOOKUP(G339,KLUS!$A$2:$A$2010,KLUS!$E$2:$E$2010)+XLOOKUP(H339,KLUS!$A$2:$A$2010,KLUS!$E$2:$E$2010)</f>
        <v>#N/A</v>
      </c>
      <c r="J339" s="114" t="str">
        <f t="shared" si="1"/>
        <v>#N/A</v>
      </c>
      <c r="K339" s="115" t="str">
        <f t="shared" si="2"/>
        <v>#N/A</v>
      </c>
      <c r="L339" s="125"/>
      <c r="M339" s="126"/>
      <c r="N339" s="127"/>
      <c r="O339" s="127"/>
    </row>
    <row r="340">
      <c r="A340" s="69" t="s">
        <v>6376</v>
      </c>
      <c r="B340" s="69" t="s">
        <v>5473</v>
      </c>
      <c r="C340" s="112" t="s">
        <v>5956</v>
      </c>
      <c r="D340" s="69"/>
      <c r="E340" s="69" t="s">
        <v>4561</v>
      </c>
      <c r="F340" s="69" t="s">
        <v>6377</v>
      </c>
      <c r="G340" s="69" t="s">
        <v>24</v>
      </c>
      <c r="H340" s="119"/>
      <c r="I340" s="114" t="str">
        <f t="array" ref="I340">XLOOKUP(G340,KLUS!$A$2:$A$2010,KLUS!$E$2:$E$2010)+XLOOKUP(H340,KLUS!$A$2:$A$2010,KLUS!$E$2:$E$2010)</f>
        <v>#N/A</v>
      </c>
      <c r="J340" s="114" t="str">
        <f t="shared" si="1"/>
        <v>#N/A</v>
      </c>
      <c r="K340" s="115" t="str">
        <f t="shared" si="2"/>
        <v>#N/A</v>
      </c>
      <c r="L340" s="125"/>
      <c r="M340" s="126"/>
      <c r="N340" s="127"/>
      <c r="O340" s="127"/>
    </row>
    <row r="341">
      <c r="A341" s="69" t="s">
        <v>6378</v>
      </c>
      <c r="B341" s="69" t="s">
        <v>5473</v>
      </c>
      <c r="C341" s="112" t="s">
        <v>6126</v>
      </c>
      <c r="D341" s="69"/>
      <c r="E341" s="69" t="s">
        <v>4563</v>
      </c>
      <c r="F341" s="69" t="s">
        <v>6379</v>
      </c>
      <c r="G341" s="69" t="s">
        <v>31</v>
      </c>
      <c r="H341" s="119"/>
      <c r="I341" s="114" t="str">
        <f t="array" ref="I341">XLOOKUP(G341,KLUS!$A$2:$A$2010,KLUS!$E$2:$E$2010)+XLOOKUP(H341,KLUS!$A$2:$A$2010,KLUS!$E$2:$E$2010)</f>
        <v>#N/A</v>
      </c>
      <c r="J341" s="114" t="str">
        <f t="shared" si="1"/>
        <v>#N/A</v>
      </c>
      <c r="K341" s="115" t="str">
        <f t="shared" si="2"/>
        <v>#N/A</v>
      </c>
      <c r="L341" s="125"/>
      <c r="M341" s="126"/>
      <c r="N341" s="127"/>
      <c r="O341" s="127"/>
    </row>
    <row r="342">
      <c r="A342" s="69" t="s">
        <v>4564</v>
      </c>
      <c r="B342" s="69" t="s">
        <v>5473</v>
      </c>
      <c r="C342" s="112" t="s">
        <v>6380</v>
      </c>
      <c r="D342" s="69"/>
      <c r="E342" s="69" t="s">
        <v>6381</v>
      </c>
      <c r="F342" s="69" t="s">
        <v>6382</v>
      </c>
      <c r="G342" s="69" t="s">
        <v>51</v>
      </c>
      <c r="H342" s="119"/>
      <c r="I342" s="114" t="str">
        <f t="array" ref="I342">XLOOKUP(G342,KLUS!$A$2:$A$2010,KLUS!$E$2:$E$2010)+XLOOKUP(H342,KLUS!$A$2:$A$2010,KLUS!$E$2:$E$2010)</f>
        <v>#N/A</v>
      </c>
      <c r="J342" s="114" t="str">
        <f t="shared" si="1"/>
        <v>#N/A</v>
      </c>
      <c r="K342" s="115" t="str">
        <f t="shared" si="2"/>
        <v>#N/A</v>
      </c>
      <c r="L342" s="125"/>
      <c r="M342" s="126"/>
      <c r="N342" s="127"/>
      <c r="O342" s="127"/>
    </row>
    <row r="343">
      <c r="A343" s="69" t="s">
        <v>4566</v>
      </c>
      <c r="B343" s="69" t="s">
        <v>5473</v>
      </c>
      <c r="C343" s="112" t="s">
        <v>5487</v>
      </c>
      <c r="D343" s="69"/>
      <c r="E343" s="69" t="s">
        <v>4567</v>
      </c>
      <c r="F343" s="69" t="s">
        <v>6383</v>
      </c>
      <c r="G343" s="69" t="s">
        <v>54</v>
      </c>
      <c r="H343" s="119"/>
      <c r="I343" s="114" t="str">
        <f t="array" ref="I343">XLOOKUP(G343,KLUS!$A$2:$A$2010,KLUS!$E$2:$E$2010)+XLOOKUP(H343,KLUS!$A$2:$A$2010,KLUS!$E$2:$E$2010)</f>
        <v>#N/A</v>
      </c>
      <c r="J343" s="114" t="str">
        <f t="shared" si="1"/>
        <v>#N/A</v>
      </c>
      <c r="K343" s="115" t="str">
        <f t="shared" si="2"/>
        <v>#N/A</v>
      </c>
      <c r="L343" s="125"/>
      <c r="M343" s="126"/>
      <c r="N343" s="127"/>
      <c r="O343" s="127"/>
    </row>
    <row r="344">
      <c r="A344" s="69" t="s">
        <v>4568</v>
      </c>
      <c r="B344" s="69" t="s">
        <v>5473</v>
      </c>
      <c r="C344" s="112" t="s">
        <v>5835</v>
      </c>
      <c r="D344" s="69"/>
      <c r="E344" s="69" t="s">
        <v>4569</v>
      </c>
      <c r="F344" s="69" t="s">
        <v>6384</v>
      </c>
      <c r="G344" s="69" t="s">
        <v>56</v>
      </c>
      <c r="H344" s="119"/>
      <c r="I344" s="114" t="str">
        <f t="array" ref="I344">XLOOKUP(G344,KLUS!$A$2:$A$2010,KLUS!$E$2:$E$2010)+XLOOKUP(H344,KLUS!$A$2:$A$2010,KLUS!$E$2:$E$2010)</f>
        <v>#N/A</v>
      </c>
      <c r="J344" s="114" t="str">
        <f t="shared" si="1"/>
        <v>#N/A</v>
      </c>
      <c r="K344" s="115" t="str">
        <f t="shared" si="2"/>
        <v>#N/A</v>
      </c>
      <c r="L344" s="125"/>
      <c r="M344" s="126"/>
      <c r="N344" s="127"/>
      <c r="O344" s="127"/>
    </row>
    <row r="345">
      <c r="A345" s="69" t="s">
        <v>4570</v>
      </c>
      <c r="B345" s="69" t="s">
        <v>5473</v>
      </c>
      <c r="C345" s="112" t="s">
        <v>6385</v>
      </c>
      <c r="D345" s="69"/>
      <c r="E345" s="69" t="s">
        <v>4571</v>
      </c>
      <c r="F345" s="69" t="s">
        <v>6386</v>
      </c>
      <c r="G345" s="69" t="s">
        <v>525</v>
      </c>
      <c r="H345" s="119"/>
      <c r="I345" s="114" t="str">
        <f t="array" ref="I345">XLOOKUP(G345,KLUS!$A$2:$A$2010,KLUS!$E$2:$E$2010)+XLOOKUP(H345,KLUS!$A$2:$A$2010,KLUS!$E$2:$E$2010)</f>
        <v>#N/A</v>
      </c>
      <c r="J345" s="114" t="str">
        <f t="shared" si="1"/>
        <v>#N/A</v>
      </c>
      <c r="K345" s="115" t="str">
        <f t="shared" si="2"/>
        <v>#N/A</v>
      </c>
      <c r="L345" s="125"/>
      <c r="M345" s="126"/>
      <c r="N345" s="127"/>
      <c r="O345" s="127"/>
    </row>
    <row r="346">
      <c r="A346" s="69" t="s">
        <v>6387</v>
      </c>
      <c r="B346" s="69" t="s">
        <v>5473</v>
      </c>
      <c r="C346" s="112" t="s">
        <v>6388</v>
      </c>
      <c r="D346" s="69"/>
      <c r="E346" s="69" t="s">
        <v>6389</v>
      </c>
      <c r="F346" s="118"/>
      <c r="G346" s="69" t="s">
        <v>525</v>
      </c>
      <c r="H346" s="116" t="s">
        <v>1363</v>
      </c>
      <c r="I346" s="114">
        <f t="array" ref="I346">XLOOKUP(G346,KLUS!$A$2:$A$2010,KLUS!$E$2:$E$2010)+XLOOKUP(H346,KLUS!$A$2:$A$2010,KLUS!$E$2:$E$2010)</f>
        <v>30.6</v>
      </c>
      <c r="J346" s="114">
        <f t="shared" si="1"/>
        <v>27.54</v>
      </c>
      <c r="K346" s="115">
        <f t="shared" si="2"/>
        <v>22.032</v>
      </c>
      <c r="L346" s="125"/>
      <c r="M346" s="126"/>
      <c r="N346" s="127"/>
      <c r="O346" s="127"/>
    </row>
    <row r="347">
      <c r="A347" s="69" t="s">
        <v>4574</v>
      </c>
      <c r="B347" s="69" t="s">
        <v>5473</v>
      </c>
      <c r="C347" s="112" t="s">
        <v>6390</v>
      </c>
      <c r="D347" s="69"/>
      <c r="E347" s="69" t="s">
        <v>4575</v>
      </c>
      <c r="F347" s="69" t="s">
        <v>6391</v>
      </c>
      <c r="G347" s="69" t="s">
        <v>6392</v>
      </c>
      <c r="H347" s="119"/>
      <c r="I347" s="114" t="str">
        <f t="array" ref="I347">XLOOKUP(G347,KLUS!$A$2:$A$2010,KLUS!$E$2:$E$2010)+XLOOKUP(H347,KLUS!$A$2:$A$2010,KLUS!$E$2:$E$2010)</f>
        <v>#N/A</v>
      </c>
      <c r="J347" s="114" t="str">
        <f t="shared" si="1"/>
        <v>#N/A</v>
      </c>
      <c r="K347" s="115" t="str">
        <f t="shared" si="2"/>
        <v>#N/A</v>
      </c>
      <c r="L347" s="125"/>
      <c r="M347" s="126"/>
      <c r="N347" s="127"/>
      <c r="O347" s="127"/>
    </row>
    <row r="348">
      <c r="A348" s="69" t="s">
        <v>4576</v>
      </c>
      <c r="B348" s="69" t="s">
        <v>5473</v>
      </c>
      <c r="C348" s="112" t="s">
        <v>6393</v>
      </c>
      <c r="D348" s="69"/>
      <c r="E348" s="69" t="s">
        <v>4577</v>
      </c>
      <c r="F348" s="69" t="s">
        <v>6394</v>
      </c>
      <c r="G348" s="69" t="s">
        <v>6395</v>
      </c>
      <c r="H348" s="119"/>
      <c r="I348" s="114" t="str">
        <f t="array" ref="I348">XLOOKUP(G348,KLUS!$A$2:$A$2010,KLUS!$E$2:$E$2010)+XLOOKUP(H348,KLUS!$A$2:$A$2010,KLUS!$E$2:$E$2010)</f>
        <v>#N/A</v>
      </c>
      <c r="J348" s="114" t="str">
        <f t="shared" si="1"/>
        <v>#N/A</v>
      </c>
      <c r="K348" s="115" t="str">
        <f t="shared" si="2"/>
        <v>#N/A</v>
      </c>
      <c r="L348" s="125"/>
      <c r="M348" s="126"/>
      <c r="N348" s="127"/>
      <c r="O348" s="127"/>
    </row>
    <row r="349">
      <c r="A349" s="69" t="s">
        <v>6396</v>
      </c>
      <c r="B349" s="69" t="s">
        <v>5473</v>
      </c>
      <c r="C349" s="112" t="s">
        <v>6397</v>
      </c>
      <c r="D349" s="69"/>
      <c r="E349" s="69" t="s">
        <v>721</v>
      </c>
      <c r="F349" s="69" t="s">
        <v>6398</v>
      </c>
      <c r="G349" s="69" t="s">
        <v>721</v>
      </c>
      <c r="H349" s="119"/>
      <c r="I349" s="114" t="str">
        <f t="array" ref="I349">XLOOKUP(G349,KLUS!$A$2:$A$2010,KLUS!$E$2:$E$2010)+XLOOKUP(H349,KLUS!$A$2:$A$2010,KLUS!$E$2:$E$2010)</f>
        <v>#N/A</v>
      </c>
      <c r="J349" s="114" t="str">
        <f t="shared" si="1"/>
        <v>#N/A</v>
      </c>
      <c r="K349" s="115" t="str">
        <f t="shared" si="2"/>
        <v>#N/A</v>
      </c>
      <c r="L349" s="125"/>
      <c r="M349" s="126"/>
      <c r="N349" s="127"/>
      <c r="O349" s="127"/>
    </row>
    <row r="350">
      <c r="A350" s="69" t="s">
        <v>6399</v>
      </c>
      <c r="B350" s="69" t="s">
        <v>5473</v>
      </c>
      <c r="C350" s="112" t="s">
        <v>5510</v>
      </c>
      <c r="D350" s="69"/>
      <c r="E350" s="69" t="s">
        <v>6400</v>
      </c>
      <c r="F350" s="69" t="s">
        <v>6401</v>
      </c>
      <c r="G350" s="69" t="s">
        <v>721</v>
      </c>
      <c r="H350" s="113" t="s">
        <v>6402</v>
      </c>
      <c r="I350" s="114" t="str">
        <f t="array" ref="I350">XLOOKUP(G350,KLUS!$A$2:$A$2010,KLUS!$E$2:$E$2010)+XLOOKUP(H350,KLUS!$A$2:$A$2010,KLUS!$E$2:$E$2010)</f>
        <v>#N/A</v>
      </c>
      <c r="J350" s="114" t="str">
        <f t="shared" si="1"/>
        <v>#N/A</v>
      </c>
      <c r="K350" s="115" t="str">
        <f t="shared" si="2"/>
        <v>#N/A</v>
      </c>
      <c r="L350" s="125"/>
      <c r="M350" s="126"/>
      <c r="N350" s="127"/>
      <c r="O350" s="127"/>
    </row>
    <row r="351">
      <c r="A351" s="69" t="s">
        <v>6403</v>
      </c>
      <c r="B351" s="69" t="s">
        <v>5473</v>
      </c>
      <c r="C351" s="112" t="s">
        <v>6404</v>
      </c>
      <c r="D351" s="69"/>
      <c r="E351" s="69" t="s">
        <v>6405</v>
      </c>
      <c r="F351" s="118"/>
      <c r="G351" s="69" t="s">
        <v>6405</v>
      </c>
      <c r="H351" s="119"/>
      <c r="I351" s="114" t="str">
        <f t="array" ref="I351">XLOOKUP(G351,KLUS!$A$2:$A$2010,KLUS!$E$2:$E$2010)+XLOOKUP(H351,KLUS!$A$2:$A$2010,KLUS!$E$2:$E$2010)</f>
        <v>#N/A</v>
      </c>
      <c r="J351" s="114" t="str">
        <f t="shared" si="1"/>
        <v>#N/A</v>
      </c>
      <c r="K351" s="115" t="str">
        <f t="shared" si="2"/>
        <v>#N/A</v>
      </c>
      <c r="L351" s="125"/>
      <c r="M351" s="126"/>
      <c r="N351" s="127"/>
      <c r="O351" s="127"/>
    </row>
    <row r="352">
      <c r="A352" s="69" t="s">
        <v>6406</v>
      </c>
      <c r="B352" s="69" t="s">
        <v>5473</v>
      </c>
      <c r="C352" s="112" t="s">
        <v>5985</v>
      </c>
      <c r="D352" s="69"/>
      <c r="E352" s="69" t="s">
        <v>724</v>
      </c>
      <c r="F352" s="69" t="s">
        <v>6407</v>
      </c>
      <c r="G352" s="69" t="s">
        <v>724</v>
      </c>
      <c r="H352" s="119"/>
      <c r="I352" s="114" t="str">
        <f t="array" ref="I352">XLOOKUP(G352,KLUS!$A$2:$A$2010,KLUS!$E$2:$E$2010)+XLOOKUP(H352,KLUS!$A$2:$A$2010,KLUS!$E$2:$E$2010)</f>
        <v>#N/A</v>
      </c>
      <c r="J352" s="114" t="str">
        <f t="shared" si="1"/>
        <v>#N/A</v>
      </c>
      <c r="K352" s="115" t="str">
        <f t="shared" si="2"/>
        <v>#N/A</v>
      </c>
      <c r="L352" s="125"/>
      <c r="M352" s="126"/>
      <c r="N352" s="127"/>
      <c r="O352" s="127"/>
    </row>
    <row r="353">
      <c r="A353" s="69" t="s">
        <v>6408</v>
      </c>
      <c r="B353" s="69" t="s">
        <v>5473</v>
      </c>
      <c r="C353" s="112" t="s">
        <v>5510</v>
      </c>
      <c r="D353" s="69"/>
      <c r="E353" s="69" t="s">
        <v>6409</v>
      </c>
      <c r="F353" s="118"/>
      <c r="G353" s="69" t="s">
        <v>724</v>
      </c>
      <c r="H353" s="116" t="s">
        <v>6402</v>
      </c>
      <c r="I353" s="114" t="str">
        <f t="array" ref="I353">XLOOKUP(G353,KLUS!$A$2:$A$2010,KLUS!$E$2:$E$2010)+XLOOKUP(H353,KLUS!$A$2:$A$2010,KLUS!$E$2:$E$2010)</f>
        <v>#N/A</v>
      </c>
      <c r="J353" s="114" t="str">
        <f t="shared" si="1"/>
        <v>#N/A</v>
      </c>
      <c r="K353" s="115" t="str">
        <f t="shared" si="2"/>
        <v>#N/A</v>
      </c>
      <c r="L353" s="125"/>
      <c r="M353" s="126"/>
      <c r="N353" s="127"/>
      <c r="O353" s="127"/>
    </row>
    <row r="354">
      <c r="A354" s="69" t="s">
        <v>4585</v>
      </c>
      <c r="B354" s="69" t="s">
        <v>5473</v>
      </c>
      <c r="C354" s="112" t="s">
        <v>5489</v>
      </c>
      <c r="D354" s="69"/>
      <c r="E354" s="69" t="s">
        <v>6410</v>
      </c>
      <c r="F354" s="69" t="s">
        <v>6411</v>
      </c>
      <c r="G354" s="69" t="s">
        <v>6410</v>
      </c>
      <c r="H354" s="119"/>
      <c r="I354" s="114" t="str">
        <f t="array" ref="I354">XLOOKUP(G354,KLUS!$A$2:$A$2010,KLUS!$E$2:$E$2010)+XLOOKUP(H354,KLUS!$A$2:$A$2010,KLUS!$E$2:$E$2010)</f>
        <v>#N/A</v>
      </c>
      <c r="J354" s="114" t="str">
        <f t="shared" si="1"/>
        <v>#N/A</v>
      </c>
      <c r="K354" s="115" t="str">
        <f t="shared" si="2"/>
        <v>#N/A</v>
      </c>
      <c r="L354" s="125"/>
      <c r="M354" s="126"/>
      <c r="N354" s="127"/>
      <c r="O354" s="127"/>
    </row>
    <row r="355">
      <c r="A355" s="69" t="s">
        <v>6412</v>
      </c>
      <c r="B355" s="69" t="s">
        <v>5473</v>
      </c>
      <c r="C355" s="112" t="s">
        <v>6413</v>
      </c>
      <c r="D355" s="69"/>
      <c r="E355" s="69" t="s">
        <v>4587</v>
      </c>
      <c r="F355" s="69" t="s">
        <v>6414</v>
      </c>
      <c r="G355" s="69" t="s">
        <v>753</v>
      </c>
      <c r="H355" s="119"/>
      <c r="I355" s="114" t="str">
        <f t="array" ref="I355">XLOOKUP(G355,KLUS!$A$2:$A$2010,KLUS!$E$2:$E$2010)+XLOOKUP(H355,KLUS!$A$2:$A$2010,KLUS!$E$2:$E$2010)</f>
        <v>#N/A</v>
      </c>
      <c r="J355" s="114" t="str">
        <f t="shared" si="1"/>
        <v>#N/A</v>
      </c>
      <c r="K355" s="115" t="str">
        <f t="shared" si="2"/>
        <v>#N/A</v>
      </c>
      <c r="L355" s="125"/>
      <c r="M355" s="126"/>
      <c r="N355" s="127"/>
      <c r="O355" s="127"/>
    </row>
    <row r="356">
      <c r="A356" s="69" t="s">
        <v>6415</v>
      </c>
      <c r="B356" s="69" t="s">
        <v>5473</v>
      </c>
      <c r="C356" s="112" t="s">
        <v>6416</v>
      </c>
      <c r="D356" s="69"/>
      <c r="E356" s="69" t="s">
        <v>4589</v>
      </c>
      <c r="F356" s="69" t="s">
        <v>6417</v>
      </c>
      <c r="G356" s="69" t="s">
        <v>756</v>
      </c>
      <c r="H356" s="119"/>
      <c r="I356" s="114" t="str">
        <f t="array" ref="I356">XLOOKUP(G356,KLUS!$A$2:$A$2010,KLUS!$E$2:$E$2010)+XLOOKUP(H356,KLUS!$A$2:$A$2010,KLUS!$E$2:$E$2010)</f>
        <v>#N/A</v>
      </c>
      <c r="J356" s="114" t="str">
        <f t="shared" si="1"/>
        <v>#N/A</v>
      </c>
      <c r="K356" s="115" t="str">
        <f t="shared" si="2"/>
        <v>#N/A</v>
      </c>
      <c r="L356" s="125"/>
      <c r="M356" s="126"/>
      <c r="N356" s="127"/>
      <c r="O356" s="127"/>
    </row>
    <row r="357">
      <c r="A357" s="69" t="s">
        <v>6418</v>
      </c>
      <c r="B357" s="69" t="s">
        <v>5473</v>
      </c>
      <c r="C357" s="112" t="s">
        <v>6419</v>
      </c>
      <c r="D357" s="69"/>
      <c r="E357" s="69" t="s">
        <v>6420</v>
      </c>
      <c r="F357" s="69" t="s">
        <v>6421</v>
      </c>
      <c r="G357" s="69" t="s">
        <v>758</v>
      </c>
      <c r="H357" s="119"/>
      <c r="I357" s="114" t="str">
        <f t="array" ref="I357">XLOOKUP(G357,KLUS!$A$2:$A$2010,KLUS!$E$2:$E$2010)+XLOOKUP(H357,KLUS!$A$2:$A$2010,KLUS!$E$2:$E$2010)</f>
        <v>#N/A</v>
      </c>
      <c r="J357" s="114" t="str">
        <f t="shared" si="1"/>
        <v>#N/A</v>
      </c>
      <c r="K357" s="115" t="str">
        <f t="shared" si="2"/>
        <v>#N/A</v>
      </c>
      <c r="L357" s="125"/>
      <c r="M357" s="126"/>
      <c r="N357" s="127"/>
      <c r="O357" s="127"/>
    </row>
    <row r="358">
      <c r="A358" s="69" t="s">
        <v>4592</v>
      </c>
      <c r="B358" s="69" t="s">
        <v>5473</v>
      </c>
      <c r="C358" s="112" t="s">
        <v>6422</v>
      </c>
      <c r="D358" s="69"/>
      <c r="E358" s="69" t="s">
        <v>995</v>
      </c>
      <c r="F358" s="69" t="s">
        <v>6423</v>
      </c>
      <c r="G358" s="69" t="s">
        <v>995</v>
      </c>
      <c r="H358" s="119"/>
      <c r="I358" s="114" t="str">
        <f t="array" ref="I358">XLOOKUP(G358,KLUS!$A$2:$A$2010,KLUS!$E$2:$E$2010)+XLOOKUP(H358,KLUS!$A$2:$A$2010,KLUS!$E$2:$E$2010)</f>
        <v>#N/A</v>
      </c>
      <c r="J358" s="114" t="str">
        <f t="shared" si="1"/>
        <v>#N/A</v>
      </c>
      <c r="K358" s="115" t="str">
        <f t="shared" si="2"/>
        <v>#N/A</v>
      </c>
      <c r="L358" s="125"/>
      <c r="M358" s="126"/>
      <c r="N358" s="127"/>
      <c r="O358" s="127"/>
    </row>
    <row r="359">
      <c r="A359" s="69" t="s">
        <v>4593</v>
      </c>
      <c r="B359" s="69" t="s">
        <v>5473</v>
      </c>
      <c r="C359" s="112" t="s">
        <v>6424</v>
      </c>
      <c r="D359" s="69"/>
      <c r="E359" s="69" t="s">
        <v>1000</v>
      </c>
      <c r="F359" s="69" t="s">
        <v>6425</v>
      </c>
      <c r="G359" s="69" t="s">
        <v>1000</v>
      </c>
      <c r="H359" s="119"/>
      <c r="I359" s="114" t="str">
        <f t="array" ref="I359">XLOOKUP(G359,KLUS!$A$2:$A$2010,KLUS!$E$2:$E$2010)+XLOOKUP(H359,KLUS!$A$2:$A$2010,KLUS!$E$2:$E$2010)</f>
        <v>#N/A</v>
      </c>
      <c r="J359" s="114" t="str">
        <f t="shared" si="1"/>
        <v>#N/A</v>
      </c>
      <c r="K359" s="115" t="str">
        <f t="shared" si="2"/>
        <v>#N/A</v>
      </c>
      <c r="L359" s="125"/>
      <c r="M359" s="126"/>
      <c r="N359" s="127"/>
      <c r="O359" s="127"/>
    </row>
    <row r="360">
      <c r="A360" s="69" t="s">
        <v>4594</v>
      </c>
      <c r="B360" s="69" t="s">
        <v>5473</v>
      </c>
      <c r="C360" s="112" t="s">
        <v>6426</v>
      </c>
      <c r="D360" s="69"/>
      <c r="E360" s="69" t="s">
        <v>1047</v>
      </c>
      <c r="F360" s="69" t="s">
        <v>6427</v>
      </c>
      <c r="G360" s="69" t="s">
        <v>1047</v>
      </c>
      <c r="H360" s="119"/>
      <c r="I360" s="114" t="str">
        <f t="array" ref="I360">XLOOKUP(G360,KLUS!$A$2:$A$2010,KLUS!$E$2:$E$2010)+XLOOKUP(H360,KLUS!$A$2:$A$2010,KLUS!$E$2:$E$2010)</f>
        <v>#N/A</v>
      </c>
      <c r="J360" s="114" t="str">
        <f t="shared" si="1"/>
        <v>#N/A</v>
      </c>
      <c r="K360" s="115" t="str">
        <f t="shared" si="2"/>
        <v>#N/A</v>
      </c>
      <c r="L360" s="125"/>
      <c r="M360" s="126"/>
      <c r="N360" s="127"/>
      <c r="O360" s="127"/>
    </row>
    <row r="361">
      <c r="A361" s="69" t="s">
        <v>6428</v>
      </c>
      <c r="B361" s="69" t="s">
        <v>5473</v>
      </c>
      <c r="C361" s="112" t="s">
        <v>6429</v>
      </c>
      <c r="D361" s="69"/>
      <c r="E361" s="69" t="s">
        <v>4597</v>
      </c>
      <c r="F361" s="69" t="s">
        <v>6430</v>
      </c>
      <c r="G361" s="69" t="s">
        <v>194</v>
      </c>
      <c r="H361" s="119"/>
      <c r="I361" s="114" t="str">
        <f t="array" ref="I361">XLOOKUP(G361,KLUS!$A$2:$A$2010,KLUS!$E$2:$E$2010)+XLOOKUP(H361,KLUS!$A$2:$A$2010,KLUS!$E$2:$E$2010)</f>
        <v>#N/A</v>
      </c>
      <c r="J361" s="114" t="str">
        <f t="shared" si="1"/>
        <v>#N/A</v>
      </c>
      <c r="K361" s="115" t="str">
        <f t="shared" si="2"/>
        <v>#N/A</v>
      </c>
      <c r="L361" s="125"/>
      <c r="M361" s="126"/>
      <c r="N361" s="127"/>
      <c r="O361" s="127"/>
    </row>
    <row r="362">
      <c r="A362" s="69" t="s">
        <v>6431</v>
      </c>
      <c r="B362" s="69" t="s">
        <v>5473</v>
      </c>
      <c r="C362" s="112" t="s">
        <v>6432</v>
      </c>
      <c r="D362" s="69"/>
      <c r="E362" s="69" t="s">
        <v>4599</v>
      </c>
      <c r="F362" s="118"/>
      <c r="G362" s="69" t="s">
        <v>194</v>
      </c>
      <c r="H362" s="116" t="s">
        <v>1300</v>
      </c>
      <c r="I362" s="114">
        <f t="array" ref="I362">XLOOKUP(G362,KLUS!$A$2:$A$2010,KLUS!$E$2:$E$2010)+XLOOKUP(H362,KLUS!$A$2:$A$2010,KLUS!$E$2:$E$2010)</f>
        <v>55.3</v>
      </c>
      <c r="J362" s="114">
        <f t="shared" si="1"/>
        <v>49.77</v>
      </c>
      <c r="K362" s="115">
        <f t="shared" si="2"/>
        <v>39.816</v>
      </c>
      <c r="L362" s="125"/>
      <c r="M362" s="126"/>
      <c r="N362" s="127"/>
      <c r="O362" s="127"/>
    </row>
    <row r="363">
      <c r="A363" s="69" t="s">
        <v>6433</v>
      </c>
      <c r="B363" s="69" t="s">
        <v>5473</v>
      </c>
      <c r="C363" s="112" t="s">
        <v>6434</v>
      </c>
      <c r="D363" s="69"/>
      <c r="E363" s="69" t="s">
        <v>4601</v>
      </c>
      <c r="F363" s="69" t="s">
        <v>6435</v>
      </c>
      <c r="G363" s="69" t="s">
        <v>197</v>
      </c>
      <c r="H363" s="119"/>
      <c r="I363" s="114" t="str">
        <f t="array" ref="I363">XLOOKUP(G363,KLUS!$A$2:$A$2010,KLUS!$E$2:$E$2010)+XLOOKUP(H363,KLUS!$A$2:$A$2010,KLUS!$E$2:$E$2010)</f>
        <v>#N/A</v>
      </c>
      <c r="J363" s="114" t="str">
        <f t="shared" si="1"/>
        <v>#N/A</v>
      </c>
      <c r="K363" s="115" t="str">
        <f t="shared" si="2"/>
        <v>#N/A</v>
      </c>
      <c r="L363" s="125"/>
      <c r="M363" s="126"/>
      <c r="N363" s="127"/>
      <c r="O363" s="127"/>
    </row>
    <row r="364">
      <c r="A364" s="69" t="s">
        <v>6436</v>
      </c>
      <c r="B364" s="69" t="s">
        <v>5473</v>
      </c>
      <c r="C364" s="112" t="s">
        <v>6437</v>
      </c>
      <c r="D364" s="69"/>
      <c r="E364" s="69" t="s">
        <v>4606</v>
      </c>
      <c r="F364" s="118"/>
      <c r="G364" s="69" t="s">
        <v>197</v>
      </c>
      <c r="H364" s="113" t="s">
        <v>1303</v>
      </c>
      <c r="I364" s="114">
        <f t="array" ref="I364">XLOOKUP(G364,KLUS!$A$2:$A$2010,KLUS!$E$2:$E$2010)+XLOOKUP(H364,KLUS!$A$2:$A$2010,KLUS!$E$2:$E$2010)</f>
        <v>110.6</v>
      </c>
      <c r="J364" s="114">
        <f t="shared" si="1"/>
        <v>99.54</v>
      </c>
      <c r="K364" s="115">
        <f t="shared" si="2"/>
        <v>79.632</v>
      </c>
      <c r="L364" s="125"/>
      <c r="M364" s="126"/>
      <c r="N364" s="127"/>
      <c r="O364" s="127"/>
    </row>
    <row r="365">
      <c r="A365" s="69" t="s">
        <v>4604</v>
      </c>
      <c r="B365" s="69" t="s">
        <v>5473</v>
      </c>
      <c r="C365" s="112" t="s">
        <v>6360</v>
      </c>
      <c r="D365" s="69"/>
      <c r="E365" s="69" t="s">
        <v>6438</v>
      </c>
      <c r="F365" s="69" t="s">
        <v>6439</v>
      </c>
      <c r="G365" s="69" t="s">
        <v>6440</v>
      </c>
      <c r="H365" s="119"/>
      <c r="I365" s="114" t="str">
        <f t="array" ref="I365">XLOOKUP(G365,KLUS!$A$2:$A$2010,KLUS!$E$2:$E$2010)+XLOOKUP(H365,KLUS!$A$2:$A$2010,KLUS!$E$2:$E$2010)</f>
        <v>#N/A</v>
      </c>
      <c r="J365" s="114" t="str">
        <f t="shared" si="1"/>
        <v>#N/A</v>
      </c>
      <c r="K365" s="115" t="str">
        <f t="shared" si="2"/>
        <v>#N/A</v>
      </c>
      <c r="L365" s="125"/>
      <c r="M365" s="126"/>
      <c r="N365" s="127"/>
      <c r="O365" s="127"/>
    </row>
    <row r="366">
      <c r="A366" s="69" t="s">
        <v>6441</v>
      </c>
      <c r="B366" s="69" t="s">
        <v>5473</v>
      </c>
      <c r="C366" s="112" t="s">
        <v>6442</v>
      </c>
      <c r="D366" s="69"/>
      <c r="E366" s="69" t="s">
        <v>4603</v>
      </c>
      <c r="F366" s="118"/>
      <c r="G366" s="69" t="s">
        <v>6443</v>
      </c>
      <c r="H366" s="119"/>
      <c r="I366" s="114" t="str">
        <f t="array" ref="I366">XLOOKUP(G366,KLUS!$A$2:$A$2010,KLUS!$E$2:$E$2010)+XLOOKUP(H366,KLUS!$A$2:$A$2010,KLUS!$E$2:$E$2010)</f>
        <v>#N/A</v>
      </c>
      <c r="J366" s="114" t="str">
        <f t="shared" si="1"/>
        <v>#N/A</v>
      </c>
      <c r="K366" s="115" t="str">
        <f t="shared" si="2"/>
        <v>#N/A</v>
      </c>
      <c r="L366" s="125"/>
      <c r="M366" s="126"/>
      <c r="N366" s="127"/>
      <c r="O366" s="127"/>
    </row>
    <row r="367">
      <c r="A367" s="69" t="s">
        <v>6444</v>
      </c>
      <c r="B367" s="69" t="s">
        <v>5473</v>
      </c>
      <c r="C367" s="112" t="s">
        <v>6445</v>
      </c>
      <c r="D367" s="69"/>
      <c r="E367" s="69" t="s">
        <v>4608</v>
      </c>
      <c r="F367" s="69" t="s">
        <v>6446</v>
      </c>
      <c r="G367" s="69" t="s">
        <v>199</v>
      </c>
      <c r="H367" s="119"/>
      <c r="I367" s="114" t="str">
        <f t="array" ref="I367">XLOOKUP(G367,KLUS!$A$2:$A$2010,KLUS!$E$2:$E$2010)+XLOOKUP(H367,KLUS!$A$2:$A$2010,KLUS!$E$2:$E$2010)</f>
        <v>#N/A</v>
      </c>
      <c r="J367" s="114" t="str">
        <f t="shared" si="1"/>
        <v>#N/A</v>
      </c>
      <c r="K367" s="115" t="str">
        <f t="shared" si="2"/>
        <v>#N/A</v>
      </c>
      <c r="L367" s="125"/>
      <c r="M367" s="126"/>
      <c r="N367" s="127"/>
      <c r="O367" s="127"/>
    </row>
    <row r="368">
      <c r="A368" s="69" t="s">
        <v>6447</v>
      </c>
      <c r="B368" s="69" t="s">
        <v>5473</v>
      </c>
      <c r="C368" s="112" t="s">
        <v>6448</v>
      </c>
      <c r="D368" s="69"/>
      <c r="E368" s="69" t="s">
        <v>4610</v>
      </c>
      <c r="F368" s="118"/>
      <c r="G368" s="69" t="s">
        <v>199</v>
      </c>
      <c r="H368" s="113" t="s">
        <v>1305</v>
      </c>
      <c r="I368" s="114">
        <f t="array" ref="I368">XLOOKUP(G368,KLUS!$A$2:$A$2010,KLUS!$E$2:$E$2010)+XLOOKUP(H368,KLUS!$A$2:$A$2010,KLUS!$E$2:$E$2010)</f>
        <v>165.8</v>
      </c>
      <c r="J368" s="114">
        <f t="shared" si="1"/>
        <v>149.22</v>
      </c>
      <c r="K368" s="115">
        <f t="shared" si="2"/>
        <v>119.376</v>
      </c>
      <c r="L368" s="125"/>
      <c r="M368" s="126"/>
      <c r="N368" s="127"/>
      <c r="O368" s="127"/>
    </row>
    <row r="369">
      <c r="A369" s="69" t="s">
        <v>6449</v>
      </c>
      <c r="B369" s="69" t="s">
        <v>5473</v>
      </c>
      <c r="C369" s="112" t="s">
        <v>6450</v>
      </c>
      <c r="D369" s="69"/>
      <c r="E369" s="69" t="s">
        <v>4612</v>
      </c>
      <c r="F369" s="69" t="s">
        <v>6451</v>
      </c>
      <c r="G369" s="69" t="s">
        <v>1138</v>
      </c>
      <c r="H369" s="119"/>
      <c r="I369" s="114" t="str">
        <f t="array" ref="I369">XLOOKUP(G369,KLUS!$A$2:$A$2010,KLUS!$E$2:$E$2010)+XLOOKUP(H369,KLUS!$A$2:$A$2010,KLUS!$E$2:$E$2010)</f>
        <v>#N/A</v>
      </c>
      <c r="J369" s="114" t="str">
        <f t="shared" si="1"/>
        <v>#N/A</v>
      </c>
      <c r="K369" s="115" t="str">
        <f t="shared" si="2"/>
        <v>#N/A</v>
      </c>
      <c r="L369" s="125"/>
      <c r="M369" s="126"/>
      <c r="N369" s="127"/>
      <c r="O369" s="127"/>
    </row>
    <row r="370">
      <c r="A370" s="69" t="s">
        <v>6452</v>
      </c>
      <c r="B370" s="69" t="s">
        <v>5473</v>
      </c>
      <c r="C370" s="112" t="s">
        <v>6453</v>
      </c>
      <c r="D370" s="69"/>
      <c r="E370" s="69" t="s">
        <v>4614</v>
      </c>
      <c r="F370" s="118"/>
      <c r="G370" s="69" t="s">
        <v>1138</v>
      </c>
      <c r="H370" s="116" t="s">
        <v>1681</v>
      </c>
      <c r="I370" s="114">
        <f t="array" ref="I370">XLOOKUP(G370,KLUS!$A$2:$A$2010,KLUS!$E$2:$E$2010)+XLOOKUP(H370,KLUS!$A$2:$A$2010,KLUS!$E$2:$E$2010)</f>
        <v>211.2</v>
      </c>
      <c r="J370" s="114">
        <f t="shared" si="1"/>
        <v>190.08</v>
      </c>
      <c r="K370" s="115">
        <f t="shared" si="2"/>
        <v>152.064</v>
      </c>
      <c r="L370" s="125"/>
      <c r="M370" s="126"/>
      <c r="N370" s="127"/>
      <c r="O370" s="127"/>
    </row>
    <row r="371">
      <c r="A371" s="69" t="s">
        <v>6454</v>
      </c>
      <c r="B371" s="69" t="s">
        <v>5473</v>
      </c>
      <c r="C371" s="112" t="s">
        <v>6455</v>
      </c>
      <c r="D371" s="69"/>
      <c r="E371" s="69" t="s">
        <v>6456</v>
      </c>
      <c r="F371" s="118"/>
      <c r="G371" s="69" t="s">
        <v>1138</v>
      </c>
      <c r="H371" s="116" t="s">
        <v>1695</v>
      </c>
      <c r="I371" s="114">
        <f t="array" ref="I371">XLOOKUP(G371,KLUS!$A$2:$A$2010,KLUS!$E$2:$E$2010)+XLOOKUP(H371,KLUS!$A$2:$A$2010,KLUS!$E$2:$E$2010)</f>
        <v>213.4</v>
      </c>
      <c r="J371" s="114">
        <f t="shared" si="1"/>
        <v>192.06</v>
      </c>
      <c r="K371" s="115">
        <f t="shared" si="2"/>
        <v>153.648</v>
      </c>
      <c r="L371" s="125"/>
      <c r="M371" s="126"/>
      <c r="N371" s="127"/>
      <c r="O371" s="127"/>
    </row>
    <row r="372">
      <c r="A372" s="69" t="s">
        <v>6457</v>
      </c>
      <c r="B372" s="69" t="s">
        <v>5473</v>
      </c>
      <c r="C372" s="112" t="s">
        <v>6458</v>
      </c>
      <c r="D372" s="69"/>
      <c r="E372" s="69" t="s">
        <v>4618</v>
      </c>
      <c r="F372" s="69" t="s">
        <v>6459</v>
      </c>
      <c r="G372" s="69" t="s">
        <v>1141</v>
      </c>
      <c r="H372" s="119"/>
      <c r="I372" s="114" t="str">
        <f t="array" ref="I372">XLOOKUP(G372,KLUS!$A$2:$A$2010,KLUS!$E$2:$E$2010)+XLOOKUP(H372,KLUS!$A$2:$A$2010,KLUS!$E$2:$E$2010)</f>
        <v>#N/A</v>
      </c>
      <c r="J372" s="114" t="str">
        <f t="shared" si="1"/>
        <v>#N/A</v>
      </c>
      <c r="K372" s="115" t="str">
        <f t="shared" si="2"/>
        <v>#N/A</v>
      </c>
      <c r="L372" s="125"/>
      <c r="M372" s="126"/>
      <c r="N372" s="127"/>
      <c r="O372" s="127"/>
    </row>
    <row r="373">
      <c r="A373" s="69" t="s">
        <v>6460</v>
      </c>
      <c r="B373" s="69" t="s">
        <v>5473</v>
      </c>
      <c r="C373" s="112" t="s">
        <v>6461</v>
      </c>
      <c r="D373" s="69"/>
      <c r="E373" s="69" t="s">
        <v>4620</v>
      </c>
      <c r="F373" s="118"/>
      <c r="G373" s="69" t="s">
        <v>1141</v>
      </c>
      <c r="H373" s="113" t="s">
        <v>1684</v>
      </c>
      <c r="I373" s="114">
        <f t="array" ref="I373">XLOOKUP(G373,KLUS!$A$2:$A$2010,KLUS!$E$2:$E$2010)+XLOOKUP(H373,KLUS!$A$2:$A$2010,KLUS!$E$2:$E$2010)</f>
        <v>422.2</v>
      </c>
      <c r="J373" s="114">
        <f t="shared" si="1"/>
        <v>379.98</v>
      </c>
      <c r="K373" s="115">
        <f t="shared" si="2"/>
        <v>303.984</v>
      </c>
      <c r="L373" s="125"/>
      <c r="M373" s="126"/>
      <c r="N373" s="127"/>
      <c r="O373" s="127"/>
    </row>
    <row r="374">
      <c r="A374" s="69" t="s">
        <v>6462</v>
      </c>
      <c r="B374" s="69" t="s">
        <v>5473</v>
      </c>
      <c r="C374" s="112" t="s">
        <v>6463</v>
      </c>
      <c r="D374" s="69"/>
      <c r="E374" s="69" t="s">
        <v>6464</v>
      </c>
      <c r="F374" s="118"/>
      <c r="G374" s="69" t="s">
        <v>1141</v>
      </c>
      <c r="H374" s="113" t="s">
        <v>1698</v>
      </c>
      <c r="I374" s="114">
        <f t="array" ref="I374">XLOOKUP(G374,KLUS!$A$2:$A$2010,KLUS!$E$2:$E$2010)+XLOOKUP(H374,KLUS!$A$2:$A$2010,KLUS!$E$2:$E$2010)</f>
        <v>426.7</v>
      </c>
      <c r="J374" s="114">
        <f t="shared" si="1"/>
        <v>384.03</v>
      </c>
      <c r="K374" s="115">
        <f t="shared" si="2"/>
        <v>307.224</v>
      </c>
      <c r="L374" s="125"/>
      <c r="M374" s="126"/>
      <c r="N374" s="127"/>
      <c r="O374" s="127"/>
    </row>
    <row r="375">
      <c r="A375" s="69" t="s">
        <v>6465</v>
      </c>
      <c r="B375" s="69" t="s">
        <v>5473</v>
      </c>
      <c r="C375" s="112" t="s">
        <v>6466</v>
      </c>
      <c r="D375" s="69"/>
      <c r="E375" s="69" t="s">
        <v>4624</v>
      </c>
      <c r="F375" s="69" t="s">
        <v>6467</v>
      </c>
      <c r="G375" s="69" t="s">
        <v>1143</v>
      </c>
      <c r="H375" s="119"/>
      <c r="I375" s="114" t="str">
        <f t="array" ref="I375">XLOOKUP(G375,KLUS!$A$2:$A$2010,KLUS!$E$2:$E$2010)+XLOOKUP(H375,KLUS!$A$2:$A$2010,KLUS!$E$2:$E$2010)</f>
        <v>#N/A</v>
      </c>
      <c r="J375" s="114" t="str">
        <f t="shared" si="1"/>
        <v>#N/A</v>
      </c>
      <c r="K375" s="115" t="str">
        <f t="shared" si="2"/>
        <v>#N/A</v>
      </c>
      <c r="L375" s="125"/>
      <c r="M375" s="126"/>
      <c r="N375" s="127"/>
      <c r="O375" s="127"/>
    </row>
    <row r="376">
      <c r="A376" s="69" t="s">
        <v>6468</v>
      </c>
      <c r="B376" s="69" t="s">
        <v>5473</v>
      </c>
      <c r="C376" s="112" t="s">
        <v>6469</v>
      </c>
      <c r="D376" s="69"/>
      <c r="E376" s="69" t="s">
        <v>4626</v>
      </c>
      <c r="F376" s="118"/>
      <c r="G376" s="69" t="s">
        <v>1143</v>
      </c>
      <c r="H376" s="113" t="s">
        <v>1686</v>
      </c>
      <c r="I376" s="114">
        <f t="array" ref="I376">XLOOKUP(G376,KLUS!$A$2:$A$2010,KLUS!$E$2:$E$2010)+XLOOKUP(H376,KLUS!$A$2:$A$2010,KLUS!$E$2:$E$2010)</f>
        <v>633.4</v>
      </c>
      <c r="J376" s="114">
        <f t="shared" si="1"/>
        <v>570.06</v>
      </c>
      <c r="K376" s="115">
        <f t="shared" si="2"/>
        <v>456.048</v>
      </c>
      <c r="L376" s="125"/>
      <c r="M376" s="126"/>
      <c r="N376" s="127"/>
      <c r="O376" s="127"/>
    </row>
    <row r="377">
      <c r="A377" s="69" t="s">
        <v>6470</v>
      </c>
      <c r="B377" s="69" t="s">
        <v>5473</v>
      </c>
      <c r="C377" s="112" t="s">
        <v>6471</v>
      </c>
      <c r="D377" s="69"/>
      <c r="E377" s="69" t="s">
        <v>6472</v>
      </c>
      <c r="F377" s="118"/>
      <c r="G377" s="69" t="s">
        <v>1143</v>
      </c>
      <c r="H377" s="113" t="s">
        <v>1700</v>
      </c>
      <c r="I377" s="114">
        <f t="array" ref="I377">XLOOKUP(G377,KLUS!$A$2:$A$2010,KLUS!$E$2:$E$2010)+XLOOKUP(H377,KLUS!$A$2:$A$2010,KLUS!$E$2:$E$2010)</f>
        <v>640.1</v>
      </c>
      <c r="J377" s="114">
        <f t="shared" si="1"/>
        <v>576.09</v>
      </c>
      <c r="K377" s="115">
        <f t="shared" si="2"/>
        <v>460.872</v>
      </c>
      <c r="L377" s="125"/>
      <c r="M377" s="126"/>
      <c r="N377" s="127"/>
      <c r="O377" s="127"/>
    </row>
    <row r="378">
      <c r="A378" s="69" t="s">
        <v>6473</v>
      </c>
      <c r="B378" s="69" t="s">
        <v>5473</v>
      </c>
      <c r="C378" s="112" t="s">
        <v>6474</v>
      </c>
      <c r="D378" s="69"/>
      <c r="E378" s="69" t="s">
        <v>4630</v>
      </c>
      <c r="F378" s="69" t="s">
        <v>6475</v>
      </c>
      <c r="G378" s="69" t="s">
        <v>1145</v>
      </c>
      <c r="H378" s="119"/>
      <c r="I378" s="114" t="str">
        <f t="array" ref="I378">XLOOKUP(G378,KLUS!$A$2:$A$2010,KLUS!$E$2:$E$2010)+XLOOKUP(H378,KLUS!$A$2:$A$2010,KLUS!$E$2:$E$2010)</f>
        <v>#N/A</v>
      </c>
      <c r="J378" s="114" t="str">
        <f t="shared" si="1"/>
        <v>#N/A</v>
      </c>
      <c r="K378" s="115" t="str">
        <f t="shared" si="2"/>
        <v>#N/A</v>
      </c>
      <c r="L378" s="125"/>
      <c r="M378" s="126"/>
      <c r="N378" s="127"/>
      <c r="O378" s="127"/>
    </row>
    <row r="379">
      <c r="A379" s="69" t="s">
        <v>6476</v>
      </c>
      <c r="B379" s="69" t="s">
        <v>5473</v>
      </c>
      <c r="C379" s="112" t="s">
        <v>6477</v>
      </c>
      <c r="D379" s="69"/>
      <c r="E379" s="69" t="s">
        <v>4632</v>
      </c>
      <c r="F379" s="118"/>
      <c r="G379" s="69" t="s">
        <v>1145</v>
      </c>
      <c r="H379" s="116" t="s">
        <v>1681</v>
      </c>
      <c r="I379" s="114">
        <f t="array" ref="I379">XLOOKUP(G379,KLUS!$A$2:$A$2010,KLUS!$E$2:$E$2010)+XLOOKUP(H379,KLUS!$A$2:$A$2010,KLUS!$E$2:$E$2010)</f>
        <v>206.7</v>
      </c>
      <c r="J379" s="114">
        <f t="shared" si="1"/>
        <v>186.03</v>
      </c>
      <c r="K379" s="115">
        <f t="shared" si="2"/>
        <v>148.824</v>
      </c>
      <c r="L379" s="125"/>
      <c r="M379" s="126"/>
      <c r="N379" s="127"/>
      <c r="O379" s="127"/>
    </row>
    <row r="380">
      <c r="A380" s="69" t="s">
        <v>6478</v>
      </c>
      <c r="B380" s="69" t="s">
        <v>5473</v>
      </c>
      <c r="C380" s="112" t="s">
        <v>6479</v>
      </c>
      <c r="D380" s="69"/>
      <c r="E380" s="69" t="s">
        <v>4634</v>
      </c>
      <c r="F380" s="69" t="s">
        <v>6480</v>
      </c>
      <c r="G380" s="69" t="s">
        <v>1147</v>
      </c>
      <c r="H380" s="119"/>
      <c r="I380" s="114" t="str">
        <f t="array" ref="I380">XLOOKUP(G380,KLUS!$A$2:$A$2010,KLUS!$E$2:$E$2010)+XLOOKUP(H380,KLUS!$A$2:$A$2010,KLUS!$E$2:$E$2010)</f>
        <v>#N/A</v>
      </c>
      <c r="J380" s="114" t="str">
        <f t="shared" si="1"/>
        <v>#N/A</v>
      </c>
      <c r="K380" s="115" t="str">
        <f t="shared" si="2"/>
        <v>#N/A</v>
      </c>
      <c r="L380" s="125"/>
      <c r="M380" s="126"/>
      <c r="N380" s="127"/>
      <c r="O380" s="127"/>
    </row>
    <row r="381">
      <c r="A381" s="69" t="s">
        <v>6481</v>
      </c>
      <c r="B381" s="69" t="s">
        <v>5473</v>
      </c>
      <c r="C381" s="112" t="s">
        <v>6482</v>
      </c>
      <c r="D381" s="69"/>
      <c r="E381" s="69" t="s">
        <v>4636</v>
      </c>
      <c r="F381" s="118"/>
      <c r="G381" s="69" t="s">
        <v>1147</v>
      </c>
      <c r="H381" s="113" t="s">
        <v>1684</v>
      </c>
      <c r="I381" s="114">
        <f t="array" ref="I381">XLOOKUP(G381,KLUS!$A$2:$A$2010,KLUS!$E$2:$E$2010)+XLOOKUP(H381,KLUS!$A$2:$A$2010,KLUS!$E$2:$E$2010)</f>
        <v>413.2</v>
      </c>
      <c r="J381" s="114">
        <f t="shared" si="1"/>
        <v>371.88</v>
      </c>
      <c r="K381" s="115">
        <f t="shared" si="2"/>
        <v>297.504</v>
      </c>
      <c r="L381" s="125"/>
      <c r="M381" s="126"/>
      <c r="N381" s="127"/>
      <c r="O381" s="127"/>
    </row>
    <row r="382">
      <c r="A382" s="69" t="s">
        <v>6483</v>
      </c>
      <c r="B382" s="69" t="s">
        <v>5473</v>
      </c>
      <c r="C382" s="112" t="s">
        <v>6484</v>
      </c>
      <c r="D382" s="69"/>
      <c r="E382" s="69" t="s">
        <v>6485</v>
      </c>
      <c r="F382" s="118"/>
      <c r="G382" s="69" t="s">
        <v>1147</v>
      </c>
      <c r="H382" s="113" t="s">
        <v>1698</v>
      </c>
      <c r="I382" s="114">
        <f t="array" ref="I382">XLOOKUP(G382,KLUS!$A$2:$A$2010,KLUS!$E$2:$E$2010)+XLOOKUP(H382,KLUS!$A$2:$A$2010,KLUS!$E$2:$E$2010)</f>
        <v>417.7</v>
      </c>
      <c r="J382" s="114">
        <f t="shared" si="1"/>
        <v>375.93</v>
      </c>
      <c r="K382" s="115">
        <f t="shared" si="2"/>
        <v>300.744</v>
      </c>
      <c r="L382" s="125"/>
      <c r="M382" s="126"/>
      <c r="N382" s="127"/>
      <c r="O382" s="127"/>
    </row>
    <row r="383">
      <c r="A383" s="69" t="s">
        <v>6486</v>
      </c>
      <c r="B383" s="69" t="s">
        <v>5473</v>
      </c>
      <c r="C383" s="112" t="s">
        <v>6487</v>
      </c>
      <c r="D383" s="69"/>
      <c r="E383" s="69" t="s">
        <v>4640</v>
      </c>
      <c r="F383" s="69" t="s">
        <v>6488</v>
      </c>
      <c r="G383" s="69" t="s">
        <v>1149</v>
      </c>
      <c r="H383" s="119"/>
      <c r="I383" s="114" t="str">
        <f t="array" ref="I383">XLOOKUP(G383,KLUS!$A$2:$A$2010,KLUS!$E$2:$E$2010)+XLOOKUP(H383,KLUS!$A$2:$A$2010,KLUS!$E$2:$E$2010)</f>
        <v>#N/A</v>
      </c>
      <c r="J383" s="114" t="str">
        <f t="shared" si="1"/>
        <v>#N/A</v>
      </c>
      <c r="K383" s="115" t="str">
        <f t="shared" si="2"/>
        <v>#N/A</v>
      </c>
      <c r="L383" s="125"/>
      <c r="M383" s="126"/>
      <c r="N383" s="127"/>
      <c r="O383" s="127"/>
    </row>
    <row r="384">
      <c r="A384" s="69" t="s">
        <v>6489</v>
      </c>
      <c r="B384" s="69" t="s">
        <v>5473</v>
      </c>
      <c r="C384" s="112" t="s">
        <v>6490</v>
      </c>
      <c r="D384" s="69"/>
      <c r="E384" s="69" t="s">
        <v>4642</v>
      </c>
      <c r="F384" s="69" t="s">
        <v>6491</v>
      </c>
      <c r="G384" s="69" t="s">
        <v>1149</v>
      </c>
      <c r="H384" s="113" t="s">
        <v>1700</v>
      </c>
      <c r="I384" s="114">
        <f t="array" ref="I384">XLOOKUP(G384,KLUS!$A$2:$A$2010,KLUS!$E$2:$E$2010)+XLOOKUP(H384,KLUS!$A$2:$A$2010,KLUS!$E$2:$E$2010)</f>
        <v>626.6</v>
      </c>
      <c r="J384" s="114">
        <f t="shared" si="1"/>
        <v>563.94</v>
      </c>
      <c r="K384" s="115">
        <f t="shared" si="2"/>
        <v>451.152</v>
      </c>
      <c r="L384" s="125"/>
      <c r="M384" s="126"/>
      <c r="N384" s="127"/>
      <c r="O384" s="127"/>
    </row>
    <row r="385">
      <c r="A385" s="69" t="s">
        <v>6492</v>
      </c>
      <c r="B385" s="69" t="s">
        <v>5473</v>
      </c>
      <c r="C385" s="112" t="s">
        <v>6493</v>
      </c>
      <c r="D385" s="69"/>
      <c r="E385" s="69" t="s">
        <v>4644</v>
      </c>
      <c r="F385" s="69" t="s">
        <v>6494</v>
      </c>
      <c r="G385" s="69" t="s">
        <v>1124</v>
      </c>
      <c r="H385" s="119"/>
      <c r="I385" s="114" t="str">
        <f t="array" ref="I385">XLOOKUP(G385,KLUS!$A$2:$A$2010,KLUS!$E$2:$E$2010)+XLOOKUP(H385,KLUS!$A$2:$A$2010,KLUS!$E$2:$E$2010)</f>
        <v>#N/A</v>
      </c>
      <c r="J385" s="114" t="str">
        <f t="shared" si="1"/>
        <v>#N/A</v>
      </c>
      <c r="K385" s="115" t="str">
        <f t="shared" si="2"/>
        <v>#N/A</v>
      </c>
      <c r="L385" s="125"/>
      <c r="M385" s="126"/>
      <c r="N385" s="127"/>
      <c r="O385" s="127"/>
    </row>
    <row r="386">
      <c r="A386" s="69" t="s">
        <v>6495</v>
      </c>
      <c r="B386" s="69" t="s">
        <v>5473</v>
      </c>
      <c r="C386" s="112" t="s">
        <v>6496</v>
      </c>
      <c r="D386" s="69"/>
      <c r="E386" s="69" t="s">
        <v>4646</v>
      </c>
      <c r="F386" s="118"/>
      <c r="G386" s="69" t="s">
        <v>1124</v>
      </c>
      <c r="H386" s="116" t="s">
        <v>1681</v>
      </c>
      <c r="I386" s="114">
        <f t="array" ref="I386">XLOOKUP(G386,KLUS!$A$2:$A$2010,KLUS!$E$2:$E$2010)+XLOOKUP(H386,KLUS!$A$2:$A$2010,KLUS!$E$2:$E$2010)</f>
        <v>213.2</v>
      </c>
      <c r="J386" s="114">
        <f t="shared" si="1"/>
        <v>191.88</v>
      </c>
      <c r="K386" s="115">
        <f t="shared" si="2"/>
        <v>153.504</v>
      </c>
      <c r="L386" s="125"/>
      <c r="M386" s="126"/>
      <c r="N386" s="127"/>
      <c r="O386" s="127"/>
    </row>
    <row r="387">
      <c r="A387" s="69" t="s">
        <v>6497</v>
      </c>
      <c r="B387" s="69" t="s">
        <v>5473</v>
      </c>
      <c r="C387" s="112" t="s">
        <v>6498</v>
      </c>
      <c r="D387" s="69"/>
      <c r="E387" s="69" t="s">
        <v>6499</v>
      </c>
      <c r="F387" s="118"/>
      <c r="G387" s="69" t="s">
        <v>1124</v>
      </c>
      <c r="H387" s="116" t="s">
        <v>1695</v>
      </c>
      <c r="I387" s="114">
        <f t="array" ref="I387">XLOOKUP(G387,KLUS!$A$2:$A$2010,KLUS!$E$2:$E$2010)+XLOOKUP(H387,KLUS!$A$2:$A$2010,KLUS!$E$2:$E$2010)</f>
        <v>215.4</v>
      </c>
      <c r="J387" s="114">
        <f t="shared" si="1"/>
        <v>193.86</v>
      </c>
      <c r="K387" s="115">
        <f t="shared" si="2"/>
        <v>155.088</v>
      </c>
      <c r="L387" s="125"/>
      <c r="M387" s="126"/>
      <c r="N387" s="127"/>
      <c r="O387" s="127"/>
    </row>
    <row r="388">
      <c r="A388" s="69" t="s">
        <v>6500</v>
      </c>
      <c r="B388" s="69" t="s">
        <v>5473</v>
      </c>
      <c r="C388" s="112" t="s">
        <v>6501</v>
      </c>
      <c r="D388" s="69"/>
      <c r="E388" s="69" t="s">
        <v>4650</v>
      </c>
      <c r="F388" s="69" t="s">
        <v>6502</v>
      </c>
      <c r="G388" s="69" t="s">
        <v>1127</v>
      </c>
      <c r="H388" s="119"/>
      <c r="I388" s="114" t="str">
        <f t="array" ref="I388">XLOOKUP(G388,KLUS!$A$2:$A$2010,KLUS!$E$2:$E$2010)+XLOOKUP(H388,KLUS!$A$2:$A$2010,KLUS!$E$2:$E$2010)</f>
        <v>#N/A</v>
      </c>
      <c r="J388" s="114" t="str">
        <f t="shared" si="1"/>
        <v>#N/A</v>
      </c>
      <c r="K388" s="115" t="str">
        <f t="shared" si="2"/>
        <v>#N/A</v>
      </c>
      <c r="L388" s="125"/>
      <c r="M388" s="126"/>
      <c r="N388" s="127"/>
      <c r="O388" s="127"/>
    </row>
    <row r="389">
      <c r="A389" s="69" t="s">
        <v>6503</v>
      </c>
      <c r="B389" s="69" t="s">
        <v>5473</v>
      </c>
      <c r="C389" s="112" t="s">
        <v>6504</v>
      </c>
      <c r="D389" s="69"/>
      <c r="E389" s="69" t="s">
        <v>4652</v>
      </c>
      <c r="F389" s="118"/>
      <c r="G389" s="69" t="s">
        <v>1127</v>
      </c>
      <c r="H389" s="113" t="s">
        <v>1684</v>
      </c>
      <c r="I389" s="114">
        <f t="array" ref="I389">XLOOKUP(G389,KLUS!$A$2:$A$2010,KLUS!$E$2:$E$2010)+XLOOKUP(H389,KLUS!$A$2:$A$2010,KLUS!$E$2:$E$2010)</f>
        <v>412</v>
      </c>
      <c r="J389" s="114">
        <f t="shared" si="1"/>
        <v>370.8</v>
      </c>
      <c r="K389" s="115">
        <f t="shared" si="2"/>
        <v>296.64</v>
      </c>
      <c r="L389" s="125"/>
      <c r="M389" s="126"/>
      <c r="N389" s="127"/>
      <c r="O389" s="127"/>
    </row>
    <row r="390">
      <c r="A390" s="69" t="s">
        <v>6505</v>
      </c>
      <c r="B390" s="69" t="s">
        <v>5473</v>
      </c>
      <c r="C390" s="112" t="s">
        <v>6506</v>
      </c>
      <c r="D390" s="69"/>
      <c r="E390" s="69" t="s">
        <v>6507</v>
      </c>
      <c r="F390" s="118"/>
      <c r="G390" s="69" t="s">
        <v>1127</v>
      </c>
      <c r="H390" s="113" t="s">
        <v>1698</v>
      </c>
      <c r="I390" s="114">
        <f t="array" ref="I390">XLOOKUP(G390,KLUS!$A$2:$A$2010,KLUS!$E$2:$E$2010)+XLOOKUP(H390,KLUS!$A$2:$A$2010,KLUS!$E$2:$E$2010)</f>
        <v>416.5</v>
      </c>
      <c r="J390" s="114">
        <f t="shared" si="1"/>
        <v>374.85</v>
      </c>
      <c r="K390" s="115">
        <f t="shared" si="2"/>
        <v>299.88</v>
      </c>
      <c r="L390" s="125"/>
      <c r="M390" s="126"/>
      <c r="N390" s="127"/>
      <c r="O390" s="127"/>
    </row>
    <row r="391">
      <c r="A391" s="69" t="s">
        <v>6508</v>
      </c>
      <c r="B391" s="69" t="s">
        <v>5473</v>
      </c>
      <c r="C391" s="112" t="s">
        <v>6509</v>
      </c>
      <c r="D391" s="69"/>
      <c r="E391" s="69" t="s">
        <v>4656</v>
      </c>
      <c r="F391" s="69" t="s">
        <v>6510</v>
      </c>
      <c r="G391" s="69" t="s">
        <v>1129</v>
      </c>
      <c r="H391" s="119"/>
      <c r="I391" s="114" t="str">
        <f t="array" ref="I391">XLOOKUP(G391,KLUS!$A$2:$A$2010,KLUS!$E$2:$E$2010)+XLOOKUP(H391,KLUS!$A$2:$A$2010,KLUS!$E$2:$E$2010)</f>
        <v>#N/A</v>
      </c>
      <c r="J391" s="114" t="str">
        <f t="shared" si="1"/>
        <v>#N/A</v>
      </c>
      <c r="K391" s="115" t="str">
        <f t="shared" si="2"/>
        <v>#N/A</v>
      </c>
      <c r="L391" s="125"/>
      <c r="M391" s="126"/>
      <c r="N391" s="127"/>
      <c r="O391" s="127"/>
    </row>
    <row r="392">
      <c r="A392" s="69" t="s">
        <v>6511</v>
      </c>
      <c r="B392" s="69" t="s">
        <v>5473</v>
      </c>
      <c r="C392" s="112" t="s">
        <v>6512</v>
      </c>
      <c r="D392" s="69"/>
      <c r="E392" s="69" t="s">
        <v>4658</v>
      </c>
      <c r="F392" s="118"/>
      <c r="G392" s="69" t="s">
        <v>1129</v>
      </c>
      <c r="H392" s="113" t="s">
        <v>1686</v>
      </c>
      <c r="I392" s="114">
        <f t="array" ref="I392">XLOOKUP(G392,KLUS!$A$2:$A$2010,KLUS!$E$2:$E$2010)+XLOOKUP(H392,KLUS!$A$2:$A$2010,KLUS!$E$2:$E$2010)</f>
        <v>618</v>
      </c>
      <c r="J392" s="114">
        <f t="shared" si="1"/>
        <v>556.2</v>
      </c>
      <c r="K392" s="115">
        <f t="shared" si="2"/>
        <v>444.96</v>
      </c>
      <c r="L392" s="125"/>
      <c r="M392" s="126"/>
      <c r="N392" s="127"/>
      <c r="O392" s="127"/>
    </row>
    <row r="393">
      <c r="A393" s="69" t="s">
        <v>6513</v>
      </c>
      <c r="B393" s="69" t="s">
        <v>5473</v>
      </c>
      <c r="C393" s="112" t="s">
        <v>6514</v>
      </c>
      <c r="D393" s="69"/>
      <c r="E393" s="69" t="s">
        <v>6515</v>
      </c>
      <c r="F393" s="118"/>
      <c r="G393" s="69" t="s">
        <v>1129</v>
      </c>
      <c r="H393" s="113" t="s">
        <v>1700</v>
      </c>
      <c r="I393" s="114">
        <f t="array" ref="I393">XLOOKUP(G393,KLUS!$A$2:$A$2010,KLUS!$E$2:$E$2010)+XLOOKUP(H393,KLUS!$A$2:$A$2010,KLUS!$E$2:$E$2010)</f>
        <v>624.7</v>
      </c>
      <c r="J393" s="114">
        <f t="shared" si="1"/>
        <v>562.23</v>
      </c>
      <c r="K393" s="115">
        <f t="shared" si="2"/>
        <v>449.784</v>
      </c>
      <c r="L393" s="125"/>
      <c r="M393" s="126"/>
      <c r="N393" s="127"/>
      <c r="O393" s="127"/>
    </row>
    <row r="394">
      <c r="A394" s="69" t="s">
        <v>4661</v>
      </c>
      <c r="B394" s="69" t="s">
        <v>5473</v>
      </c>
      <c r="C394" s="112" t="s">
        <v>5801</v>
      </c>
      <c r="D394" s="69"/>
      <c r="E394" s="69" t="s">
        <v>4662</v>
      </c>
      <c r="F394" s="69" t="s">
        <v>6516</v>
      </c>
      <c r="G394" s="69" t="s">
        <v>230</v>
      </c>
      <c r="H394" s="119"/>
      <c r="I394" s="114" t="str">
        <f t="array" ref="I394">XLOOKUP(G394,KLUS!$A$2:$A$2010,KLUS!$E$2:$E$2010)+XLOOKUP(H394,KLUS!$A$2:$A$2010,KLUS!$E$2:$E$2010)</f>
        <v>#N/A</v>
      </c>
      <c r="J394" s="114" t="str">
        <f t="shared" si="1"/>
        <v>#N/A</v>
      </c>
      <c r="K394" s="115" t="str">
        <f t="shared" si="2"/>
        <v>#N/A</v>
      </c>
      <c r="L394" s="125"/>
      <c r="M394" s="126"/>
      <c r="N394" s="127"/>
      <c r="O394" s="127"/>
    </row>
    <row r="395">
      <c r="A395" s="69" t="s">
        <v>6517</v>
      </c>
      <c r="B395" s="69" t="s">
        <v>5473</v>
      </c>
      <c r="C395" s="112" t="s">
        <v>6104</v>
      </c>
      <c r="D395" s="69"/>
      <c r="E395" s="69" t="s">
        <v>237</v>
      </c>
      <c r="F395" s="69" t="s">
        <v>6518</v>
      </c>
      <c r="G395" s="69" t="s">
        <v>237</v>
      </c>
      <c r="H395" s="119"/>
      <c r="I395" s="114" t="str">
        <f t="array" ref="I395">XLOOKUP(G395,KLUS!$A$2:$A$2010,KLUS!$E$2:$E$2010)+XLOOKUP(H395,KLUS!$A$2:$A$2010,KLUS!$E$2:$E$2010)</f>
        <v>#N/A</v>
      </c>
      <c r="J395" s="114" t="str">
        <f t="shared" si="1"/>
        <v>#N/A</v>
      </c>
      <c r="K395" s="115" t="str">
        <f t="shared" si="2"/>
        <v>#N/A</v>
      </c>
      <c r="L395" s="125"/>
      <c r="M395" s="126"/>
      <c r="N395" s="127"/>
      <c r="O395" s="127"/>
    </row>
    <row r="396">
      <c r="A396" s="69" t="s">
        <v>4664</v>
      </c>
      <c r="B396" s="69" t="s">
        <v>5473</v>
      </c>
      <c r="C396" s="112" t="s">
        <v>6519</v>
      </c>
      <c r="D396" s="69"/>
      <c r="E396" s="69" t="s">
        <v>4665</v>
      </c>
      <c r="F396" s="69" t="s">
        <v>6520</v>
      </c>
      <c r="G396" s="69" t="s">
        <v>233</v>
      </c>
      <c r="H396" s="119"/>
      <c r="I396" s="114" t="str">
        <f t="array" ref="I396">XLOOKUP(G396,KLUS!$A$2:$A$2010,KLUS!$E$2:$E$2010)+XLOOKUP(H396,KLUS!$A$2:$A$2010,KLUS!$E$2:$E$2010)</f>
        <v>#N/A</v>
      </c>
      <c r="J396" s="114" t="str">
        <f t="shared" si="1"/>
        <v>#N/A</v>
      </c>
      <c r="K396" s="115" t="str">
        <f t="shared" si="2"/>
        <v>#N/A</v>
      </c>
      <c r="L396" s="125"/>
      <c r="M396" s="126"/>
      <c r="N396" s="127"/>
      <c r="O396" s="127"/>
    </row>
    <row r="397">
      <c r="A397" s="69" t="s">
        <v>6521</v>
      </c>
      <c r="B397" s="69" t="s">
        <v>5473</v>
      </c>
      <c r="C397" s="112" t="s">
        <v>6522</v>
      </c>
      <c r="D397" s="69"/>
      <c r="E397" s="69" t="s">
        <v>240</v>
      </c>
      <c r="F397" s="69" t="s">
        <v>6523</v>
      </c>
      <c r="G397" s="69" t="s">
        <v>240</v>
      </c>
      <c r="H397" s="119"/>
      <c r="I397" s="114" t="str">
        <f t="array" ref="I397">XLOOKUP(G397,KLUS!$A$2:$A$2010,KLUS!$E$2:$E$2010)+XLOOKUP(H397,KLUS!$A$2:$A$2010,KLUS!$E$2:$E$2010)</f>
        <v>#N/A</v>
      </c>
      <c r="J397" s="114" t="str">
        <f t="shared" si="1"/>
        <v>#N/A</v>
      </c>
      <c r="K397" s="115" t="str">
        <f t="shared" si="2"/>
        <v>#N/A</v>
      </c>
      <c r="L397" s="125"/>
      <c r="M397" s="126"/>
      <c r="N397" s="127"/>
      <c r="O397" s="127"/>
    </row>
    <row r="398">
      <c r="A398" s="69" t="s">
        <v>6524</v>
      </c>
      <c r="B398" s="69" t="s">
        <v>5473</v>
      </c>
      <c r="C398" s="112" t="s">
        <v>6525</v>
      </c>
      <c r="D398" s="69"/>
      <c r="E398" s="69" t="s">
        <v>247</v>
      </c>
      <c r="F398" s="69" t="s">
        <v>6526</v>
      </c>
      <c r="G398" s="69" t="s">
        <v>247</v>
      </c>
      <c r="H398" s="119"/>
      <c r="I398" s="114" t="str">
        <f t="array" ref="I398">XLOOKUP(G398,KLUS!$A$2:$A$2010,KLUS!$E$2:$E$2010)+XLOOKUP(H398,KLUS!$A$2:$A$2010,KLUS!$E$2:$E$2010)</f>
        <v>#N/A</v>
      </c>
      <c r="J398" s="114" t="str">
        <f t="shared" si="1"/>
        <v>#N/A</v>
      </c>
      <c r="K398" s="115" t="str">
        <f t="shared" si="2"/>
        <v>#N/A</v>
      </c>
      <c r="L398" s="125"/>
      <c r="M398" s="126"/>
      <c r="N398" s="127"/>
      <c r="O398" s="127"/>
    </row>
    <row r="399">
      <c r="A399" s="69" t="s">
        <v>4669</v>
      </c>
      <c r="B399" s="69" t="s">
        <v>5473</v>
      </c>
      <c r="C399" s="112" t="s">
        <v>5668</v>
      </c>
      <c r="D399" s="69"/>
      <c r="E399" s="69" t="s">
        <v>4670</v>
      </c>
      <c r="F399" s="69" t="s">
        <v>6527</v>
      </c>
      <c r="G399" s="69" t="s">
        <v>235</v>
      </c>
      <c r="H399" s="119"/>
      <c r="I399" s="114" t="str">
        <f t="array" ref="I399">XLOOKUP(G399,KLUS!$A$2:$A$2010,KLUS!$E$2:$E$2010)+XLOOKUP(H399,KLUS!$A$2:$A$2010,KLUS!$E$2:$E$2010)</f>
        <v>#N/A</v>
      </c>
      <c r="J399" s="114" t="str">
        <f t="shared" si="1"/>
        <v>#N/A</v>
      </c>
      <c r="K399" s="115" t="str">
        <f t="shared" si="2"/>
        <v>#N/A</v>
      </c>
      <c r="L399" s="125"/>
      <c r="M399" s="126"/>
      <c r="N399" s="127"/>
      <c r="O399" s="127"/>
    </row>
    <row r="400">
      <c r="A400" s="69" t="s">
        <v>6528</v>
      </c>
      <c r="B400" s="69" t="s">
        <v>5473</v>
      </c>
      <c r="C400" s="112" t="s">
        <v>6529</v>
      </c>
      <c r="D400" s="69"/>
      <c r="E400" s="69" t="s">
        <v>242</v>
      </c>
      <c r="F400" s="69" t="s">
        <v>6530</v>
      </c>
      <c r="G400" s="69" t="s">
        <v>242</v>
      </c>
      <c r="H400" s="119"/>
      <c r="I400" s="114" t="str">
        <f t="array" ref="I400">XLOOKUP(G400,KLUS!$A$2:$A$2010,KLUS!$E$2:$E$2010)+XLOOKUP(H400,KLUS!$A$2:$A$2010,KLUS!$E$2:$E$2010)</f>
        <v>#N/A</v>
      </c>
      <c r="J400" s="114" t="str">
        <f t="shared" si="1"/>
        <v>#N/A</v>
      </c>
      <c r="K400" s="115" t="str">
        <f t="shared" si="2"/>
        <v>#N/A</v>
      </c>
      <c r="L400" s="125"/>
      <c r="M400" s="126"/>
      <c r="N400" s="127"/>
      <c r="O400" s="127"/>
    </row>
    <row r="401">
      <c r="A401" s="69" t="s">
        <v>4672</v>
      </c>
      <c r="B401" s="69" t="s">
        <v>5473</v>
      </c>
      <c r="C401" s="112" t="s">
        <v>6531</v>
      </c>
      <c r="D401" s="69"/>
      <c r="E401" s="69" t="s">
        <v>4673</v>
      </c>
      <c r="F401" s="69" t="s">
        <v>6532</v>
      </c>
      <c r="G401" s="69" t="s">
        <v>700</v>
      </c>
      <c r="H401" s="119"/>
      <c r="I401" s="114" t="str">
        <f t="array" ref="I401">XLOOKUP(G401,KLUS!$A$2:$A$2010,KLUS!$E$2:$E$2010)+XLOOKUP(H401,KLUS!$A$2:$A$2010,KLUS!$E$2:$E$2010)</f>
        <v>#N/A</v>
      </c>
      <c r="J401" s="114" t="str">
        <f t="shared" si="1"/>
        <v>#N/A</v>
      </c>
      <c r="K401" s="115" t="str">
        <f t="shared" si="2"/>
        <v>#N/A</v>
      </c>
      <c r="L401" s="125"/>
      <c r="M401" s="126"/>
      <c r="N401" s="127"/>
      <c r="O401" s="127"/>
    </row>
    <row r="402">
      <c r="A402" s="69" t="s">
        <v>4674</v>
      </c>
      <c r="B402" s="69" t="s">
        <v>5473</v>
      </c>
      <c r="C402" s="112" t="s">
        <v>6533</v>
      </c>
      <c r="D402" s="69"/>
      <c r="E402" s="69" t="s">
        <v>4675</v>
      </c>
      <c r="F402" s="69" t="s">
        <v>6534</v>
      </c>
      <c r="G402" s="69" t="s">
        <v>703</v>
      </c>
      <c r="H402" s="119"/>
      <c r="I402" s="114" t="str">
        <f t="array" ref="I402">XLOOKUP(G402,KLUS!$A$2:$A$2010,KLUS!$E$2:$E$2010)+XLOOKUP(H402,KLUS!$A$2:$A$2010,KLUS!$E$2:$E$2010)</f>
        <v>#N/A</v>
      </c>
      <c r="J402" s="114" t="str">
        <f t="shared" si="1"/>
        <v>#N/A</v>
      </c>
      <c r="K402" s="115" t="str">
        <f t="shared" si="2"/>
        <v>#N/A</v>
      </c>
      <c r="L402" s="125"/>
      <c r="M402" s="126"/>
      <c r="N402" s="127"/>
      <c r="O402" s="127"/>
    </row>
    <row r="403">
      <c r="A403" s="69" t="s">
        <v>4676</v>
      </c>
      <c r="B403" s="69" t="s">
        <v>5473</v>
      </c>
      <c r="C403" s="112" t="s">
        <v>6535</v>
      </c>
      <c r="D403" s="69"/>
      <c r="E403" s="69" t="s">
        <v>6536</v>
      </c>
      <c r="F403" s="69" t="s">
        <v>6537</v>
      </c>
      <c r="G403" s="69" t="s">
        <v>705</v>
      </c>
      <c r="H403" s="119"/>
      <c r="I403" s="114" t="str">
        <f t="array" ref="I403">XLOOKUP(G403,KLUS!$A$2:$A$2010,KLUS!$E$2:$E$2010)+XLOOKUP(H403,KLUS!$A$2:$A$2010,KLUS!$E$2:$E$2010)</f>
        <v>#N/A</v>
      </c>
      <c r="J403" s="114" t="str">
        <f t="shared" si="1"/>
        <v>#N/A</v>
      </c>
      <c r="K403" s="115" t="str">
        <f t="shared" si="2"/>
        <v>#N/A</v>
      </c>
      <c r="L403" s="125"/>
      <c r="M403" s="126"/>
      <c r="N403" s="127"/>
      <c r="O403" s="127"/>
    </row>
    <row r="404">
      <c r="A404" s="69" t="s">
        <v>6538</v>
      </c>
      <c r="B404" s="69" t="s">
        <v>5473</v>
      </c>
      <c r="C404" s="112" t="s">
        <v>6539</v>
      </c>
      <c r="D404" s="69"/>
      <c r="E404" s="69" t="s">
        <v>4679</v>
      </c>
      <c r="F404" s="69" t="s">
        <v>6540</v>
      </c>
      <c r="G404" s="69" t="s">
        <v>674</v>
      </c>
      <c r="H404" s="119"/>
      <c r="I404" s="114" t="str">
        <f t="array" ref="I404">XLOOKUP(G404,KLUS!$A$2:$A$2010,KLUS!$E$2:$E$2010)+XLOOKUP(H404,KLUS!$A$2:$A$2010,KLUS!$E$2:$E$2010)</f>
        <v>#N/A</v>
      </c>
      <c r="J404" s="114" t="str">
        <f t="shared" si="1"/>
        <v>#N/A</v>
      </c>
      <c r="K404" s="115" t="str">
        <f t="shared" si="2"/>
        <v>#N/A</v>
      </c>
      <c r="L404" s="125"/>
      <c r="M404" s="126"/>
      <c r="N404" s="127"/>
      <c r="O404" s="127"/>
    </row>
    <row r="405">
      <c r="A405" s="69" t="s">
        <v>6541</v>
      </c>
      <c r="B405" s="69" t="s">
        <v>5473</v>
      </c>
      <c r="C405" s="112" t="s">
        <v>5653</v>
      </c>
      <c r="D405" s="69"/>
      <c r="E405" s="69" t="s">
        <v>4681</v>
      </c>
      <c r="F405" s="69" t="s">
        <v>6542</v>
      </c>
      <c r="G405" s="69" t="s">
        <v>681</v>
      </c>
      <c r="H405" s="119"/>
      <c r="I405" s="114" t="str">
        <f t="array" ref="I405">XLOOKUP(G405,KLUS!$A$2:$A$2010,KLUS!$E$2:$E$2010)+XLOOKUP(H405,KLUS!$A$2:$A$2010,KLUS!$E$2:$E$2010)</f>
        <v>#N/A</v>
      </c>
      <c r="J405" s="114" t="str">
        <f t="shared" si="1"/>
        <v>#N/A</v>
      </c>
      <c r="K405" s="115" t="str">
        <f t="shared" si="2"/>
        <v>#N/A</v>
      </c>
      <c r="L405" s="125"/>
      <c r="M405" s="126"/>
      <c r="N405" s="127"/>
      <c r="O405" s="127"/>
    </row>
    <row r="406">
      <c r="A406" s="69" t="s">
        <v>6543</v>
      </c>
      <c r="B406" s="69" t="s">
        <v>5473</v>
      </c>
      <c r="C406" s="112" t="s">
        <v>6544</v>
      </c>
      <c r="D406" s="69"/>
      <c r="E406" s="69" t="s">
        <v>4683</v>
      </c>
      <c r="F406" s="69" t="s">
        <v>6545</v>
      </c>
      <c r="G406" s="69" t="s">
        <v>677</v>
      </c>
      <c r="H406" s="119"/>
      <c r="I406" s="114" t="str">
        <f t="array" ref="I406">XLOOKUP(G406,KLUS!$A$2:$A$2010,KLUS!$E$2:$E$2010)+XLOOKUP(H406,KLUS!$A$2:$A$2010,KLUS!$E$2:$E$2010)</f>
        <v>#N/A</v>
      </c>
      <c r="J406" s="114" t="str">
        <f t="shared" si="1"/>
        <v>#N/A</v>
      </c>
      <c r="K406" s="115" t="str">
        <f t="shared" si="2"/>
        <v>#N/A</v>
      </c>
      <c r="L406" s="125"/>
      <c r="M406" s="126"/>
      <c r="N406" s="127"/>
      <c r="O406" s="127"/>
    </row>
    <row r="407">
      <c r="A407" s="69" t="s">
        <v>6546</v>
      </c>
      <c r="B407" s="69" t="s">
        <v>5473</v>
      </c>
      <c r="C407" s="112" t="s">
        <v>6547</v>
      </c>
      <c r="D407" s="69"/>
      <c r="E407" s="69" t="s">
        <v>4685</v>
      </c>
      <c r="F407" s="69" t="s">
        <v>6548</v>
      </c>
      <c r="G407" s="69" t="s">
        <v>683</v>
      </c>
      <c r="H407" s="119"/>
      <c r="I407" s="114" t="str">
        <f t="array" ref="I407">XLOOKUP(G407,KLUS!$A$2:$A$2010,KLUS!$E$2:$E$2010)+XLOOKUP(H407,KLUS!$A$2:$A$2010,KLUS!$E$2:$E$2010)</f>
        <v>#N/A</v>
      </c>
      <c r="J407" s="114" t="str">
        <f t="shared" si="1"/>
        <v>#N/A</v>
      </c>
      <c r="K407" s="115" t="str">
        <f t="shared" si="2"/>
        <v>#N/A</v>
      </c>
      <c r="L407" s="125"/>
      <c r="M407" s="126"/>
      <c r="N407" s="127"/>
      <c r="O407" s="127"/>
    </row>
    <row r="408">
      <c r="A408" s="69" t="s">
        <v>6549</v>
      </c>
      <c r="B408" s="69" t="s">
        <v>5473</v>
      </c>
      <c r="C408" s="112" t="s">
        <v>6550</v>
      </c>
      <c r="D408" s="69"/>
      <c r="E408" s="69" t="s">
        <v>4687</v>
      </c>
      <c r="F408" s="69" t="s">
        <v>6551</v>
      </c>
      <c r="G408" s="69" t="s">
        <v>679</v>
      </c>
      <c r="H408" s="119"/>
      <c r="I408" s="114" t="str">
        <f t="array" ref="I408">XLOOKUP(G408,KLUS!$A$2:$A$2010,KLUS!$E$2:$E$2010)+XLOOKUP(H408,KLUS!$A$2:$A$2010,KLUS!$E$2:$E$2010)</f>
        <v>#N/A</v>
      </c>
      <c r="J408" s="114" t="str">
        <f t="shared" si="1"/>
        <v>#N/A</v>
      </c>
      <c r="K408" s="115" t="str">
        <f t="shared" si="2"/>
        <v>#N/A</v>
      </c>
      <c r="L408" s="125"/>
      <c r="M408" s="126"/>
      <c r="N408" s="127"/>
      <c r="O408" s="127"/>
    </row>
    <row r="409">
      <c r="A409" s="69" t="s">
        <v>6552</v>
      </c>
      <c r="B409" s="69" t="s">
        <v>5473</v>
      </c>
      <c r="C409" s="112" t="s">
        <v>6553</v>
      </c>
      <c r="D409" s="69"/>
      <c r="E409" s="69" t="s">
        <v>6554</v>
      </c>
      <c r="F409" s="69" t="s">
        <v>6555</v>
      </c>
      <c r="G409" s="69" t="s">
        <v>685</v>
      </c>
      <c r="H409" s="119"/>
      <c r="I409" s="114" t="str">
        <f t="array" ref="I409">XLOOKUP(G409,KLUS!$A$2:$A$2010,KLUS!$E$2:$E$2010)+XLOOKUP(H409,KLUS!$A$2:$A$2010,KLUS!$E$2:$E$2010)</f>
        <v>#N/A</v>
      </c>
      <c r="J409" s="114" t="str">
        <f t="shared" si="1"/>
        <v>#N/A</v>
      </c>
      <c r="K409" s="115" t="str">
        <f t="shared" si="2"/>
        <v>#N/A</v>
      </c>
      <c r="L409" s="125"/>
      <c r="M409" s="126"/>
      <c r="N409" s="127"/>
      <c r="O409" s="127"/>
    </row>
    <row r="410">
      <c r="A410" s="69" t="s">
        <v>6556</v>
      </c>
      <c r="B410" s="69" t="s">
        <v>5473</v>
      </c>
      <c r="C410" s="112" t="s">
        <v>6557</v>
      </c>
      <c r="D410" s="69"/>
      <c r="E410" s="69" t="s">
        <v>6558</v>
      </c>
      <c r="F410" s="69" t="s">
        <v>6559</v>
      </c>
      <c r="G410" s="69" t="s">
        <v>6560</v>
      </c>
      <c r="H410" s="119"/>
      <c r="I410" s="114" t="str">
        <f t="array" ref="I410">XLOOKUP(G410,KLUS!$A$2:$A$2010,KLUS!$E$2:$E$2010)+XLOOKUP(H410,KLUS!$A$2:$A$2010,KLUS!$E$2:$E$2010)</f>
        <v>#N/A</v>
      </c>
      <c r="J410" s="114" t="str">
        <f t="shared" si="1"/>
        <v>#N/A</v>
      </c>
      <c r="K410" s="115" t="str">
        <f t="shared" si="2"/>
        <v>#N/A</v>
      </c>
      <c r="L410" s="125"/>
      <c r="M410" s="126"/>
      <c r="N410" s="127"/>
      <c r="O410" s="127"/>
    </row>
    <row r="411">
      <c r="A411" s="69" t="s">
        <v>6561</v>
      </c>
      <c r="B411" s="69" t="s">
        <v>5473</v>
      </c>
      <c r="C411" s="112" t="s">
        <v>6562</v>
      </c>
      <c r="D411" s="69"/>
      <c r="E411" s="69" t="s">
        <v>6563</v>
      </c>
      <c r="F411" s="69" t="s">
        <v>6564</v>
      </c>
      <c r="G411" s="69" t="s">
        <v>694</v>
      </c>
      <c r="H411" s="119"/>
      <c r="I411" s="114" t="str">
        <f t="array" ref="I411">XLOOKUP(G411,KLUS!$A$2:$A$2010,KLUS!$E$2:$E$2010)+XLOOKUP(H411,KLUS!$A$2:$A$2010,KLUS!$E$2:$E$2010)</f>
        <v>#N/A</v>
      </c>
      <c r="J411" s="114" t="str">
        <f t="shared" si="1"/>
        <v>#N/A</v>
      </c>
      <c r="K411" s="115" t="str">
        <f t="shared" si="2"/>
        <v>#N/A</v>
      </c>
      <c r="L411" s="125"/>
      <c r="M411" s="126"/>
      <c r="N411" s="127"/>
      <c r="O411" s="127"/>
    </row>
    <row r="412">
      <c r="A412" s="69" t="s">
        <v>6565</v>
      </c>
      <c r="B412" s="69" t="s">
        <v>5473</v>
      </c>
      <c r="C412" s="112" t="s">
        <v>6566</v>
      </c>
      <c r="D412" s="69"/>
      <c r="E412" s="69" t="s">
        <v>4695</v>
      </c>
      <c r="F412" s="69" t="s">
        <v>6567</v>
      </c>
      <c r="G412" s="69" t="s">
        <v>6568</v>
      </c>
      <c r="H412" s="119"/>
      <c r="I412" s="114" t="str">
        <f t="array" ref="I412">XLOOKUP(G412,KLUS!$A$2:$A$2010,KLUS!$E$2:$E$2010)+XLOOKUP(H412,KLUS!$A$2:$A$2010,KLUS!$E$2:$E$2010)</f>
        <v>#N/A</v>
      </c>
      <c r="J412" s="114" t="str">
        <f t="shared" si="1"/>
        <v>#N/A</v>
      </c>
      <c r="K412" s="115" t="str">
        <f t="shared" si="2"/>
        <v>#N/A</v>
      </c>
      <c r="L412" s="125"/>
      <c r="M412" s="126"/>
      <c r="N412" s="127"/>
      <c r="O412" s="127"/>
    </row>
    <row r="413">
      <c r="A413" s="69" t="s">
        <v>6569</v>
      </c>
      <c r="B413" s="69" t="s">
        <v>5473</v>
      </c>
      <c r="C413" s="112" t="s">
        <v>6570</v>
      </c>
      <c r="D413" s="69"/>
      <c r="E413" s="69" t="s">
        <v>6571</v>
      </c>
      <c r="F413" s="69" t="s">
        <v>6572</v>
      </c>
      <c r="G413" s="69" t="s">
        <v>696</v>
      </c>
      <c r="H413" s="119"/>
      <c r="I413" s="114" t="str">
        <f t="array" ref="I413">XLOOKUP(G413,KLUS!$A$2:$A$2010,KLUS!$E$2:$E$2010)+XLOOKUP(H413,KLUS!$A$2:$A$2010,KLUS!$E$2:$E$2010)</f>
        <v>#N/A</v>
      </c>
      <c r="J413" s="114" t="str">
        <f t="shared" si="1"/>
        <v>#N/A</v>
      </c>
      <c r="K413" s="115" t="str">
        <f t="shared" si="2"/>
        <v>#N/A</v>
      </c>
      <c r="L413" s="125"/>
      <c r="M413" s="126"/>
      <c r="N413" s="127"/>
      <c r="O413" s="127"/>
    </row>
    <row r="414">
      <c r="A414" s="69" t="s">
        <v>6573</v>
      </c>
      <c r="B414" s="69" t="s">
        <v>5473</v>
      </c>
      <c r="C414" s="112" t="s">
        <v>6574</v>
      </c>
      <c r="D414" s="69"/>
      <c r="E414" s="69" t="s">
        <v>6575</v>
      </c>
      <c r="F414" s="69" t="s">
        <v>6576</v>
      </c>
      <c r="G414" s="69" t="s">
        <v>6577</v>
      </c>
      <c r="H414" s="119"/>
      <c r="I414" s="114" t="str">
        <f t="array" ref="I414">XLOOKUP(G414,KLUS!$A$2:$A$2010,KLUS!$E$2:$E$2010)+XLOOKUP(H414,KLUS!$A$2:$A$2010,KLUS!$E$2:$E$2010)</f>
        <v>#N/A</v>
      </c>
      <c r="J414" s="114" t="str">
        <f t="shared" si="1"/>
        <v>#N/A</v>
      </c>
      <c r="K414" s="115" t="str">
        <f t="shared" si="2"/>
        <v>#N/A</v>
      </c>
      <c r="L414" s="125"/>
      <c r="M414" s="126"/>
      <c r="N414" s="127"/>
      <c r="O414" s="127"/>
    </row>
    <row r="415">
      <c r="A415" s="69" t="s">
        <v>6578</v>
      </c>
      <c r="B415" s="69" t="s">
        <v>5473</v>
      </c>
      <c r="C415" s="112" t="s">
        <v>6579</v>
      </c>
      <c r="D415" s="69"/>
      <c r="E415" s="69" t="s">
        <v>6580</v>
      </c>
      <c r="F415" s="69" t="s">
        <v>6581</v>
      </c>
      <c r="G415" s="69" t="s">
        <v>698</v>
      </c>
      <c r="H415" s="119"/>
      <c r="I415" s="114" t="str">
        <f t="array" ref="I415">XLOOKUP(G415,KLUS!$A$2:$A$2010,KLUS!$E$2:$E$2010)+XLOOKUP(H415,KLUS!$A$2:$A$2010,KLUS!$E$2:$E$2010)</f>
        <v>#N/A</v>
      </c>
      <c r="J415" s="114" t="str">
        <f t="shared" si="1"/>
        <v>#N/A</v>
      </c>
      <c r="K415" s="115" t="str">
        <f t="shared" si="2"/>
        <v>#N/A</v>
      </c>
      <c r="L415" s="125"/>
      <c r="M415" s="126"/>
      <c r="N415" s="127"/>
      <c r="O415" s="127"/>
    </row>
    <row r="416">
      <c r="A416" s="69" t="s">
        <v>4702</v>
      </c>
      <c r="B416" s="69" t="s">
        <v>5486</v>
      </c>
      <c r="C416" s="112" t="s">
        <v>6582</v>
      </c>
      <c r="D416" s="69"/>
      <c r="E416" s="69" t="s">
        <v>4703</v>
      </c>
      <c r="F416" s="69" t="s">
        <v>6583</v>
      </c>
      <c r="G416" s="69" t="s">
        <v>483</v>
      </c>
      <c r="H416" s="119"/>
      <c r="I416" s="114" t="str">
        <f t="array" ref="I416">XLOOKUP(G416,KLUS!$A$2:$A$2010,KLUS!$E$2:$E$2010)+XLOOKUP(H416,KLUS!$A$2:$A$2010,KLUS!$E$2:$E$2010)</f>
        <v>#N/A</v>
      </c>
      <c r="J416" s="114" t="str">
        <f t="shared" si="1"/>
        <v>#N/A</v>
      </c>
      <c r="K416" s="115" t="str">
        <f t="shared" si="2"/>
        <v>#N/A</v>
      </c>
      <c r="L416" s="125"/>
      <c r="M416" s="126"/>
      <c r="N416" s="127"/>
      <c r="O416" s="127"/>
    </row>
    <row r="417">
      <c r="A417" s="69" t="s">
        <v>6584</v>
      </c>
      <c r="B417" s="69" t="s">
        <v>5473</v>
      </c>
      <c r="C417" s="112" t="s">
        <v>5503</v>
      </c>
      <c r="D417" s="69"/>
      <c r="E417" s="69" t="s">
        <v>4705</v>
      </c>
      <c r="F417" s="69" t="s">
        <v>6585</v>
      </c>
      <c r="G417" s="69" t="s">
        <v>483</v>
      </c>
      <c r="H417" s="113" t="s">
        <v>6586</v>
      </c>
      <c r="I417" s="114" t="str">
        <f t="array" ref="I417">XLOOKUP(G417,KLUS!$A$2:$A$2010,KLUS!$E$2:$E$2010)+XLOOKUP(H417,KLUS!$A$2:$A$2010,KLUS!$E$2:$E$2010)</f>
        <v>#N/A</v>
      </c>
      <c r="J417" s="114" t="str">
        <f t="shared" si="1"/>
        <v>#N/A</v>
      </c>
      <c r="K417" s="115" t="str">
        <f t="shared" si="2"/>
        <v>#N/A</v>
      </c>
      <c r="L417" s="125"/>
      <c r="M417" s="126"/>
      <c r="N417" s="127"/>
      <c r="O417" s="127"/>
    </row>
    <row r="418">
      <c r="A418" s="69" t="s">
        <v>6587</v>
      </c>
      <c r="B418" s="69" t="s">
        <v>5473</v>
      </c>
      <c r="C418" s="112" t="s">
        <v>5503</v>
      </c>
      <c r="D418" s="69"/>
      <c r="E418" s="69" t="s">
        <v>4707</v>
      </c>
      <c r="F418" s="118"/>
      <c r="G418" s="69" t="s">
        <v>483</v>
      </c>
      <c r="H418" s="116" t="s">
        <v>6588</v>
      </c>
      <c r="I418" s="114" t="str">
        <f t="array" ref="I418">XLOOKUP(G418,KLUS!$A$2:$A$2010,KLUS!$E$2:$E$2010)+XLOOKUP(H418,KLUS!$A$2:$A$2010,KLUS!$E$2:$E$2010)</f>
        <v>#N/A</v>
      </c>
      <c r="J418" s="114" t="str">
        <f t="shared" si="1"/>
        <v>#N/A</v>
      </c>
      <c r="K418" s="115" t="str">
        <f t="shared" si="2"/>
        <v>#N/A</v>
      </c>
      <c r="L418" s="125"/>
      <c r="M418" s="126"/>
      <c r="N418" s="127"/>
      <c r="O418" s="127"/>
    </row>
    <row r="419">
      <c r="A419" s="69" t="s">
        <v>4708</v>
      </c>
      <c r="B419" s="69" t="s">
        <v>5473</v>
      </c>
      <c r="C419" s="112" t="s">
        <v>6589</v>
      </c>
      <c r="D419" s="69"/>
      <c r="E419" s="69" t="s">
        <v>4709</v>
      </c>
      <c r="F419" s="69" t="s">
        <v>6590</v>
      </c>
      <c r="G419" s="69" t="s">
        <v>486</v>
      </c>
      <c r="H419" s="119"/>
      <c r="I419" s="114" t="str">
        <f t="array" ref="I419">XLOOKUP(G419,KLUS!$A$2:$A$2010,KLUS!$E$2:$E$2010)+XLOOKUP(H419,KLUS!$A$2:$A$2010,KLUS!$E$2:$E$2010)</f>
        <v>#N/A</v>
      </c>
      <c r="J419" s="114" t="str">
        <f t="shared" si="1"/>
        <v>#N/A</v>
      </c>
      <c r="K419" s="115" t="str">
        <f t="shared" si="2"/>
        <v>#N/A</v>
      </c>
      <c r="L419" s="125"/>
      <c r="M419" s="126"/>
      <c r="N419" s="127"/>
      <c r="O419" s="127"/>
    </row>
    <row r="420">
      <c r="A420" s="69" t="s">
        <v>6591</v>
      </c>
      <c r="B420" s="69" t="s">
        <v>5473</v>
      </c>
      <c r="C420" s="112" t="s">
        <v>5519</v>
      </c>
      <c r="D420" s="69"/>
      <c r="E420" s="69" t="s">
        <v>4711</v>
      </c>
      <c r="F420" s="69" t="s">
        <v>6592</v>
      </c>
      <c r="G420" s="69" t="s">
        <v>486</v>
      </c>
      <c r="H420" s="113" t="s">
        <v>6593</v>
      </c>
      <c r="I420" s="114" t="str">
        <f t="array" ref="I420">XLOOKUP(G420,KLUS!$A$2:$A$2010,KLUS!$E$2:$E$2010)+XLOOKUP(H420,KLUS!$A$2:$A$2010,KLUS!$E$2:$E$2010)</f>
        <v>#N/A</v>
      </c>
      <c r="J420" s="114" t="str">
        <f t="shared" si="1"/>
        <v>#N/A</v>
      </c>
      <c r="K420" s="115" t="str">
        <f t="shared" si="2"/>
        <v>#N/A</v>
      </c>
      <c r="L420" s="125"/>
      <c r="M420" s="126"/>
      <c r="N420" s="127"/>
      <c r="O420" s="127"/>
    </row>
    <row r="421">
      <c r="A421" s="69" t="s">
        <v>6594</v>
      </c>
      <c r="B421" s="69" t="s">
        <v>5473</v>
      </c>
      <c r="C421" s="112" t="s">
        <v>5519</v>
      </c>
      <c r="D421" s="69"/>
      <c r="E421" s="69" t="s">
        <v>4713</v>
      </c>
      <c r="F421" s="118"/>
      <c r="G421" s="69" t="s">
        <v>486</v>
      </c>
      <c r="H421" s="113" t="s">
        <v>6595</v>
      </c>
      <c r="I421" s="114" t="str">
        <f t="array" ref="I421">XLOOKUP(G421,KLUS!$A$2:$A$2010,KLUS!$E$2:$E$2010)+XLOOKUP(H421,KLUS!$A$2:$A$2010,KLUS!$E$2:$E$2010)</f>
        <v>#N/A</v>
      </c>
      <c r="J421" s="114" t="str">
        <f t="shared" si="1"/>
        <v>#N/A</v>
      </c>
      <c r="K421" s="115" t="str">
        <f t="shared" si="2"/>
        <v>#N/A</v>
      </c>
      <c r="L421" s="125"/>
      <c r="M421" s="126"/>
      <c r="N421" s="127"/>
      <c r="O421" s="127"/>
    </row>
    <row r="422">
      <c r="A422" s="69" t="s">
        <v>4714</v>
      </c>
      <c r="B422" s="69" t="s">
        <v>5473</v>
      </c>
      <c r="C422" s="112" t="s">
        <v>6310</v>
      </c>
      <c r="D422" s="69"/>
      <c r="E422" s="69" t="s">
        <v>4715</v>
      </c>
      <c r="F422" s="69" t="s">
        <v>6596</v>
      </c>
      <c r="G422" s="69" t="s">
        <v>488</v>
      </c>
      <c r="H422" s="119"/>
      <c r="I422" s="114" t="str">
        <f t="array" ref="I422">XLOOKUP(G422,KLUS!$A$2:$A$2010,KLUS!$E$2:$E$2010)+XLOOKUP(H422,KLUS!$A$2:$A$2010,KLUS!$E$2:$E$2010)</f>
        <v>#N/A</v>
      </c>
      <c r="J422" s="114" t="str">
        <f t="shared" si="1"/>
        <v>#N/A</v>
      </c>
      <c r="K422" s="115" t="str">
        <f t="shared" si="2"/>
        <v>#N/A</v>
      </c>
      <c r="L422" s="125"/>
      <c r="M422" s="126"/>
      <c r="N422" s="127"/>
      <c r="O422" s="127"/>
    </row>
    <row r="423">
      <c r="A423" s="69" t="s">
        <v>6597</v>
      </c>
      <c r="B423" s="69" t="s">
        <v>5473</v>
      </c>
      <c r="C423" s="112" t="s">
        <v>5536</v>
      </c>
      <c r="D423" s="69"/>
      <c r="E423" s="69" t="s">
        <v>4717</v>
      </c>
      <c r="F423" s="118"/>
      <c r="G423" s="69" t="s">
        <v>488</v>
      </c>
      <c r="H423" s="113" t="s">
        <v>6598</v>
      </c>
      <c r="I423" s="114" t="str">
        <f t="array" ref="I423">XLOOKUP(G423,KLUS!$A$2:$A$2010,KLUS!$E$2:$E$2010)+XLOOKUP(H423,KLUS!$A$2:$A$2010,KLUS!$E$2:$E$2010)</f>
        <v>#N/A</v>
      </c>
      <c r="J423" s="114" t="str">
        <f t="shared" si="1"/>
        <v>#N/A</v>
      </c>
      <c r="K423" s="115" t="str">
        <f t="shared" si="2"/>
        <v>#N/A</v>
      </c>
      <c r="L423" s="125"/>
      <c r="M423" s="126"/>
      <c r="N423" s="127"/>
      <c r="O423" s="127"/>
    </row>
    <row r="424">
      <c r="A424" s="69" t="s">
        <v>6599</v>
      </c>
      <c r="B424" s="69" t="s">
        <v>5473</v>
      </c>
      <c r="C424" s="112" t="s">
        <v>6600</v>
      </c>
      <c r="D424" s="69"/>
      <c r="E424" s="69" t="s">
        <v>6601</v>
      </c>
      <c r="F424" s="69" t="s">
        <v>6602</v>
      </c>
      <c r="G424" s="69" t="s">
        <v>431</v>
      </c>
      <c r="H424" s="113"/>
      <c r="I424" s="114" t="str">
        <f t="array" ref="I424">XLOOKUP(G424,KLUS!$A$2:$A$2010,KLUS!$E$2:$E$2010)+XLOOKUP(H424,KLUS!$A$2:$A$2010,KLUS!$E$2:$E$2010)</f>
        <v>#N/A</v>
      </c>
      <c r="J424" s="114" t="str">
        <f t="shared" si="1"/>
        <v>#N/A</v>
      </c>
      <c r="K424" s="115" t="str">
        <f t="shared" si="2"/>
        <v>#N/A</v>
      </c>
      <c r="L424" s="125"/>
      <c r="M424" s="126"/>
      <c r="N424" s="127"/>
      <c r="O424" s="127"/>
    </row>
    <row r="425">
      <c r="A425" s="69" t="s">
        <v>6603</v>
      </c>
      <c r="B425" s="69" t="s">
        <v>5473</v>
      </c>
      <c r="C425" s="112" t="s">
        <v>5480</v>
      </c>
      <c r="D425" s="69"/>
      <c r="E425" s="69" t="s">
        <v>6604</v>
      </c>
      <c r="F425" s="69" t="s">
        <v>6605</v>
      </c>
      <c r="G425" s="69" t="s">
        <v>434</v>
      </c>
      <c r="H425" s="119"/>
      <c r="I425" s="114" t="str">
        <f t="array" ref="I425">XLOOKUP(G425,KLUS!$A$2:$A$2010,KLUS!$E$2:$E$2010)+XLOOKUP(H425,KLUS!$A$2:$A$2010,KLUS!$E$2:$E$2010)</f>
        <v>#N/A</v>
      </c>
      <c r="J425" s="114" t="str">
        <f t="shared" si="1"/>
        <v>#N/A</v>
      </c>
      <c r="K425" s="115" t="str">
        <f t="shared" si="2"/>
        <v>#N/A</v>
      </c>
      <c r="L425" s="125"/>
      <c r="M425" s="126"/>
      <c r="N425" s="127"/>
      <c r="O425" s="127"/>
    </row>
    <row r="426">
      <c r="A426" s="69" t="s">
        <v>6606</v>
      </c>
      <c r="B426" s="69" t="s">
        <v>5473</v>
      </c>
      <c r="C426" s="112" t="s">
        <v>6607</v>
      </c>
      <c r="D426" s="69"/>
      <c r="E426" s="69" t="s">
        <v>4729</v>
      </c>
      <c r="F426" s="69" t="s">
        <v>6608</v>
      </c>
      <c r="G426" s="69" t="s">
        <v>6609</v>
      </c>
      <c r="H426" s="119"/>
      <c r="I426" s="114" t="str">
        <f t="array" ref="I426">XLOOKUP(G426,KLUS!$A$2:$A$2010,KLUS!$E$2:$E$2010)+XLOOKUP(H426,KLUS!$A$2:$A$2010,KLUS!$E$2:$E$2010)</f>
        <v>#N/A</v>
      </c>
      <c r="J426" s="114" t="str">
        <f t="shared" si="1"/>
        <v>#N/A</v>
      </c>
      <c r="K426" s="115" t="str">
        <f t="shared" si="2"/>
        <v>#N/A</v>
      </c>
      <c r="L426" s="125"/>
      <c r="M426" s="126"/>
      <c r="N426" s="127"/>
      <c r="O426" s="127"/>
    </row>
    <row r="427">
      <c r="A427" s="69" t="s">
        <v>6610</v>
      </c>
      <c r="B427" s="69" t="s">
        <v>5473</v>
      </c>
      <c r="C427" s="112" t="s">
        <v>6611</v>
      </c>
      <c r="D427" s="69"/>
      <c r="E427" s="69" t="s">
        <v>6612</v>
      </c>
      <c r="F427" s="69" t="s">
        <v>6613</v>
      </c>
      <c r="G427" s="69" t="s">
        <v>6614</v>
      </c>
      <c r="H427" s="119"/>
      <c r="I427" s="114" t="str">
        <f t="array" ref="I427">XLOOKUP(G427,KLUS!$A$2:$A$2010,KLUS!$E$2:$E$2010)+XLOOKUP(H427,KLUS!$A$2:$A$2010,KLUS!$E$2:$E$2010)</f>
        <v>#N/A</v>
      </c>
      <c r="J427" s="114" t="str">
        <f t="shared" si="1"/>
        <v>#N/A</v>
      </c>
      <c r="K427" s="115" t="str">
        <f t="shared" si="2"/>
        <v>#N/A</v>
      </c>
      <c r="L427" s="125"/>
      <c r="M427" s="126"/>
      <c r="N427" s="127"/>
      <c r="O427" s="127"/>
    </row>
    <row r="428">
      <c r="A428" s="69" t="s">
        <v>6615</v>
      </c>
      <c r="B428" s="69" t="s">
        <v>5473</v>
      </c>
      <c r="C428" s="112" t="s">
        <v>6616</v>
      </c>
      <c r="D428" s="69"/>
      <c r="E428" s="69" t="s">
        <v>6617</v>
      </c>
      <c r="F428" s="69" t="s">
        <v>6618</v>
      </c>
      <c r="G428" s="69" t="s">
        <v>6619</v>
      </c>
      <c r="H428" s="119"/>
      <c r="I428" s="114" t="str">
        <f t="array" ref="I428">XLOOKUP(G428,KLUS!$A$2:$A$2010,KLUS!$E$2:$E$2010)+XLOOKUP(H428,KLUS!$A$2:$A$2010,KLUS!$E$2:$E$2010)</f>
        <v>#N/A</v>
      </c>
      <c r="J428" s="114" t="str">
        <f t="shared" si="1"/>
        <v>#N/A</v>
      </c>
      <c r="K428" s="115" t="str">
        <f t="shared" si="2"/>
        <v>#N/A</v>
      </c>
      <c r="L428" s="125"/>
      <c r="M428" s="126"/>
      <c r="N428" s="127"/>
      <c r="O428" s="127"/>
    </row>
    <row r="429">
      <c r="A429" s="69" t="s">
        <v>4730</v>
      </c>
      <c r="B429" s="69" t="s">
        <v>5473</v>
      </c>
      <c r="C429" s="112" t="s">
        <v>6620</v>
      </c>
      <c r="D429" s="69"/>
      <c r="E429" s="69" t="s">
        <v>4731</v>
      </c>
      <c r="F429" s="69" t="s">
        <v>6621</v>
      </c>
      <c r="G429" s="69" t="s">
        <v>846</v>
      </c>
      <c r="H429" s="119"/>
      <c r="I429" s="114" t="str">
        <f t="array" ref="I429">XLOOKUP(G429,KLUS!$A$2:$A$2010,KLUS!$E$2:$E$2010)+XLOOKUP(H429,KLUS!$A$2:$A$2010,KLUS!$E$2:$E$2010)</f>
        <v>#N/A</v>
      </c>
      <c r="J429" s="114" t="str">
        <f t="shared" si="1"/>
        <v>#N/A</v>
      </c>
      <c r="K429" s="115" t="str">
        <f t="shared" si="2"/>
        <v>#N/A</v>
      </c>
      <c r="L429" s="125"/>
      <c r="M429" s="126"/>
      <c r="N429" s="127"/>
      <c r="O429" s="127"/>
    </row>
    <row r="430">
      <c r="A430" s="69" t="s">
        <v>4732</v>
      </c>
      <c r="B430" s="69" t="s">
        <v>5473</v>
      </c>
      <c r="C430" s="112" t="s">
        <v>6622</v>
      </c>
      <c r="D430" s="69"/>
      <c r="E430" s="69" t="s">
        <v>4733</v>
      </c>
      <c r="F430" s="69" t="s">
        <v>6623</v>
      </c>
      <c r="G430" s="69" t="s">
        <v>849</v>
      </c>
      <c r="H430" s="119"/>
      <c r="I430" s="114" t="str">
        <f t="array" ref="I430">XLOOKUP(G430,KLUS!$A$2:$A$2010,KLUS!$E$2:$E$2010)+XLOOKUP(H430,KLUS!$A$2:$A$2010,KLUS!$E$2:$E$2010)</f>
        <v>#N/A</v>
      </c>
      <c r="J430" s="114" t="str">
        <f t="shared" si="1"/>
        <v>#N/A</v>
      </c>
      <c r="K430" s="115" t="str">
        <f t="shared" si="2"/>
        <v>#N/A</v>
      </c>
      <c r="L430" s="125"/>
      <c r="M430" s="126"/>
      <c r="N430" s="127"/>
      <c r="O430" s="127"/>
    </row>
    <row r="431">
      <c r="A431" s="69" t="s">
        <v>4734</v>
      </c>
      <c r="B431" s="69" t="s">
        <v>5473</v>
      </c>
      <c r="C431" s="112" t="s">
        <v>6624</v>
      </c>
      <c r="D431" s="69"/>
      <c r="E431" s="69" t="s">
        <v>4735</v>
      </c>
      <c r="F431" s="69" t="s">
        <v>6625</v>
      </c>
      <c r="G431" s="69" t="s">
        <v>851</v>
      </c>
      <c r="H431" s="119"/>
      <c r="I431" s="114" t="str">
        <f t="array" ref="I431">XLOOKUP(G431,KLUS!$A$2:$A$2010,KLUS!$E$2:$E$2010)+XLOOKUP(H431,KLUS!$A$2:$A$2010,KLUS!$E$2:$E$2010)</f>
        <v>#N/A</v>
      </c>
      <c r="J431" s="114" t="str">
        <f t="shared" si="1"/>
        <v>#N/A</v>
      </c>
      <c r="K431" s="115" t="str">
        <f t="shared" si="2"/>
        <v>#N/A</v>
      </c>
      <c r="L431" s="125"/>
      <c r="M431" s="126"/>
      <c r="N431" s="127"/>
      <c r="O431" s="127"/>
    </row>
    <row r="432">
      <c r="A432" s="69" t="s">
        <v>6626</v>
      </c>
      <c r="B432" s="69" t="s">
        <v>5473</v>
      </c>
      <c r="C432" s="112" t="s">
        <v>6627</v>
      </c>
      <c r="D432" s="69"/>
      <c r="E432" s="69" t="s">
        <v>6628</v>
      </c>
      <c r="F432" s="69" t="s">
        <v>6629</v>
      </c>
      <c r="G432" s="69" t="s">
        <v>6630</v>
      </c>
      <c r="H432" s="119"/>
      <c r="I432" s="114" t="str">
        <f t="array" ref="I432">XLOOKUP(G432,KLUS!$A$2:$A$2010,KLUS!$E$2:$E$2010)+XLOOKUP(H432,KLUS!$A$2:$A$2010,KLUS!$E$2:$E$2010)</f>
        <v>#N/A</v>
      </c>
      <c r="J432" s="114" t="str">
        <f t="shared" si="1"/>
        <v>#N/A</v>
      </c>
      <c r="K432" s="115" t="str">
        <f t="shared" si="2"/>
        <v>#N/A</v>
      </c>
      <c r="L432" s="125"/>
      <c r="M432" s="126"/>
      <c r="N432" s="127"/>
      <c r="O432" s="127"/>
    </row>
    <row r="433">
      <c r="A433" s="69" t="s">
        <v>6631</v>
      </c>
      <c r="B433" s="69" t="s">
        <v>5473</v>
      </c>
      <c r="C433" s="112" t="s">
        <v>6632</v>
      </c>
      <c r="D433" s="69"/>
      <c r="E433" s="69" t="s">
        <v>6633</v>
      </c>
      <c r="F433" s="69" t="s">
        <v>6634</v>
      </c>
      <c r="G433" s="69" t="s">
        <v>6635</v>
      </c>
      <c r="H433" s="119"/>
      <c r="I433" s="114" t="str">
        <f t="array" ref="I433">XLOOKUP(G433,KLUS!$A$2:$A$2010,KLUS!$E$2:$E$2010)+XLOOKUP(H433,KLUS!$A$2:$A$2010,KLUS!$E$2:$E$2010)</f>
        <v>#N/A</v>
      </c>
      <c r="J433" s="114" t="str">
        <f t="shared" si="1"/>
        <v>#N/A</v>
      </c>
      <c r="K433" s="115" t="str">
        <f t="shared" si="2"/>
        <v>#N/A</v>
      </c>
      <c r="L433" s="125"/>
      <c r="M433" s="126"/>
      <c r="N433" s="127"/>
      <c r="O433" s="127"/>
    </row>
    <row r="434">
      <c r="A434" s="69" t="s">
        <v>6636</v>
      </c>
      <c r="B434" s="69" t="s">
        <v>5473</v>
      </c>
      <c r="C434" s="112" t="s">
        <v>6637</v>
      </c>
      <c r="D434" s="69"/>
      <c r="E434" s="69" t="s">
        <v>6638</v>
      </c>
      <c r="F434" s="69" t="s">
        <v>6639</v>
      </c>
      <c r="G434" s="69" t="s">
        <v>6640</v>
      </c>
      <c r="H434" s="119"/>
      <c r="I434" s="114" t="str">
        <f t="array" ref="I434">XLOOKUP(G434,KLUS!$A$2:$A$2010,KLUS!$E$2:$E$2010)+XLOOKUP(H434,KLUS!$A$2:$A$2010,KLUS!$E$2:$E$2010)</f>
        <v>#N/A</v>
      </c>
      <c r="J434" s="114" t="str">
        <f t="shared" si="1"/>
        <v>#N/A</v>
      </c>
      <c r="K434" s="115" t="str">
        <f t="shared" si="2"/>
        <v>#N/A</v>
      </c>
      <c r="L434" s="125"/>
      <c r="M434" s="126"/>
      <c r="N434" s="127"/>
      <c r="O434" s="127"/>
    </row>
    <row r="435">
      <c r="A435" s="69" t="s">
        <v>6641</v>
      </c>
      <c r="B435" s="69" t="s">
        <v>5473</v>
      </c>
      <c r="C435" s="112" t="s">
        <v>6642</v>
      </c>
      <c r="D435" s="69"/>
      <c r="E435" s="69" t="s">
        <v>6643</v>
      </c>
      <c r="F435" s="69" t="s">
        <v>6644</v>
      </c>
      <c r="G435" s="69" t="s">
        <v>867</v>
      </c>
      <c r="H435" s="119"/>
      <c r="I435" s="114" t="str">
        <f t="array" ref="I435">XLOOKUP(G435,KLUS!$A$2:$A$2010,KLUS!$E$2:$E$2010)+XLOOKUP(H435,KLUS!$A$2:$A$2010,KLUS!$E$2:$E$2010)</f>
        <v>#N/A</v>
      </c>
      <c r="J435" s="114" t="str">
        <f t="shared" si="1"/>
        <v>#N/A</v>
      </c>
      <c r="K435" s="115" t="str">
        <f t="shared" si="2"/>
        <v>#N/A</v>
      </c>
      <c r="L435" s="125"/>
      <c r="M435" s="126"/>
      <c r="N435" s="127"/>
      <c r="O435" s="127"/>
    </row>
    <row r="436">
      <c r="A436" s="69" t="s">
        <v>6645</v>
      </c>
      <c r="B436" s="69" t="s">
        <v>5473</v>
      </c>
      <c r="C436" s="112" t="s">
        <v>6646</v>
      </c>
      <c r="D436" s="69"/>
      <c r="E436" s="69" t="s">
        <v>4742</v>
      </c>
      <c r="F436" s="69" t="s">
        <v>6647</v>
      </c>
      <c r="G436" s="69" t="s">
        <v>870</v>
      </c>
      <c r="H436" s="119"/>
      <c r="I436" s="114" t="str">
        <f t="array" ref="I436">XLOOKUP(G436,KLUS!$A$2:$A$2010,KLUS!$E$2:$E$2010)+XLOOKUP(H436,KLUS!$A$2:$A$2010,KLUS!$E$2:$E$2010)</f>
        <v>#N/A</v>
      </c>
      <c r="J436" s="114" t="str">
        <f t="shared" si="1"/>
        <v>#N/A</v>
      </c>
      <c r="K436" s="115" t="str">
        <f t="shared" si="2"/>
        <v>#N/A</v>
      </c>
      <c r="L436" s="125"/>
      <c r="M436" s="126"/>
      <c r="N436" s="127"/>
      <c r="O436" s="127"/>
    </row>
    <row r="437">
      <c r="A437" s="69" t="s">
        <v>6648</v>
      </c>
      <c r="B437" s="69" t="s">
        <v>5473</v>
      </c>
      <c r="C437" s="112" t="s">
        <v>6649</v>
      </c>
      <c r="D437" s="69"/>
      <c r="E437" s="69" t="s">
        <v>6650</v>
      </c>
      <c r="F437" s="69" t="s">
        <v>6651</v>
      </c>
      <c r="G437" s="69" t="s">
        <v>872</v>
      </c>
      <c r="H437" s="119"/>
      <c r="I437" s="114" t="str">
        <f t="array" ref="I437">XLOOKUP(G437,KLUS!$A$2:$A$2010,KLUS!$E$2:$E$2010)+XLOOKUP(H437,KLUS!$A$2:$A$2010,KLUS!$E$2:$E$2010)</f>
        <v>#N/A</v>
      </c>
      <c r="J437" s="114" t="str">
        <f t="shared" si="1"/>
        <v>#N/A</v>
      </c>
      <c r="K437" s="115" t="str">
        <f t="shared" si="2"/>
        <v>#N/A</v>
      </c>
      <c r="L437" s="125"/>
      <c r="M437" s="126"/>
      <c r="N437" s="127"/>
      <c r="O437" s="127"/>
    </row>
    <row r="438">
      <c r="A438" s="69" t="s">
        <v>6652</v>
      </c>
      <c r="B438" s="69" t="s">
        <v>5473</v>
      </c>
      <c r="C438" s="112" t="s">
        <v>6653</v>
      </c>
      <c r="D438" s="69"/>
      <c r="E438" s="69" t="s">
        <v>4746</v>
      </c>
      <c r="F438" s="69" t="s">
        <v>6654</v>
      </c>
      <c r="G438" s="69" t="s">
        <v>874</v>
      </c>
      <c r="H438" s="119"/>
      <c r="I438" s="114" t="str">
        <f t="array" ref="I438">XLOOKUP(G438,KLUS!$A$2:$A$2010,KLUS!$E$2:$E$2010)+XLOOKUP(H438,KLUS!$A$2:$A$2010,KLUS!$E$2:$E$2010)</f>
        <v>#N/A</v>
      </c>
      <c r="J438" s="114" t="str">
        <f t="shared" si="1"/>
        <v>#N/A</v>
      </c>
      <c r="K438" s="115" t="str">
        <f t="shared" si="2"/>
        <v>#N/A</v>
      </c>
      <c r="L438" s="125"/>
      <c r="M438" s="126"/>
      <c r="N438" s="127"/>
      <c r="O438" s="127"/>
    </row>
    <row r="439">
      <c r="A439" s="69" t="s">
        <v>6655</v>
      </c>
      <c r="B439" s="69" t="s">
        <v>5473</v>
      </c>
      <c r="C439" s="112" t="s">
        <v>5571</v>
      </c>
      <c r="D439" s="69"/>
      <c r="E439" s="69" t="s">
        <v>6656</v>
      </c>
      <c r="F439" s="69" t="s">
        <v>6657</v>
      </c>
      <c r="G439" s="69" t="s">
        <v>877</v>
      </c>
      <c r="H439" s="119"/>
      <c r="I439" s="114" t="str">
        <f t="array" ref="I439">XLOOKUP(G439,KLUS!$A$2:$A$2010,KLUS!$E$2:$E$2010)+XLOOKUP(H439,KLUS!$A$2:$A$2010,KLUS!$E$2:$E$2010)</f>
        <v>#N/A</v>
      </c>
      <c r="J439" s="114" t="str">
        <f t="shared" si="1"/>
        <v>#N/A</v>
      </c>
      <c r="K439" s="115" t="str">
        <f t="shared" si="2"/>
        <v>#N/A</v>
      </c>
      <c r="L439" s="125"/>
      <c r="M439" s="126"/>
      <c r="N439" s="127"/>
      <c r="O439" s="127"/>
    </row>
    <row r="440">
      <c r="A440" s="69" t="s">
        <v>6658</v>
      </c>
      <c r="B440" s="69" t="s">
        <v>5473</v>
      </c>
      <c r="C440" s="112" t="s">
        <v>6659</v>
      </c>
      <c r="D440" s="69"/>
      <c r="E440" s="69" t="s">
        <v>6660</v>
      </c>
      <c r="F440" s="69" t="s">
        <v>6661</v>
      </c>
      <c r="G440" s="69" t="s">
        <v>879</v>
      </c>
      <c r="H440" s="119"/>
      <c r="I440" s="114" t="str">
        <f t="array" ref="I440">XLOOKUP(G440,KLUS!$A$2:$A$2010,KLUS!$E$2:$E$2010)+XLOOKUP(H440,KLUS!$A$2:$A$2010,KLUS!$E$2:$E$2010)</f>
        <v>#N/A</v>
      </c>
      <c r="J440" s="114" t="str">
        <f t="shared" si="1"/>
        <v>#N/A</v>
      </c>
      <c r="K440" s="115" t="str">
        <f t="shared" si="2"/>
        <v>#N/A</v>
      </c>
      <c r="L440" s="125"/>
      <c r="M440" s="126"/>
      <c r="N440" s="127"/>
      <c r="O440" s="127"/>
    </row>
    <row r="441">
      <c r="A441" s="69" t="s">
        <v>6662</v>
      </c>
      <c r="B441" s="69" t="s">
        <v>5473</v>
      </c>
      <c r="C441" s="112" t="s">
        <v>6519</v>
      </c>
      <c r="D441" s="69"/>
      <c r="E441" s="69" t="s">
        <v>6663</v>
      </c>
      <c r="F441" s="69" t="s">
        <v>6664</v>
      </c>
      <c r="G441" s="69" t="s">
        <v>44</v>
      </c>
      <c r="H441" s="119"/>
      <c r="I441" s="114" t="str">
        <f t="array" ref="I441">XLOOKUP(G441,KLUS!$A$2:$A$2010,KLUS!$E$2:$E$2010)+XLOOKUP(H441,KLUS!$A$2:$A$2010,KLUS!$E$2:$E$2010)</f>
        <v>#N/A</v>
      </c>
      <c r="J441" s="114" t="str">
        <f t="shared" si="1"/>
        <v>#N/A</v>
      </c>
      <c r="K441" s="115" t="str">
        <f t="shared" si="2"/>
        <v>#N/A</v>
      </c>
      <c r="L441" s="125"/>
      <c r="M441" s="126"/>
      <c r="N441" s="127"/>
      <c r="O441" s="127"/>
    </row>
    <row r="442">
      <c r="A442" s="69" t="s">
        <v>6665</v>
      </c>
      <c r="B442" s="69" t="s">
        <v>5473</v>
      </c>
      <c r="C442" s="112" t="s">
        <v>6666</v>
      </c>
      <c r="D442" s="69"/>
      <c r="E442" s="69" t="s">
        <v>6667</v>
      </c>
      <c r="F442" s="69" t="s">
        <v>6668</v>
      </c>
      <c r="G442" s="69" t="s">
        <v>47</v>
      </c>
      <c r="H442" s="119"/>
      <c r="I442" s="114" t="str">
        <f t="array" ref="I442">XLOOKUP(G442,KLUS!$A$2:$A$2010,KLUS!$E$2:$E$2010)+XLOOKUP(H442,KLUS!$A$2:$A$2010,KLUS!$E$2:$E$2010)</f>
        <v>#N/A</v>
      </c>
      <c r="J442" s="114" t="str">
        <f t="shared" si="1"/>
        <v>#N/A</v>
      </c>
      <c r="K442" s="115" t="str">
        <f t="shared" si="2"/>
        <v>#N/A</v>
      </c>
      <c r="L442" s="125"/>
      <c r="M442" s="126"/>
      <c r="N442" s="127"/>
      <c r="O442" s="127"/>
    </row>
    <row r="443">
      <c r="A443" s="69" t="s">
        <v>6669</v>
      </c>
      <c r="B443" s="69" t="s">
        <v>5473</v>
      </c>
      <c r="C443" s="112" t="s">
        <v>6670</v>
      </c>
      <c r="D443" s="69"/>
      <c r="E443" s="69" t="s">
        <v>4756</v>
      </c>
      <c r="F443" s="69" t="s">
        <v>6671</v>
      </c>
      <c r="G443" s="69" t="s">
        <v>49</v>
      </c>
      <c r="H443" s="119"/>
      <c r="I443" s="114" t="str">
        <f t="array" ref="I443">XLOOKUP(G443,KLUS!$A$2:$A$2010,KLUS!$E$2:$E$2010)+XLOOKUP(H443,KLUS!$A$2:$A$2010,KLUS!$E$2:$E$2010)</f>
        <v>#N/A</v>
      </c>
      <c r="J443" s="114" t="str">
        <f t="shared" si="1"/>
        <v>#N/A</v>
      </c>
      <c r="K443" s="115" t="str">
        <f t="shared" si="2"/>
        <v>#N/A</v>
      </c>
      <c r="L443" s="125"/>
      <c r="M443" s="126"/>
      <c r="N443" s="127"/>
      <c r="O443" s="127"/>
    </row>
    <row r="444">
      <c r="A444" s="69" t="s">
        <v>6672</v>
      </c>
      <c r="B444" s="69" t="s">
        <v>5473</v>
      </c>
      <c r="C444" s="112" t="s">
        <v>6632</v>
      </c>
      <c r="D444" s="69"/>
      <c r="E444" s="69" t="s">
        <v>4758</v>
      </c>
      <c r="F444" s="69" t="s">
        <v>6673</v>
      </c>
      <c r="G444" s="69" t="s">
        <v>6674</v>
      </c>
      <c r="H444" s="119"/>
      <c r="I444" s="114" t="str">
        <f t="array" ref="I444">XLOOKUP(G444,KLUS!$A$2:$A$2010,KLUS!$E$2:$E$2010)+XLOOKUP(H444,KLUS!$A$2:$A$2010,KLUS!$E$2:$E$2010)</f>
        <v>#N/A</v>
      </c>
      <c r="J444" s="114" t="str">
        <f t="shared" si="1"/>
        <v>#N/A</v>
      </c>
      <c r="K444" s="115" t="str">
        <f t="shared" si="2"/>
        <v>#N/A</v>
      </c>
      <c r="L444" s="125"/>
      <c r="M444" s="126"/>
      <c r="N444" s="127"/>
      <c r="O444" s="127"/>
    </row>
    <row r="445">
      <c r="A445" s="69" t="s">
        <v>6675</v>
      </c>
      <c r="B445" s="69" t="s">
        <v>5473</v>
      </c>
      <c r="C445" s="112" t="s">
        <v>6676</v>
      </c>
      <c r="D445" s="69"/>
      <c r="E445" s="69" t="s">
        <v>4760</v>
      </c>
      <c r="F445" s="69" t="s">
        <v>6677</v>
      </c>
      <c r="G445" s="69" t="s">
        <v>6678</v>
      </c>
      <c r="H445" s="119"/>
      <c r="I445" s="114" t="str">
        <f t="array" ref="I445">XLOOKUP(G445,KLUS!$A$2:$A$2010,KLUS!$E$2:$E$2010)+XLOOKUP(H445,KLUS!$A$2:$A$2010,KLUS!$E$2:$E$2010)</f>
        <v>#N/A</v>
      </c>
      <c r="J445" s="114" t="str">
        <f t="shared" si="1"/>
        <v>#N/A</v>
      </c>
      <c r="K445" s="115" t="str">
        <f t="shared" si="2"/>
        <v>#N/A</v>
      </c>
      <c r="L445" s="125"/>
      <c r="M445" s="126"/>
      <c r="N445" s="127"/>
      <c r="O445" s="127"/>
    </row>
    <row r="446">
      <c r="A446" s="69" t="s">
        <v>6679</v>
      </c>
      <c r="B446" s="69" t="s">
        <v>5473</v>
      </c>
      <c r="C446" s="112" t="s">
        <v>6680</v>
      </c>
      <c r="D446" s="69"/>
      <c r="E446" s="69" t="s">
        <v>4762</v>
      </c>
      <c r="F446" s="69" t="s">
        <v>6681</v>
      </c>
      <c r="G446" s="69" t="s">
        <v>6682</v>
      </c>
      <c r="H446" s="119"/>
      <c r="I446" s="114" t="str">
        <f t="array" ref="I446">XLOOKUP(G446,KLUS!$A$2:$A$2010,KLUS!$E$2:$E$2010)+XLOOKUP(H446,KLUS!$A$2:$A$2010,KLUS!$E$2:$E$2010)</f>
        <v>#N/A</v>
      </c>
      <c r="J446" s="114" t="str">
        <f t="shared" si="1"/>
        <v>#N/A</v>
      </c>
      <c r="K446" s="115" t="str">
        <f t="shared" si="2"/>
        <v>#N/A</v>
      </c>
      <c r="L446" s="125"/>
      <c r="M446" s="126"/>
      <c r="N446" s="127"/>
      <c r="O446" s="127"/>
    </row>
    <row r="447">
      <c r="A447" s="69" t="s">
        <v>6683</v>
      </c>
      <c r="B447" s="69" t="s">
        <v>5473</v>
      </c>
      <c r="C447" s="112" t="s">
        <v>6684</v>
      </c>
      <c r="D447" s="69"/>
      <c r="E447" s="69" t="s">
        <v>4764</v>
      </c>
      <c r="F447" s="69" t="s">
        <v>6685</v>
      </c>
      <c r="G447" s="69" t="s">
        <v>6686</v>
      </c>
      <c r="H447" s="119"/>
      <c r="I447" s="114" t="str">
        <f t="array" ref="I447">XLOOKUP(G447,KLUS!$A$2:$A$2010,KLUS!$E$2:$E$2010)+XLOOKUP(H447,KLUS!$A$2:$A$2010,KLUS!$E$2:$E$2010)</f>
        <v>#N/A</v>
      </c>
      <c r="J447" s="114" t="str">
        <f t="shared" si="1"/>
        <v>#N/A</v>
      </c>
      <c r="K447" s="115" t="str">
        <f t="shared" si="2"/>
        <v>#N/A</v>
      </c>
      <c r="L447" s="125"/>
      <c r="M447" s="126"/>
      <c r="N447" s="127"/>
      <c r="O447" s="127"/>
    </row>
    <row r="448">
      <c r="A448" s="69" t="s">
        <v>6687</v>
      </c>
      <c r="B448" s="69" t="s">
        <v>5473</v>
      </c>
      <c r="C448" s="112" t="s">
        <v>6688</v>
      </c>
      <c r="D448" s="69"/>
      <c r="E448" s="69" t="s">
        <v>4766</v>
      </c>
      <c r="F448" s="69" t="s">
        <v>6689</v>
      </c>
      <c r="G448" s="69" t="s">
        <v>6690</v>
      </c>
      <c r="H448" s="119"/>
      <c r="I448" s="114" t="str">
        <f t="array" ref="I448">XLOOKUP(G448,KLUS!$A$2:$A$2010,KLUS!$E$2:$E$2010)+XLOOKUP(H448,KLUS!$A$2:$A$2010,KLUS!$E$2:$E$2010)</f>
        <v>#N/A</v>
      </c>
      <c r="J448" s="114" t="str">
        <f t="shared" si="1"/>
        <v>#N/A</v>
      </c>
      <c r="K448" s="115" t="str">
        <f t="shared" si="2"/>
        <v>#N/A</v>
      </c>
      <c r="L448" s="125"/>
      <c r="M448" s="126"/>
      <c r="N448" s="127"/>
      <c r="O448" s="127"/>
    </row>
    <row r="449">
      <c r="A449" s="69" t="s">
        <v>6691</v>
      </c>
      <c r="B449" s="69" t="s">
        <v>5473</v>
      </c>
      <c r="C449" s="112" t="s">
        <v>6692</v>
      </c>
      <c r="D449" s="69"/>
      <c r="E449" s="69" t="s">
        <v>4768</v>
      </c>
      <c r="F449" s="69" t="s">
        <v>6693</v>
      </c>
      <c r="G449" s="69" t="s">
        <v>6694</v>
      </c>
      <c r="H449" s="119"/>
      <c r="I449" s="114" t="str">
        <f t="array" ref="I449">XLOOKUP(G449,KLUS!$A$2:$A$2010,KLUS!$E$2:$E$2010)+XLOOKUP(H449,KLUS!$A$2:$A$2010,KLUS!$E$2:$E$2010)</f>
        <v>#N/A</v>
      </c>
      <c r="J449" s="114" t="str">
        <f t="shared" si="1"/>
        <v>#N/A</v>
      </c>
      <c r="K449" s="115" t="str">
        <f t="shared" si="2"/>
        <v>#N/A</v>
      </c>
      <c r="L449" s="125"/>
      <c r="M449" s="126"/>
      <c r="N449" s="127"/>
      <c r="O449" s="127"/>
    </row>
    <row r="450">
      <c r="A450" s="69" t="s">
        <v>6695</v>
      </c>
      <c r="B450" s="69" t="s">
        <v>5473</v>
      </c>
      <c r="C450" s="112" t="s">
        <v>6696</v>
      </c>
      <c r="D450" s="69"/>
      <c r="E450" s="69" t="s">
        <v>4770</v>
      </c>
      <c r="F450" s="69" t="s">
        <v>6697</v>
      </c>
      <c r="G450" s="69" t="s">
        <v>6698</v>
      </c>
      <c r="H450" s="119"/>
      <c r="I450" s="114" t="str">
        <f t="array" ref="I450">XLOOKUP(G450,KLUS!$A$2:$A$2010,KLUS!$E$2:$E$2010)+XLOOKUP(H450,KLUS!$A$2:$A$2010,KLUS!$E$2:$E$2010)</f>
        <v>#N/A</v>
      </c>
      <c r="J450" s="114" t="str">
        <f t="shared" si="1"/>
        <v>#N/A</v>
      </c>
      <c r="K450" s="115" t="str">
        <f t="shared" si="2"/>
        <v>#N/A</v>
      </c>
      <c r="L450" s="125"/>
      <c r="M450" s="126"/>
      <c r="N450" s="127"/>
      <c r="O450" s="127"/>
    </row>
    <row r="451">
      <c r="A451" s="69" t="s">
        <v>6699</v>
      </c>
      <c r="B451" s="69" t="s">
        <v>5473</v>
      </c>
      <c r="C451" s="112" t="s">
        <v>6700</v>
      </c>
      <c r="D451" s="69"/>
      <c r="E451" s="69" t="s">
        <v>4772</v>
      </c>
      <c r="F451" s="69" t="s">
        <v>6701</v>
      </c>
      <c r="G451" s="69" t="s">
        <v>6702</v>
      </c>
      <c r="H451" s="119"/>
      <c r="I451" s="114" t="str">
        <f t="array" ref="I451">XLOOKUP(G451,KLUS!$A$2:$A$2010,KLUS!$E$2:$E$2010)+XLOOKUP(H451,KLUS!$A$2:$A$2010,KLUS!$E$2:$E$2010)</f>
        <v>#N/A</v>
      </c>
      <c r="J451" s="114" t="str">
        <f t="shared" si="1"/>
        <v>#N/A</v>
      </c>
      <c r="K451" s="115" t="str">
        <f t="shared" si="2"/>
        <v>#N/A</v>
      </c>
      <c r="L451" s="125"/>
      <c r="M451" s="126"/>
      <c r="N451" s="127"/>
      <c r="O451" s="127"/>
    </row>
    <row r="452">
      <c r="A452" s="69" t="s">
        <v>6703</v>
      </c>
      <c r="B452" s="69" t="s">
        <v>5473</v>
      </c>
      <c r="C452" s="112" t="s">
        <v>6704</v>
      </c>
      <c r="D452" s="69"/>
      <c r="E452" s="69" t="s">
        <v>4774</v>
      </c>
      <c r="F452" s="69" t="s">
        <v>6705</v>
      </c>
      <c r="G452" s="69" t="s">
        <v>6706</v>
      </c>
      <c r="H452" s="119"/>
      <c r="I452" s="114" t="str">
        <f t="array" ref="I452">XLOOKUP(G452,KLUS!$A$2:$A$2010,KLUS!$E$2:$E$2010)+XLOOKUP(H452,KLUS!$A$2:$A$2010,KLUS!$E$2:$E$2010)</f>
        <v>#N/A</v>
      </c>
      <c r="J452" s="114" t="str">
        <f t="shared" si="1"/>
        <v>#N/A</v>
      </c>
      <c r="K452" s="115" t="str">
        <f t="shared" si="2"/>
        <v>#N/A</v>
      </c>
      <c r="L452" s="125"/>
      <c r="M452" s="126"/>
      <c r="N452" s="127"/>
      <c r="O452" s="127"/>
    </row>
    <row r="453">
      <c r="A453" s="69" t="s">
        <v>6707</v>
      </c>
      <c r="B453" s="69" t="s">
        <v>5473</v>
      </c>
      <c r="C453" s="112" t="s">
        <v>6708</v>
      </c>
      <c r="D453" s="69"/>
      <c r="E453" s="69" t="s">
        <v>4776</v>
      </c>
      <c r="F453" s="69" t="s">
        <v>6709</v>
      </c>
      <c r="G453" s="69" t="s">
        <v>490</v>
      </c>
      <c r="H453" s="119"/>
      <c r="I453" s="114" t="str">
        <f t="array" ref="I453">XLOOKUP(G453,KLUS!$A$2:$A$2010,KLUS!$E$2:$E$2010)+XLOOKUP(H453,KLUS!$A$2:$A$2010,KLUS!$E$2:$E$2010)</f>
        <v>#N/A</v>
      </c>
      <c r="J453" s="114" t="str">
        <f t="shared" si="1"/>
        <v>#N/A</v>
      </c>
      <c r="K453" s="115" t="str">
        <f t="shared" si="2"/>
        <v>#N/A</v>
      </c>
      <c r="L453" s="125"/>
      <c r="M453" s="126"/>
      <c r="N453" s="127"/>
      <c r="O453" s="127"/>
    </row>
    <row r="454">
      <c r="A454" s="69" t="s">
        <v>6710</v>
      </c>
      <c r="B454" s="69" t="s">
        <v>5473</v>
      </c>
      <c r="C454" s="112" t="s">
        <v>6711</v>
      </c>
      <c r="D454" s="69"/>
      <c r="E454" s="69" t="s">
        <v>4778</v>
      </c>
      <c r="F454" s="69" t="s">
        <v>6712</v>
      </c>
      <c r="G454" s="69" t="s">
        <v>493</v>
      </c>
      <c r="H454" s="119"/>
      <c r="I454" s="114" t="str">
        <f t="array" ref="I454">XLOOKUP(G454,KLUS!$A$2:$A$2010,KLUS!$E$2:$E$2010)+XLOOKUP(H454,KLUS!$A$2:$A$2010,KLUS!$E$2:$E$2010)</f>
        <v>#N/A</v>
      </c>
      <c r="J454" s="114" t="str">
        <f t="shared" si="1"/>
        <v>#N/A</v>
      </c>
      <c r="K454" s="115" t="str">
        <f t="shared" si="2"/>
        <v>#N/A</v>
      </c>
      <c r="L454" s="125"/>
      <c r="M454" s="126"/>
      <c r="N454" s="127"/>
      <c r="O454" s="127"/>
    </row>
    <row r="455">
      <c r="A455" s="69" t="s">
        <v>6713</v>
      </c>
      <c r="B455" s="69" t="s">
        <v>5473</v>
      </c>
      <c r="C455" s="112" t="s">
        <v>6714</v>
      </c>
      <c r="D455" s="69"/>
      <c r="E455" s="69" t="s">
        <v>6715</v>
      </c>
      <c r="F455" s="69" t="s">
        <v>6716</v>
      </c>
      <c r="G455" s="69" t="s">
        <v>495</v>
      </c>
      <c r="H455" s="119"/>
      <c r="I455" s="114" t="str">
        <f t="array" ref="I455">XLOOKUP(G455,KLUS!$A$2:$A$2010,KLUS!$E$2:$E$2010)+XLOOKUP(H455,KLUS!$A$2:$A$2010,KLUS!$E$2:$E$2010)</f>
        <v>#N/A</v>
      </c>
      <c r="J455" s="114" t="str">
        <f t="shared" si="1"/>
        <v>#N/A</v>
      </c>
      <c r="K455" s="115" t="str">
        <f t="shared" si="2"/>
        <v>#N/A</v>
      </c>
      <c r="L455" s="125"/>
      <c r="M455" s="126"/>
      <c r="N455" s="127"/>
      <c r="O455" s="127"/>
    </row>
    <row r="456">
      <c r="A456" s="69" t="s">
        <v>6717</v>
      </c>
      <c r="B456" s="69" t="s">
        <v>5473</v>
      </c>
      <c r="C456" s="112" t="s">
        <v>6371</v>
      </c>
      <c r="D456" s="69"/>
      <c r="E456" s="69" t="s">
        <v>4782</v>
      </c>
      <c r="F456" s="69" t="s">
        <v>6718</v>
      </c>
      <c r="G456" s="69" t="s">
        <v>497</v>
      </c>
      <c r="H456" s="119"/>
      <c r="I456" s="114" t="str">
        <f t="array" ref="I456">XLOOKUP(G456,KLUS!$A$2:$A$2010,KLUS!$E$2:$E$2010)+XLOOKUP(H456,KLUS!$A$2:$A$2010,KLUS!$E$2:$E$2010)</f>
        <v>#N/A</v>
      </c>
      <c r="J456" s="114" t="str">
        <f t="shared" si="1"/>
        <v>#N/A</v>
      </c>
      <c r="K456" s="115" t="str">
        <f t="shared" si="2"/>
        <v>#N/A</v>
      </c>
      <c r="L456" s="125"/>
      <c r="M456" s="126"/>
      <c r="N456" s="127"/>
      <c r="O456" s="127"/>
    </row>
    <row r="457">
      <c r="A457" s="69" t="s">
        <v>6719</v>
      </c>
      <c r="B457" s="69" t="s">
        <v>5473</v>
      </c>
      <c r="C457" s="112" t="s">
        <v>6720</v>
      </c>
      <c r="D457" s="69"/>
      <c r="E457" s="69" t="s">
        <v>4784</v>
      </c>
      <c r="F457" s="69" t="s">
        <v>6721</v>
      </c>
      <c r="G457" s="69" t="s">
        <v>500</v>
      </c>
      <c r="H457" s="119"/>
      <c r="I457" s="114" t="str">
        <f t="array" ref="I457">XLOOKUP(G457,KLUS!$A$2:$A$2010,KLUS!$E$2:$E$2010)+XLOOKUP(H457,KLUS!$A$2:$A$2010,KLUS!$E$2:$E$2010)</f>
        <v>#N/A</v>
      </c>
      <c r="J457" s="114" t="str">
        <f t="shared" si="1"/>
        <v>#N/A</v>
      </c>
      <c r="K457" s="115" t="str">
        <f t="shared" si="2"/>
        <v>#N/A</v>
      </c>
      <c r="L457" s="125"/>
      <c r="M457" s="126"/>
      <c r="N457" s="127"/>
      <c r="O457" s="127"/>
    </row>
    <row r="458">
      <c r="A458" s="69" t="s">
        <v>6722</v>
      </c>
      <c r="B458" s="69" t="s">
        <v>5473</v>
      </c>
      <c r="C458" s="112" t="s">
        <v>6723</v>
      </c>
      <c r="D458" s="69"/>
      <c r="E458" s="69" t="s">
        <v>4786</v>
      </c>
      <c r="F458" s="69" t="s">
        <v>6724</v>
      </c>
      <c r="G458" s="69" t="s">
        <v>502</v>
      </c>
      <c r="H458" s="119"/>
      <c r="I458" s="114" t="str">
        <f t="array" ref="I458">XLOOKUP(G458,KLUS!$A$2:$A$2010,KLUS!$E$2:$E$2010)+XLOOKUP(H458,KLUS!$A$2:$A$2010,KLUS!$E$2:$E$2010)</f>
        <v>#N/A</v>
      </c>
      <c r="J458" s="114" t="str">
        <f t="shared" si="1"/>
        <v>#N/A</v>
      </c>
      <c r="K458" s="115" t="str">
        <f t="shared" si="2"/>
        <v>#N/A</v>
      </c>
      <c r="L458" s="125"/>
      <c r="M458" s="126"/>
      <c r="N458" s="127"/>
      <c r="O458" s="127"/>
    </row>
    <row r="459">
      <c r="A459" s="69" t="s">
        <v>6725</v>
      </c>
      <c r="B459" s="69" t="s">
        <v>5473</v>
      </c>
      <c r="C459" s="112" t="s">
        <v>6726</v>
      </c>
      <c r="D459" s="69"/>
      <c r="E459" s="69" t="s">
        <v>4788</v>
      </c>
      <c r="F459" s="69" t="s">
        <v>6727</v>
      </c>
      <c r="G459" s="69" t="s">
        <v>511</v>
      </c>
      <c r="H459" s="119"/>
      <c r="I459" s="114" t="str">
        <f t="array" ref="I459">XLOOKUP(G459,KLUS!$A$2:$A$2010,KLUS!$E$2:$E$2010)+XLOOKUP(H459,KLUS!$A$2:$A$2010,KLUS!$E$2:$E$2010)</f>
        <v>#N/A</v>
      </c>
      <c r="J459" s="114" t="str">
        <f t="shared" si="1"/>
        <v>#N/A</v>
      </c>
      <c r="K459" s="115" t="str">
        <f t="shared" si="2"/>
        <v>#N/A</v>
      </c>
      <c r="L459" s="125"/>
      <c r="M459" s="126"/>
      <c r="N459" s="127"/>
      <c r="O459" s="127"/>
    </row>
    <row r="460">
      <c r="A460" s="69" t="s">
        <v>6728</v>
      </c>
      <c r="B460" s="69" t="s">
        <v>5473</v>
      </c>
      <c r="C460" s="112" t="s">
        <v>6729</v>
      </c>
      <c r="D460" s="69"/>
      <c r="E460" s="69" t="s">
        <v>4790</v>
      </c>
      <c r="F460" s="69" t="s">
        <v>6730</v>
      </c>
      <c r="G460" s="69" t="s">
        <v>6731</v>
      </c>
      <c r="H460" s="119"/>
      <c r="I460" s="114" t="str">
        <f t="array" ref="I460">XLOOKUP(G460,KLUS!$A$2:$A$2010,KLUS!$E$2:$E$2010)+XLOOKUP(H460,KLUS!$A$2:$A$2010,KLUS!$E$2:$E$2010)</f>
        <v>#N/A</v>
      </c>
      <c r="J460" s="114" t="str">
        <f t="shared" si="1"/>
        <v>#N/A</v>
      </c>
      <c r="K460" s="115" t="str">
        <f t="shared" si="2"/>
        <v>#N/A</v>
      </c>
      <c r="L460" s="125"/>
      <c r="M460" s="126"/>
      <c r="N460" s="127"/>
      <c r="O460" s="127"/>
    </row>
    <row r="461">
      <c r="A461" s="69" t="s">
        <v>6732</v>
      </c>
      <c r="B461" s="69" t="s">
        <v>5473</v>
      </c>
      <c r="C461" s="112" t="s">
        <v>6733</v>
      </c>
      <c r="D461" s="69"/>
      <c r="E461" s="69" t="s">
        <v>4792</v>
      </c>
      <c r="F461" s="69" t="s">
        <v>6734</v>
      </c>
      <c r="G461" s="69" t="s">
        <v>6735</v>
      </c>
      <c r="H461" s="119"/>
      <c r="I461" s="114" t="str">
        <f t="array" ref="I461">XLOOKUP(G461,KLUS!$A$2:$A$2010,KLUS!$E$2:$E$2010)+XLOOKUP(H461,KLUS!$A$2:$A$2010,KLUS!$E$2:$E$2010)</f>
        <v>#N/A</v>
      </c>
      <c r="J461" s="114" t="str">
        <f t="shared" si="1"/>
        <v>#N/A</v>
      </c>
      <c r="K461" s="115" t="str">
        <f t="shared" si="2"/>
        <v>#N/A</v>
      </c>
      <c r="L461" s="125"/>
      <c r="M461" s="126"/>
      <c r="N461" s="127"/>
      <c r="O461" s="127"/>
    </row>
    <row r="462">
      <c r="A462" s="69" t="s">
        <v>6736</v>
      </c>
      <c r="B462" s="69" t="s">
        <v>5473</v>
      </c>
      <c r="C462" s="112" t="s">
        <v>6737</v>
      </c>
      <c r="D462" s="69"/>
      <c r="E462" s="69" t="s">
        <v>4794</v>
      </c>
      <c r="F462" s="69" t="s">
        <v>6738</v>
      </c>
      <c r="G462" s="69" t="s">
        <v>518</v>
      </c>
      <c r="H462" s="119"/>
      <c r="I462" s="114" t="str">
        <f t="array" ref="I462">XLOOKUP(G462,KLUS!$A$2:$A$2010,KLUS!$E$2:$E$2010)+XLOOKUP(H462,KLUS!$A$2:$A$2010,KLUS!$E$2:$E$2010)</f>
        <v>#N/A</v>
      </c>
      <c r="J462" s="114" t="str">
        <f t="shared" si="1"/>
        <v>#N/A</v>
      </c>
      <c r="K462" s="115" t="str">
        <f t="shared" si="2"/>
        <v>#N/A</v>
      </c>
      <c r="L462" s="125"/>
      <c r="M462" s="126"/>
      <c r="N462" s="127"/>
      <c r="O462" s="127"/>
    </row>
    <row r="463">
      <c r="A463" s="69" t="s">
        <v>6739</v>
      </c>
      <c r="B463" s="69" t="s">
        <v>5473</v>
      </c>
      <c r="C463" s="112" t="s">
        <v>6740</v>
      </c>
      <c r="D463" s="69"/>
      <c r="E463" s="69" t="s">
        <v>4796</v>
      </c>
      <c r="F463" s="69" t="s">
        <v>6741</v>
      </c>
      <c r="G463" s="69" t="s">
        <v>521</v>
      </c>
      <c r="H463" s="119"/>
      <c r="I463" s="114" t="str">
        <f t="array" ref="I463">XLOOKUP(G463,KLUS!$A$2:$A$2010,KLUS!$E$2:$E$2010)+XLOOKUP(H463,KLUS!$A$2:$A$2010,KLUS!$E$2:$E$2010)</f>
        <v>#N/A</v>
      </c>
      <c r="J463" s="114" t="str">
        <f t="shared" si="1"/>
        <v>#N/A</v>
      </c>
      <c r="K463" s="115" t="str">
        <f t="shared" si="2"/>
        <v>#N/A</v>
      </c>
      <c r="L463" s="125"/>
      <c r="M463" s="126"/>
      <c r="N463" s="127"/>
      <c r="O463" s="127"/>
    </row>
    <row r="464">
      <c r="A464" s="69" t="s">
        <v>6742</v>
      </c>
      <c r="B464" s="69" t="s">
        <v>5473</v>
      </c>
      <c r="C464" s="112" t="s">
        <v>6743</v>
      </c>
      <c r="D464" s="69"/>
      <c r="E464" s="69" t="s">
        <v>4798</v>
      </c>
      <c r="F464" s="69" t="s">
        <v>6744</v>
      </c>
      <c r="G464" s="69" t="s">
        <v>523</v>
      </c>
      <c r="H464" s="119"/>
      <c r="I464" s="114" t="str">
        <f t="array" ref="I464">XLOOKUP(G464,KLUS!$A$2:$A$2010,KLUS!$E$2:$E$2010)+XLOOKUP(H464,KLUS!$A$2:$A$2010,KLUS!$E$2:$E$2010)</f>
        <v>#N/A</v>
      </c>
      <c r="J464" s="114" t="str">
        <f t="shared" si="1"/>
        <v>#N/A</v>
      </c>
      <c r="K464" s="115" t="str">
        <f t="shared" si="2"/>
        <v>#N/A</v>
      </c>
      <c r="L464" s="125"/>
      <c r="M464" s="126"/>
      <c r="N464" s="127"/>
      <c r="O464" s="127"/>
    </row>
    <row r="465">
      <c r="A465" s="69" t="s">
        <v>4799</v>
      </c>
      <c r="B465" s="69" t="s">
        <v>5473</v>
      </c>
      <c r="C465" s="112" t="s">
        <v>5828</v>
      </c>
      <c r="D465" s="69"/>
      <c r="E465" s="69" t="s">
        <v>4800</v>
      </c>
      <c r="F465" s="69" t="s">
        <v>6745</v>
      </c>
      <c r="G465" s="69" t="s">
        <v>309</v>
      </c>
      <c r="H465" s="119"/>
      <c r="I465" s="114" t="str">
        <f t="array" ref="I465">XLOOKUP(G465,KLUS!$A$2:$A$2010,KLUS!$E$2:$E$2010)+XLOOKUP(H465,KLUS!$A$2:$A$2010,KLUS!$E$2:$E$2010)</f>
        <v>#N/A</v>
      </c>
      <c r="J465" s="114" t="str">
        <f t="shared" si="1"/>
        <v>#N/A</v>
      </c>
      <c r="K465" s="115" t="str">
        <f t="shared" si="2"/>
        <v>#N/A</v>
      </c>
      <c r="L465" s="125"/>
      <c r="M465" s="126"/>
      <c r="N465" s="127"/>
      <c r="O465" s="127"/>
    </row>
    <row r="466">
      <c r="A466" s="69" t="s">
        <v>4801</v>
      </c>
      <c r="B466" s="69" t="s">
        <v>5473</v>
      </c>
      <c r="C466" s="112" t="s">
        <v>6746</v>
      </c>
      <c r="D466" s="69"/>
      <c r="E466" s="69" t="s">
        <v>4802</v>
      </c>
      <c r="F466" s="69" t="s">
        <v>6747</v>
      </c>
      <c r="G466" s="69" t="s">
        <v>312</v>
      </c>
      <c r="H466" s="119"/>
      <c r="I466" s="114" t="str">
        <f t="array" ref="I466">XLOOKUP(G466,KLUS!$A$2:$A$2010,KLUS!$E$2:$E$2010)+XLOOKUP(H466,KLUS!$A$2:$A$2010,KLUS!$E$2:$E$2010)</f>
        <v>#N/A</v>
      </c>
      <c r="J466" s="114" t="str">
        <f t="shared" si="1"/>
        <v>#N/A</v>
      </c>
      <c r="K466" s="115" t="str">
        <f t="shared" si="2"/>
        <v>#N/A</v>
      </c>
      <c r="L466" s="125"/>
      <c r="M466" s="126"/>
      <c r="N466" s="127"/>
      <c r="O466" s="127"/>
    </row>
    <row r="467">
      <c r="A467" s="69" t="s">
        <v>4803</v>
      </c>
      <c r="B467" s="69" t="s">
        <v>5473</v>
      </c>
      <c r="C467" s="112" t="s">
        <v>6748</v>
      </c>
      <c r="D467" s="69"/>
      <c r="E467" s="69" t="s">
        <v>4804</v>
      </c>
      <c r="F467" s="69" t="s">
        <v>6749</v>
      </c>
      <c r="G467" s="69" t="s">
        <v>314</v>
      </c>
      <c r="H467" s="119"/>
      <c r="I467" s="114" t="str">
        <f t="array" ref="I467">XLOOKUP(G467,KLUS!$A$2:$A$2010,KLUS!$E$2:$E$2010)+XLOOKUP(H467,KLUS!$A$2:$A$2010,KLUS!$E$2:$E$2010)</f>
        <v>#N/A</v>
      </c>
      <c r="J467" s="114" t="str">
        <f t="shared" si="1"/>
        <v>#N/A</v>
      </c>
      <c r="K467" s="115" t="str">
        <f t="shared" si="2"/>
        <v>#N/A</v>
      </c>
      <c r="L467" s="125"/>
      <c r="M467" s="126"/>
      <c r="N467" s="127"/>
      <c r="O467" s="127"/>
    </row>
    <row r="468">
      <c r="A468" s="69" t="s">
        <v>6750</v>
      </c>
      <c r="B468" s="69" t="s">
        <v>5473</v>
      </c>
      <c r="C468" s="112" t="s">
        <v>6751</v>
      </c>
      <c r="D468" s="69"/>
      <c r="E468" s="69" t="s">
        <v>6752</v>
      </c>
      <c r="F468" s="69" t="s">
        <v>6753</v>
      </c>
      <c r="G468" s="69" t="s">
        <v>504</v>
      </c>
      <c r="H468" s="119"/>
      <c r="I468" s="114" t="str">
        <f t="array" ref="I468">XLOOKUP(G468,KLUS!$A$2:$A$2010,KLUS!$E$2:$E$2010)+XLOOKUP(H468,KLUS!$A$2:$A$2010,KLUS!$E$2:$E$2010)</f>
        <v>#N/A</v>
      </c>
      <c r="J468" s="114" t="str">
        <f t="shared" si="1"/>
        <v>#N/A</v>
      </c>
      <c r="K468" s="115" t="str">
        <f t="shared" si="2"/>
        <v>#N/A</v>
      </c>
      <c r="L468" s="125"/>
      <c r="M468" s="126"/>
      <c r="N468" s="127"/>
      <c r="O468" s="127"/>
    </row>
    <row r="469">
      <c r="A469" s="69" t="s">
        <v>6754</v>
      </c>
      <c r="B469" s="69" t="s">
        <v>5473</v>
      </c>
      <c r="C469" s="112" t="s">
        <v>6755</v>
      </c>
      <c r="D469" s="69"/>
      <c r="E469" s="69" t="s">
        <v>4807</v>
      </c>
      <c r="F469" s="118"/>
      <c r="G469" s="69" t="s">
        <v>504</v>
      </c>
      <c r="H469" s="113" t="s">
        <v>1460</v>
      </c>
      <c r="I469" s="114">
        <f t="array" ref="I469">XLOOKUP(G469,KLUS!$A$2:$A$2010,KLUS!$E$2:$E$2010)+XLOOKUP(H469,KLUS!$A$2:$A$2010,KLUS!$E$2:$E$2010)</f>
        <v>69.5</v>
      </c>
      <c r="J469" s="114">
        <f t="shared" si="1"/>
        <v>62.55</v>
      </c>
      <c r="K469" s="115">
        <f t="shared" si="2"/>
        <v>50.04</v>
      </c>
      <c r="L469" s="125"/>
      <c r="M469" s="126"/>
      <c r="N469" s="127"/>
      <c r="O469" s="127"/>
    </row>
    <row r="470">
      <c r="A470" s="69" t="s">
        <v>6756</v>
      </c>
      <c r="B470" s="69" t="s">
        <v>5473</v>
      </c>
      <c r="C470" s="112" t="s">
        <v>6757</v>
      </c>
      <c r="D470" s="69"/>
      <c r="E470" s="69" t="s">
        <v>4809</v>
      </c>
      <c r="F470" s="69" t="s">
        <v>6758</v>
      </c>
      <c r="G470" s="69" t="s">
        <v>504</v>
      </c>
      <c r="H470" s="116" t="s">
        <v>1466</v>
      </c>
      <c r="I470" s="114">
        <f t="array" ref="I470">XLOOKUP(G470,KLUS!$A$2:$A$2010,KLUS!$E$2:$E$2010)+XLOOKUP(H470,KLUS!$A$2:$A$2010,KLUS!$E$2:$E$2010)</f>
        <v>69.5</v>
      </c>
      <c r="J470" s="114">
        <f t="shared" si="1"/>
        <v>62.55</v>
      </c>
      <c r="K470" s="115">
        <f t="shared" si="2"/>
        <v>50.04</v>
      </c>
      <c r="L470" s="125"/>
      <c r="M470" s="126"/>
      <c r="N470" s="127"/>
      <c r="O470" s="127"/>
    </row>
    <row r="471">
      <c r="A471" s="69" t="s">
        <v>6759</v>
      </c>
      <c r="B471" s="69" t="s">
        <v>5473</v>
      </c>
      <c r="C471" s="112" t="s">
        <v>6760</v>
      </c>
      <c r="D471" s="69"/>
      <c r="E471" s="69" t="s">
        <v>4811</v>
      </c>
      <c r="F471" s="69" t="s">
        <v>6761</v>
      </c>
      <c r="G471" s="69" t="s">
        <v>507</v>
      </c>
      <c r="H471" s="119"/>
      <c r="I471" s="114" t="str">
        <f t="array" ref="I471">XLOOKUP(G471,KLUS!$A$2:$A$2010,KLUS!$E$2:$E$2010)+XLOOKUP(H471,KLUS!$A$2:$A$2010,KLUS!$E$2:$E$2010)</f>
        <v>#N/A</v>
      </c>
      <c r="J471" s="114" t="str">
        <f t="shared" si="1"/>
        <v>#N/A</v>
      </c>
      <c r="K471" s="115" t="str">
        <f t="shared" si="2"/>
        <v>#N/A</v>
      </c>
      <c r="L471" s="125"/>
      <c r="M471" s="126"/>
      <c r="N471" s="127"/>
      <c r="O471" s="127"/>
    </row>
    <row r="472">
      <c r="A472" s="69" t="s">
        <v>6762</v>
      </c>
      <c r="B472" s="69" t="s">
        <v>5473</v>
      </c>
      <c r="C472" s="112" t="s">
        <v>6763</v>
      </c>
      <c r="D472" s="69"/>
      <c r="E472" s="69" t="s">
        <v>6764</v>
      </c>
      <c r="F472" s="69" t="s">
        <v>6765</v>
      </c>
      <c r="G472" s="69" t="s">
        <v>509</v>
      </c>
      <c r="H472" s="119"/>
      <c r="I472" s="114" t="str">
        <f t="array" ref="I472">XLOOKUP(G472,KLUS!$A$2:$A$2010,KLUS!$E$2:$E$2010)+XLOOKUP(H472,KLUS!$A$2:$A$2010,KLUS!$E$2:$E$2010)</f>
        <v>#N/A</v>
      </c>
      <c r="J472" s="114" t="str">
        <f t="shared" si="1"/>
        <v>#N/A</v>
      </c>
      <c r="K472" s="115" t="str">
        <f t="shared" si="2"/>
        <v>#N/A</v>
      </c>
      <c r="L472" s="125"/>
      <c r="M472" s="126"/>
      <c r="N472" s="127"/>
      <c r="O472" s="127"/>
    </row>
    <row r="473">
      <c r="A473" s="69" t="s">
        <v>6766</v>
      </c>
      <c r="B473" s="69" t="s">
        <v>5473</v>
      </c>
      <c r="C473" s="112" t="s">
        <v>6767</v>
      </c>
      <c r="D473" s="69"/>
      <c r="E473" s="69" t="s">
        <v>6768</v>
      </c>
      <c r="F473" s="69" t="s">
        <v>6769</v>
      </c>
      <c r="G473" s="69" t="s">
        <v>6768</v>
      </c>
      <c r="H473" s="119"/>
      <c r="I473" s="114" t="str">
        <f t="array" ref="I473">XLOOKUP(G473,KLUS!$A$2:$A$2010,KLUS!$E$2:$E$2010)+XLOOKUP(H473,KLUS!$A$2:$A$2010,KLUS!$E$2:$E$2010)</f>
        <v>#N/A</v>
      </c>
      <c r="J473" s="114" t="str">
        <f t="shared" si="1"/>
        <v>#N/A</v>
      </c>
      <c r="K473" s="115" t="str">
        <f t="shared" si="2"/>
        <v>#N/A</v>
      </c>
      <c r="L473" s="125"/>
      <c r="M473" s="126"/>
      <c r="N473" s="127"/>
      <c r="O473" s="127"/>
    </row>
    <row r="474">
      <c r="A474" s="69" t="s">
        <v>6770</v>
      </c>
      <c r="B474" s="69" t="s">
        <v>5473</v>
      </c>
      <c r="C474" s="112" t="s">
        <v>6755</v>
      </c>
      <c r="D474" s="69"/>
      <c r="E474" s="69" t="s">
        <v>6771</v>
      </c>
      <c r="F474" s="69" t="s">
        <v>6772</v>
      </c>
      <c r="G474" s="69" t="s">
        <v>6768</v>
      </c>
      <c r="H474" s="116" t="s">
        <v>6588</v>
      </c>
      <c r="I474" s="114" t="str">
        <f t="array" ref="I474">XLOOKUP(G474,KLUS!$A$2:$A$2010,KLUS!$E$2:$E$2010)+XLOOKUP(H474,KLUS!$A$2:$A$2010,KLUS!$E$2:$E$2010)</f>
        <v>#N/A</v>
      </c>
      <c r="J474" s="114" t="str">
        <f t="shared" si="1"/>
        <v>#N/A</v>
      </c>
      <c r="K474" s="115" t="str">
        <f t="shared" si="2"/>
        <v>#N/A</v>
      </c>
      <c r="L474" s="125"/>
      <c r="M474" s="126"/>
      <c r="N474" s="127"/>
      <c r="O474" s="127"/>
    </row>
    <row r="475">
      <c r="A475" s="69" t="s">
        <v>6773</v>
      </c>
      <c r="B475" s="69" t="s">
        <v>5473</v>
      </c>
      <c r="C475" s="112" t="s">
        <v>5881</v>
      </c>
      <c r="D475" s="69"/>
      <c r="E475" s="69" t="s">
        <v>4817</v>
      </c>
      <c r="F475" s="69" t="s">
        <v>6774</v>
      </c>
      <c r="G475" s="69" t="s">
        <v>553</v>
      </c>
      <c r="H475" s="119"/>
      <c r="I475" s="114" t="str">
        <f t="array" ref="I475">XLOOKUP(G475,KLUS!$A$2:$A$2010,KLUS!$E$2:$E$2010)+XLOOKUP(H475,KLUS!$A$2:$A$2010,KLUS!$E$2:$E$2010)</f>
        <v>#N/A</v>
      </c>
      <c r="J475" s="114" t="str">
        <f t="shared" si="1"/>
        <v>#N/A</v>
      </c>
      <c r="K475" s="115" t="str">
        <f t="shared" si="2"/>
        <v>#N/A</v>
      </c>
      <c r="L475" s="125"/>
      <c r="M475" s="126"/>
      <c r="N475" s="127"/>
      <c r="O475" s="127"/>
    </row>
    <row r="476">
      <c r="A476" s="69" t="s">
        <v>6775</v>
      </c>
      <c r="B476" s="69" t="s">
        <v>5473</v>
      </c>
      <c r="C476" s="112" t="s">
        <v>6776</v>
      </c>
      <c r="D476" s="69"/>
      <c r="E476" s="69" t="s">
        <v>4819</v>
      </c>
      <c r="F476" s="69" t="s">
        <v>6777</v>
      </c>
      <c r="G476" s="69" t="s">
        <v>555</v>
      </c>
      <c r="H476" s="119"/>
      <c r="I476" s="114" t="str">
        <f t="array" ref="I476">XLOOKUP(G476,KLUS!$A$2:$A$2010,KLUS!$E$2:$E$2010)+XLOOKUP(H476,KLUS!$A$2:$A$2010,KLUS!$E$2:$E$2010)</f>
        <v>#N/A</v>
      </c>
      <c r="J476" s="114" t="str">
        <f t="shared" si="1"/>
        <v>#N/A</v>
      </c>
      <c r="K476" s="115" t="str">
        <f t="shared" si="2"/>
        <v>#N/A</v>
      </c>
      <c r="L476" s="125"/>
      <c r="M476" s="126"/>
      <c r="N476" s="127"/>
      <c r="O476" s="127"/>
    </row>
    <row r="477">
      <c r="A477" s="69" t="s">
        <v>6778</v>
      </c>
      <c r="B477" s="69" t="s">
        <v>5473</v>
      </c>
      <c r="C477" s="112" t="s">
        <v>6779</v>
      </c>
      <c r="D477" s="69"/>
      <c r="E477" s="69" t="s">
        <v>6780</v>
      </c>
      <c r="F477" s="118"/>
      <c r="G477" s="69" t="s">
        <v>555</v>
      </c>
      <c r="H477" s="116" t="s">
        <v>1545</v>
      </c>
      <c r="I477" s="114">
        <f t="array" ref="I477">XLOOKUP(G477,KLUS!$A$2:$A$2010,KLUS!$E$2:$E$2010)+XLOOKUP(H477,KLUS!$A$2:$A$2010,KLUS!$E$2:$E$2010)</f>
        <v>168.5</v>
      </c>
      <c r="J477" s="114">
        <f t="shared" si="1"/>
        <v>151.65</v>
      </c>
      <c r="K477" s="115">
        <f t="shared" si="2"/>
        <v>121.32</v>
      </c>
      <c r="L477" s="125"/>
      <c r="M477" s="126"/>
      <c r="N477" s="127"/>
      <c r="O477" s="127"/>
    </row>
    <row r="478">
      <c r="A478" s="69" t="s">
        <v>6781</v>
      </c>
      <c r="B478" s="69" t="s">
        <v>5473</v>
      </c>
      <c r="C478" s="112" t="s">
        <v>6782</v>
      </c>
      <c r="D478" s="69"/>
      <c r="E478" s="69" t="s">
        <v>4823</v>
      </c>
      <c r="F478" s="69" t="s">
        <v>6783</v>
      </c>
      <c r="G478" s="69" t="s">
        <v>557</v>
      </c>
      <c r="H478" s="119"/>
      <c r="I478" s="114" t="str">
        <f t="array" ref="I478">XLOOKUP(G478,KLUS!$A$2:$A$2010,KLUS!$E$2:$E$2010)+XLOOKUP(H478,KLUS!$A$2:$A$2010,KLUS!$E$2:$E$2010)</f>
        <v>#N/A</v>
      </c>
      <c r="J478" s="114" t="str">
        <f t="shared" si="1"/>
        <v>#N/A</v>
      </c>
      <c r="K478" s="115" t="str">
        <f t="shared" si="2"/>
        <v>#N/A</v>
      </c>
      <c r="L478" s="125"/>
      <c r="M478" s="126"/>
      <c r="N478" s="127"/>
      <c r="O478" s="127"/>
    </row>
    <row r="479">
      <c r="A479" s="69" t="s">
        <v>6784</v>
      </c>
      <c r="B479" s="69" t="s">
        <v>5473</v>
      </c>
      <c r="C479" s="112" t="s">
        <v>6785</v>
      </c>
      <c r="D479" s="69"/>
      <c r="E479" s="69" t="s">
        <v>2762</v>
      </c>
      <c r="F479" s="69" t="s">
        <v>6786</v>
      </c>
      <c r="G479" s="69" t="s">
        <v>2762</v>
      </c>
      <c r="H479" s="119"/>
      <c r="I479" s="114" t="str">
        <f t="array" ref="I479">XLOOKUP(G479,KLUS!$A$2:$A$2010,KLUS!$E$2:$E$2010)+XLOOKUP(H479,KLUS!$A$2:$A$2010,KLUS!$E$2:$E$2010)</f>
        <v>#N/A</v>
      </c>
      <c r="J479" s="114" t="str">
        <f t="shared" si="1"/>
        <v>#N/A</v>
      </c>
      <c r="K479" s="115" t="str">
        <f t="shared" si="2"/>
        <v>#N/A</v>
      </c>
      <c r="L479" s="125"/>
      <c r="M479" s="126"/>
      <c r="N479" s="127"/>
      <c r="O479" s="127"/>
    </row>
    <row r="480">
      <c r="A480" s="69" t="s">
        <v>6787</v>
      </c>
      <c r="B480" s="69" t="s">
        <v>5473</v>
      </c>
      <c r="C480" s="112" t="s">
        <v>6788</v>
      </c>
      <c r="D480" s="69"/>
      <c r="E480" s="69" t="s">
        <v>2765</v>
      </c>
      <c r="F480" s="69" t="s">
        <v>6789</v>
      </c>
      <c r="G480" s="69" t="s">
        <v>2765</v>
      </c>
      <c r="H480" s="119"/>
      <c r="I480" s="114" t="str">
        <f t="array" ref="I480">XLOOKUP(G480,KLUS!$A$2:$A$2010,KLUS!$E$2:$E$2010)+XLOOKUP(H480,KLUS!$A$2:$A$2010,KLUS!$E$2:$E$2010)</f>
        <v>#N/A</v>
      </c>
      <c r="J480" s="114" t="str">
        <f t="shared" si="1"/>
        <v>#N/A</v>
      </c>
      <c r="K480" s="115" t="str">
        <f t="shared" si="2"/>
        <v>#N/A</v>
      </c>
      <c r="L480" s="125"/>
      <c r="M480" s="126"/>
      <c r="N480" s="127"/>
      <c r="O480" s="127"/>
    </row>
    <row r="481">
      <c r="A481" s="69" t="s">
        <v>6790</v>
      </c>
      <c r="B481" s="69" t="s">
        <v>5473</v>
      </c>
      <c r="C481" s="112" t="s">
        <v>6791</v>
      </c>
      <c r="D481" s="69"/>
      <c r="E481" s="69" t="s">
        <v>2767</v>
      </c>
      <c r="F481" s="69" t="s">
        <v>6792</v>
      </c>
      <c r="G481" s="69" t="s">
        <v>2767</v>
      </c>
      <c r="H481" s="119"/>
      <c r="I481" s="114" t="str">
        <f t="array" ref="I481">XLOOKUP(G481,KLUS!$A$2:$A$2010,KLUS!$E$2:$E$2010)+XLOOKUP(H481,KLUS!$A$2:$A$2010,KLUS!$E$2:$E$2010)</f>
        <v>#N/A</v>
      </c>
      <c r="J481" s="114" t="str">
        <f t="shared" si="1"/>
        <v>#N/A</v>
      </c>
      <c r="K481" s="115" t="str">
        <f t="shared" si="2"/>
        <v>#N/A</v>
      </c>
      <c r="L481" s="125"/>
      <c r="M481" s="126"/>
      <c r="N481" s="127"/>
      <c r="O481" s="127"/>
    </row>
    <row r="482">
      <c r="A482" s="69" t="s">
        <v>6793</v>
      </c>
      <c r="B482" s="69" t="s">
        <v>5473</v>
      </c>
      <c r="C482" s="112" t="s">
        <v>6794</v>
      </c>
      <c r="D482" s="69"/>
      <c r="E482" s="69" t="s">
        <v>1573</v>
      </c>
      <c r="F482" s="69" t="s">
        <v>6795</v>
      </c>
      <c r="G482" s="69" t="s">
        <v>1573</v>
      </c>
      <c r="H482" s="119"/>
      <c r="I482" s="114" t="str">
        <f t="array" ref="I482">XLOOKUP(G482,KLUS!$A$2:$A$2010,KLUS!$E$2:$E$2010)+XLOOKUP(H482,KLUS!$A$2:$A$2010,KLUS!$E$2:$E$2010)</f>
        <v>#N/A</v>
      </c>
      <c r="J482" s="114" t="str">
        <f t="shared" si="1"/>
        <v>#N/A</v>
      </c>
      <c r="K482" s="115" t="str">
        <f t="shared" si="2"/>
        <v>#N/A</v>
      </c>
      <c r="L482" s="125"/>
      <c r="M482" s="126"/>
      <c r="N482" s="127"/>
      <c r="O482" s="127"/>
    </row>
    <row r="483">
      <c r="A483" s="69" t="s">
        <v>6796</v>
      </c>
      <c r="B483" s="69" t="s">
        <v>5473</v>
      </c>
      <c r="C483" s="112" t="s">
        <v>6797</v>
      </c>
      <c r="D483" s="69"/>
      <c r="E483" s="69" t="s">
        <v>1576</v>
      </c>
      <c r="F483" s="69" t="s">
        <v>6798</v>
      </c>
      <c r="G483" s="69" t="s">
        <v>1576</v>
      </c>
      <c r="H483" s="119"/>
      <c r="I483" s="114" t="str">
        <f t="array" ref="I483">XLOOKUP(G483,KLUS!$A$2:$A$2010,KLUS!$E$2:$E$2010)+XLOOKUP(H483,KLUS!$A$2:$A$2010,KLUS!$E$2:$E$2010)</f>
        <v>#N/A</v>
      </c>
      <c r="J483" s="114" t="str">
        <f t="shared" si="1"/>
        <v>#N/A</v>
      </c>
      <c r="K483" s="115" t="str">
        <f t="shared" si="2"/>
        <v>#N/A</v>
      </c>
      <c r="L483" s="125"/>
      <c r="M483" s="126"/>
      <c r="N483" s="127"/>
      <c r="O483" s="127"/>
    </row>
    <row r="484">
      <c r="A484" s="69" t="s">
        <v>6799</v>
      </c>
      <c r="B484" s="69" t="s">
        <v>5473</v>
      </c>
      <c r="C484" s="112" t="s">
        <v>6800</v>
      </c>
      <c r="D484" s="69"/>
      <c r="E484" s="69" t="s">
        <v>1578</v>
      </c>
      <c r="F484" s="69" t="s">
        <v>6801</v>
      </c>
      <c r="G484" s="69" t="s">
        <v>1578</v>
      </c>
      <c r="H484" s="119"/>
      <c r="I484" s="114" t="str">
        <f t="array" ref="I484">XLOOKUP(G484,KLUS!$A$2:$A$2010,KLUS!$E$2:$E$2010)+XLOOKUP(H484,KLUS!$A$2:$A$2010,KLUS!$E$2:$E$2010)</f>
        <v>#N/A</v>
      </c>
      <c r="J484" s="114" t="str">
        <f t="shared" si="1"/>
        <v>#N/A</v>
      </c>
      <c r="K484" s="115" t="str">
        <f t="shared" si="2"/>
        <v>#N/A</v>
      </c>
      <c r="L484" s="125"/>
      <c r="M484" s="126"/>
      <c r="N484" s="127"/>
      <c r="O484" s="127"/>
    </row>
    <row r="485">
      <c r="A485" s="69" t="s">
        <v>6802</v>
      </c>
      <c r="B485" s="69" t="s">
        <v>5473</v>
      </c>
      <c r="C485" s="112" t="s">
        <v>6803</v>
      </c>
      <c r="D485" s="69"/>
      <c r="E485" s="69" t="s">
        <v>1583</v>
      </c>
      <c r="F485" s="69" t="s">
        <v>6804</v>
      </c>
      <c r="G485" s="69" t="s">
        <v>1583</v>
      </c>
      <c r="H485" s="119"/>
      <c r="I485" s="114" t="str">
        <f t="array" ref="I485">XLOOKUP(G485,KLUS!$A$2:$A$2010,KLUS!$E$2:$E$2010)+XLOOKUP(H485,KLUS!$A$2:$A$2010,KLUS!$E$2:$E$2010)</f>
        <v>#N/A</v>
      </c>
      <c r="J485" s="114" t="str">
        <f t="shared" si="1"/>
        <v>#N/A</v>
      </c>
      <c r="K485" s="115" t="str">
        <f t="shared" si="2"/>
        <v>#N/A</v>
      </c>
      <c r="L485" s="125"/>
      <c r="M485" s="126"/>
      <c r="N485" s="127"/>
      <c r="O485" s="127"/>
    </row>
    <row r="486">
      <c r="A486" s="69" t="s">
        <v>6805</v>
      </c>
      <c r="B486" s="69" t="s">
        <v>5473</v>
      </c>
      <c r="C486" s="112" t="s">
        <v>5474</v>
      </c>
      <c r="D486" s="69"/>
      <c r="E486" s="69" t="s">
        <v>1585</v>
      </c>
      <c r="F486" s="69" t="s">
        <v>6806</v>
      </c>
      <c r="G486" s="69" t="s">
        <v>1585</v>
      </c>
      <c r="H486" s="119"/>
      <c r="I486" s="114" t="str">
        <f t="array" ref="I486">XLOOKUP(G486,KLUS!$A$2:$A$2010,KLUS!$E$2:$E$2010)+XLOOKUP(H486,KLUS!$A$2:$A$2010,KLUS!$E$2:$E$2010)</f>
        <v>#N/A</v>
      </c>
      <c r="J486" s="114" t="str">
        <f t="shared" si="1"/>
        <v>#N/A</v>
      </c>
      <c r="K486" s="115" t="str">
        <f t="shared" si="2"/>
        <v>#N/A</v>
      </c>
      <c r="L486" s="125"/>
      <c r="M486" s="126"/>
      <c r="N486" s="127"/>
      <c r="O486" s="127"/>
    </row>
    <row r="487">
      <c r="A487" s="69" t="s">
        <v>6807</v>
      </c>
      <c r="B487" s="69" t="s">
        <v>5473</v>
      </c>
      <c r="C487" s="112" t="s">
        <v>6808</v>
      </c>
      <c r="D487" s="69"/>
      <c r="E487" s="69" t="s">
        <v>1744</v>
      </c>
      <c r="F487" s="69" t="s">
        <v>6809</v>
      </c>
      <c r="G487" s="69" t="s">
        <v>1744</v>
      </c>
      <c r="H487" s="119"/>
      <c r="I487" s="114" t="str">
        <f t="array" ref="I487">XLOOKUP(G487,KLUS!$A$2:$A$2010,KLUS!$E$2:$E$2010)+XLOOKUP(H487,KLUS!$A$2:$A$2010,KLUS!$E$2:$E$2010)</f>
        <v>#N/A</v>
      </c>
      <c r="J487" s="114" t="str">
        <f t="shared" si="1"/>
        <v>#N/A</v>
      </c>
      <c r="K487" s="115" t="str">
        <f t="shared" si="2"/>
        <v>#N/A</v>
      </c>
      <c r="L487" s="125"/>
      <c r="M487" s="126"/>
      <c r="N487" s="127"/>
      <c r="O487" s="127"/>
    </row>
    <row r="488">
      <c r="A488" s="69" t="s">
        <v>6810</v>
      </c>
      <c r="B488" s="69" t="s">
        <v>5473</v>
      </c>
      <c r="C488" s="112" t="s">
        <v>6106</v>
      </c>
      <c r="D488" s="69"/>
      <c r="E488" s="69" t="s">
        <v>1746</v>
      </c>
      <c r="F488" s="69" t="s">
        <v>6811</v>
      </c>
      <c r="G488" s="69" t="s">
        <v>1746</v>
      </c>
      <c r="H488" s="119"/>
      <c r="I488" s="114" t="str">
        <f t="array" ref="I488">XLOOKUP(G488,KLUS!$A$2:$A$2010,KLUS!$E$2:$E$2010)+XLOOKUP(H488,KLUS!$A$2:$A$2010,KLUS!$E$2:$E$2010)</f>
        <v>#N/A</v>
      </c>
      <c r="J488" s="114" t="str">
        <f t="shared" si="1"/>
        <v>#N/A</v>
      </c>
      <c r="K488" s="115" t="str">
        <f t="shared" si="2"/>
        <v>#N/A</v>
      </c>
      <c r="L488" s="125"/>
      <c r="M488" s="126"/>
      <c r="N488" s="127"/>
      <c r="O488" s="127"/>
    </row>
    <row r="489">
      <c r="A489" s="69" t="s">
        <v>6812</v>
      </c>
      <c r="B489" s="69" t="s">
        <v>5473</v>
      </c>
      <c r="C489" s="112" t="s">
        <v>6813</v>
      </c>
      <c r="D489" s="69"/>
      <c r="E489" s="69" t="s">
        <v>1645</v>
      </c>
      <c r="F489" s="69" t="s">
        <v>6814</v>
      </c>
      <c r="G489" s="69" t="s">
        <v>1645</v>
      </c>
      <c r="H489" s="119"/>
      <c r="I489" s="114" t="str">
        <f t="array" ref="I489">XLOOKUP(G489,KLUS!$A$2:$A$2010,KLUS!$E$2:$E$2010)+XLOOKUP(H489,KLUS!$A$2:$A$2010,KLUS!$E$2:$E$2010)</f>
        <v>#N/A</v>
      </c>
      <c r="J489" s="114" t="str">
        <f t="shared" si="1"/>
        <v>#N/A</v>
      </c>
      <c r="K489" s="115" t="str">
        <f t="shared" si="2"/>
        <v>#N/A</v>
      </c>
      <c r="L489" s="125"/>
      <c r="M489" s="126"/>
      <c r="N489" s="127"/>
      <c r="O489" s="127"/>
    </row>
    <row r="490">
      <c r="A490" s="69" t="s">
        <v>6815</v>
      </c>
      <c r="B490" s="69" t="s">
        <v>5473</v>
      </c>
      <c r="C490" s="112" t="s">
        <v>6816</v>
      </c>
      <c r="D490" s="69"/>
      <c r="E490" s="69" t="s">
        <v>1648</v>
      </c>
      <c r="F490" s="69" t="s">
        <v>6817</v>
      </c>
      <c r="G490" s="69" t="s">
        <v>1648</v>
      </c>
      <c r="H490" s="119"/>
      <c r="I490" s="114" t="str">
        <f t="array" ref="I490">XLOOKUP(G490,KLUS!$A$2:$A$2010,KLUS!$E$2:$E$2010)+XLOOKUP(H490,KLUS!$A$2:$A$2010,KLUS!$E$2:$E$2010)</f>
        <v>#N/A</v>
      </c>
      <c r="J490" s="114" t="str">
        <f t="shared" si="1"/>
        <v>#N/A</v>
      </c>
      <c r="K490" s="115" t="str">
        <f t="shared" si="2"/>
        <v>#N/A</v>
      </c>
      <c r="L490" s="125"/>
      <c r="M490" s="126"/>
      <c r="N490" s="127"/>
      <c r="O490" s="127"/>
    </row>
    <row r="491">
      <c r="A491" s="69" t="s">
        <v>6818</v>
      </c>
      <c r="B491" s="69" t="s">
        <v>5473</v>
      </c>
      <c r="C491" s="112" t="s">
        <v>6819</v>
      </c>
      <c r="D491" s="69"/>
      <c r="E491" s="69" t="s">
        <v>1650</v>
      </c>
      <c r="F491" s="69" t="s">
        <v>6820</v>
      </c>
      <c r="G491" s="69" t="s">
        <v>1650</v>
      </c>
      <c r="H491" s="119"/>
      <c r="I491" s="114" t="str">
        <f t="array" ref="I491">XLOOKUP(G491,KLUS!$A$2:$A$2010,KLUS!$E$2:$E$2010)+XLOOKUP(H491,KLUS!$A$2:$A$2010,KLUS!$E$2:$E$2010)</f>
        <v>#N/A</v>
      </c>
      <c r="J491" s="114" t="str">
        <f t="shared" si="1"/>
        <v>#N/A</v>
      </c>
      <c r="K491" s="115" t="str">
        <f t="shared" si="2"/>
        <v>#N/A</v>
      </c>
      <c r="L491" s="125"/>
      <c r="M491" s="126"/>
      <c r="N491" s="127"/>
      <c r="O491" s="127"/>
    </row>
    <row r="492">
      <c r="A492" s="69" t="s">
        <v>6821</v>
      </c>
      <c r="B492" s="69" t="s">
        <v>5473</v>
      </c>
      <c r="C492" s="112" t="s">
        <v>6822</v>
      </c>
      <c r="D492" s="69"/>
      <c r="E492" s="69" t="s">
        <v>2769</v>
      </c>
      <c r="F492" s="69" t="s">
        <v>6823</v>
      </c>
      <c r="G492" s="69" t="s">
        <v>2769</v>
      </c>
      <c r="H492" s="119"/>
      <c r="I492" s="114" t="str">
        <f t="array" ref="I492">XLOOKUP(G492,KLUS!$A$2:$A$2010,KLUS!$E$2:$E$2010)+XLOOKUP(H492,KLUS!$A$2:$A$2010,KLUS!$E$2:$E$2010)</f>
        <v>#N/A</v>
      </c>
      <c r="J492" s="114" t="str">
        <f t="shared" si="1"/>
        <v>#N/A</v>
      </c>
      <c r="K492" s="115" t="str">
        <f t="shared" si="2"/>
        <v>#N/A</v>
      </c>
      <c r="L492" s="125"/>
      <c r="M492" s="126"/>
      <c r="N492" s="127"/>
      <c r="O492" s="127"/>
    </row>
    <row r="493">
      <c r="A493" s="69" t="s">
        <v>6824</v>
      </c>
      <c r="B493" s="69" t="s">
        <v>5473</v>
      </c>
      <c r="C493" s="112" t="s">
        <v>6825</v>
      </c>
      <c r="D493" s="69"/>
      <c r="E493" s="69" t="s">
        <v>2772</v>
      </c>
      <c r="F493" s="69" t="s">
        <v>6826</v>
      </c>
      <c r="G493" s="69" t="s">
        <v>2772</v>
      </c>
      <c r="H493" s="119"/>
      <c r="I493" s="114" t="str">
        <f t="array" ref="I493">XLOOKUP(G493,KLUS!$A$2:$A$2010,KLUS!$E$2:$E$2010)+XLOOKUP(H493,KLUS!$A$2:$A$2010,KLUS!$E$2:$E$2010)</f>
        <v>#N/A</v>
      </c>
      <c r="J493" s="114" t="str">
        <f t="shared" si="1"/>
        <v>#N/A</v>
      </c>
      <c r="K493" s="115" t="str">
        <f t="shared" si="2"/>
        <v>#N/A</v>
      </c>
      <c r="L493" s="125"/>
      <c r="M493" s="126"/>
      <c r="N493" s="127"/>
      <c r="O493" s="127"/>
    </row>
    <row r="494">
      <c r="A494" s="69" t="s">
        <v>6827</v>
      </c>
      <c r="B494" s="69" t="s">
        <v>5473</v>
      </c>
      <c r="C494" s="112" t="s">
        <v>6828</v>
      </c>
      <c r="D494" s="69"/>
      <c r="E494" s="69" t="s">
        <v>2774</v>
      </c>
      <c r="F494" s="69" t="s">
        <v>6829</v>
      </c>
      <c r="G494" s="69" t="s">
        <v>2774</v>
      </c>
      <c r="H494" s="119"/>
      <c r="I494" s="114" t="str">
        <f t="array" ref="I494">XLOOKUP(G494,KLUS!$A$2:$A$2010,KLUS!$E$2:$E$2010)+XLOOKUP(H494,KLUS!$A$2:$A$2010,KLUS!$E$2:$E$2010)</f>
        <v>#N/A</v>
      </c>
      <c r="J494" s="114" t="str">
        <f t="shared" si="1"/>
        <v>#N/A</v>
      </c>
      <c r="K494" s="115" t="str">
        <f t="shared" si="2"/>
        <v>#N/A</v>
      </c>
      <c r="L494" s="125"/>
      <c r="M494" s="126"/>
      <c r="N494" s="127"/>
      <c r="O494" s="127"/>
    </row>
    <row r="495">
      <c r="A495" s="69" t="s">
        <v>4824</v>
      </c>
      <c r="B495" s="69" t="s">
        <v>5473</v>
      </c>
      <c r="C495" s="112" t="s">
        <v>6830</v>
      </c>
      <c r="D495" s="69"/>
      <c r="E495" s="69" t="s">
        <v>4825</v>
      </c>
      <c r="F495" s="118"/>
      <c r="G495" s="69" t="s">
        <v>326</v>
      </c>
      <c r="H495" s="116" t="s">
        <v>1359</v>
      </c>
      <c r="I495" s="114">
        <f t="array" ref="I495">XLOOKUP(G495,KLUS!$A$2:$A$2010,KLUS!$E$2:$E$2010)+XLOOKUP(H495,KLUS!$A$2:$A$2010,KLUS!$E$2:$E$2010)</f>
        <v>52.9</v>
      </c>
      <c r="J495" s="114">
        <f t="shared" si="1"/>
        <v>47.61</v>
      </c>
      <c r="K495" s="115">
        <f t="shared" si="2"/>
        <v>38.088</v>
      </c>
      <c r="L495" s="125"/>
      <c r="M495" s="126"/>
      <c r="N495" s="127"/>
      <c r="O495" s="127"/>
    </row>
    <row r="496">
      <c r="A496" s="69" t="s">
        <v>4826</v>
      </c>
      <c r="B496" s="69" t="s">
        <v>5473</v>
      </c>
      <c r="C496" s="112" t="s">
        <v>6831</v>
      </c>
      <c r="D496" s="69"/>
      <c r="E496" s="69" t="s">
        <v>1023</v>
      </c>
      <c r="F496" s="69" t="s">
        <v>6832</v>
      </c>
      <c r="G496" s="69" t="s">
        <v>1023</v>
      </c>
      <c r="H496" s="119"/>
      <c r="I496" s="114" t="str">
        <f t="array" ref="I496">XLOOKUP(G496,KLUS!$A$2:$A$2010,KLUS!$E$2:$E$2010)+XLOOKUP(H496,KLUS!$A$2:$A$2010,KLUS!$E$2:$E$2010)</f>
        <v>#N/A</v>
      </c>
      <c r="J496" s="114" t="str">
        <f t="shared" si="1"/>
        <v>#N/A</v>
      </c>
      <c r="K496" s="115" t="str">
        <f t="shared" si="2"/>
        <v>#N/A</v>
      </c>
      <c r="L496" s="125"/>
      <c r="M496" s="126"/>
      <c r="N496" s="127"/>
      <c r="O496" s="127"/>
    </row>
    <row r="497">
      <c r="A497" s="69" t="s">
        <v>4828</v>
      </c>
      <c r="B497" s="69" t="s">
        <v>5473</v>
      </c>
      <c r="C497" s="112" t="s">
        <v>6833</v>
      </c>
      <c r="D497" s="69"/>
      <c r="E497" s="69" t="s">
        <v>6834</v>
      </c>
      <c r="F497" s="69" t="s">
        <v>6835</v>
      </c>
      <c r="G497" s="69" t="s">
        <v>446</v>
      </c>
      <c r="H497" s="119"/>
      <c r="I497" s="114" t="str">
        <f t="array" ref="I497">XLOOKUP(G497,KLUS!$A$2:$A$2010,KLUS!$E$2:$E$2010)+XLOOKUP(H497,KLUS!$A$2:$A$2010,KLUS!$E$2:$E$2010)</f>
        <v>#N/A</v>
      </c>
      <c r="J497" s="114" t="str">
        <f t="shared" si="1"/>
        <v>#N/A</v>
      </c>
      <c r="K497" s="115" t="str">
        <f t="shared" si="2"/>
        <v>#N/A</v>
      </c>
      <c r="L497" s="125"/>
      <c r="M497" s="126"/>
      <c r="N497" s="127"/>
      <c r="O497" s="127"/>
    </row>
    <row r="498">
      <c r="A498" s="69" t="s">
        <v>6836</v>
      </c>
      <c r="B498" s="69" t="s">
        <v>5473</v>
      </c>
      <c r="C498" s="112" t="s">
        <v>6837</v>
      </c>
      <c r="D498" s="69"/>
      <c r="E498" s="69" t="s">
        <v>4719</v>
      </c>
      <c r="F498" s="69" t="s">
        <v>6838</v>
      </c>
      <c r="G498" s="69" t="s">
        <v>446</v>
      </c>
      <c r="H498" s="116" t="s">
        <v>1314</v>
      </c>
      <c r="I498" s="114">
        <f t="array" ref="I498">XLOOKUP(G498,KLUS!$A$2:$A$2010,KLUS!$E$2:$E$2010)+XLOOKUP(H498,KLUS!$A$2:$A$2010,KLUS!$E$2:$E$2010)</f>
        <v>23.5</v>
      </c>
      <c r="J498" s="114">
        <f t="shared" si="1"/>
        <v>21.15</v>
      </c>
      <c r="K498" s="115">
        <f t="shared" si="2"/>
        <v>16.92</v>
      </c>
      <c r="L498" s="125"/>
      <c r="M498" s="126"/>
      <c r="N498" s="127"/>
      <c r="O498" s="127"/>
    </row>
    <row r="499">
      <c r="A499" s="69" t="s">
        <v>4830</v>
      </c>
      <c r="B499" s="69" t="s">
        <v>5473</v>
      </c>
      <c r="C499" s="112" t="s">
        <v>6839</v>
      </c>
      <c r="D499" s="69"/>
      <c r="E499" s="69" t="s">
        <v>6840</v>
      </c>
      <c r="F499" s="69" t="s">
        <v>6841</v>
      </c>
      <c r="G499" s="69" t="s">
        <v>449</v>
      </c>
      <c r="H499" s="119"/>
      <c r="I499" s="114" t="str">
        <f t="array" ref="I499">XLOOKUP(G499,KLUS!$A$2:$A$2010,KLUS!$E$2:$E$2010)+XLOOKUP(H499,KLUS!$A$2:$A$2010,KLUS!$E$2:$E$2010)</f>
        <v>#N/A</v>
      </c>
      <c r="J499" s="114" t="str">
        <f t="shared" si="1"/>
        <v>#N/A</v>
      </c>
      <c r="K499" s="115" t="str">
        <f t="shared" si="2"/>
        <v>#N/A</v>
      </c>
      <c r="L499" s="125"/>
      <c r="M499" s="126"/>
      <c r="N499" s="127"/>
      <c r="O499" s="127"/>
    </row>
    <row r="500">
      <c r="A500" s="69" t="s">
        <v>4832</v>
      </c>
      <c r="B500" s="69" t="s">
        <v>5486</v>
      </c>
      <c r="C500" s="112" t="s">
        <v>6842</v>
      </c>
      <c r="D500" s="69"/>
      <c r="E500" s="69" t="s">
        <v>4833</v>
      </c>
      <c r="F500" s="69" t="s">
        <v>6843</v>
      </c>
      <c r="G500" s="69" t="s">
        <v>449</v>
      </c>
      <c r="H500" s="113" t="s">
        <v>1317</v>
      </c>
      <c r="I500" s="114">
        <f t="array" ref="I500">XLOOKUP(G500,KLUS!$A$2:$A$2010,KLUS!$E$2:$E$2010)+XLOOKUP(H500,KLUS!$A$2:$A$2010,KLUS!$E$2:$E$2010)</f>
        <v>47.1</v>
      </c>
      <c r="J500" s="114">
        <f t="shared" si="1"/>
        <v>42.39</v>
      </c>
      <c r="K500" s="115">
        <f t="shared" si="2"/>
        <v>33.912</v>
      </c>
      <c r="L500" s="125"/>
      <c r="M500" s="126"/>
      <c r="N500" s="127"/>
      <c r="O500" s="127"/>
    </row>
    <row r="501">
      <c r="A501" s="69" t="s">
        <v>4834</v>
      </c>
      <c r="B501" s="69" t="s">
        <v>5473</v>
      </c>
      <c r="C501" s="112" t="s">
        <v>6844</v>
      </c>
      <c r="D501" s="69"/>
      <c r="E501" s="69" t="s">
        <v>4835</v>
      </c>
      <c r="F501" s="69" t="s">
        <v>6845</v>
      </c>
      <c r="G501" s="69" t="s">
        <v>421</v>
      </c>
      <c r="H501" s="119"/>
      <c r="I501" s="114" t="str">
        <f t="array" ref="I501">XLOOKUP(G501,KLUS!$A$2:$A$2010,KLUS!$E$2:$E$2010)+XLOOKUP(H501,KLUS!$A$2:$A$2010,KLUS!$E$2:$E$2010)</f>
        <v>#N/A</v>
      </c>
      <c r="J501" s="114" t="str">
        <f t="shared" si="1"/>
        <v>#N/A</v>
      </c>
      <c r="K501" s="115" t="str">
        <f t="shared" si="2"/>
        <v>#N/A</v>
      </c>
      <c r="L501" s="125"/>
      <c r="M501" s="126"/>
      <c r="N501" s="127"/>
      <c r="O501" s="127"/>
    </row>
    <row r="502">
      <c r="A502" s="69" t="s">
        <v>4836</v>
      </c>
      <c r="B502" s="69" t="s">
        <v>5473</v>
      </c>
      <c r="C502" s="112" t="s">
        <v>6846</v>
      </c>
      <c r="D502" s="69"/>
      <c r="E502" s="69" t="s">
        <v>6847</v>
      </c>
      <c r="F502" s="69" t="s">
        <v>6848</v>
      </c>
      <c r="G502" s="69" t="s">
        <v>426</v>
      </c>
      <c r="H502" s="119"/>
      <c r="I502" s="114" t="str">
        <f t="array" ref="I502">XLOOKUP(G502,KLUS!$A$2:$A$2010,KLUS!$E$2:$E$2010)+XLOOKUP(H502,KLUS!$A$2:$A$2010,KLUS!$E$2:$E$2010)</f>
        <v>#N/A</v>
      </c>
      <c r="J502" s="114" t="str">
        <f t="shared" si="1"/>
        <v>#N/A</v>
      </c>
      <c r="K502" s="115" t="str">
        <f t="shared" si="2"/>
        <v>#N/A</v>
      </c>
      <c r="L502" s="125"/>
      <c r="M502" s="126"/>
      <c r="N502" s="127"/>
      <c r="O502" s="127"/>
    </row>
    <row r="503">
      <c r="A503" s="69" t="s">
        <v>6849</v>
      </c>
      <c r="B503" s="69" t="s">
        <v>5473</v>
      </c>
      <c r="C503" s="112" t="s">
        <v>6850</v>
      </c>
      <c r="D503" s="69"/>
      <c r="E503" s="69" t="s">
        <v>4721</v>
      </c>
      <c r="F503" s="69" t="s">
        <v>6851</v>
      </c>
      <c r="G503" s="69" t="s">
        <v>426</v>
      </c>
      <c r="H503" s="116" t="s">
        <v>1314</v>
      </c>
      <c r="I503" s="114">
        <f t="array" ref="I503">XLOOKUP(G503,KLUS!$A$2:$A$2010,KLUS!$E$2:$E$2010)+XLOOKUP(H503,KLUS!$A$2:$A$2010,KLUS!$E$2:$E$2010)</f>
        <v>20.2</v>
      </c>
      <c r="J503" s="114">
        <f t="shared" si="1"/>
        <v>18.18</v>
      </c>
      <c r="K503" s="115">
        <f t="shared" si="2"/>
        <v>14.544</v>
      </c>
      <c r="L503" s="125"/>
      <c r="M503" s="126"/>
      <c r="N503" s="127"/>
      <c r="O503" s="127"/>
    </row>
    <row r="504">
      <c r="A504" s="69" t="s">
        <v>6852</v>
      </c>
      <c r="B504" s="69" t="s">
        <v>5486</v>
      </c>
      <c r="C504" s="112" t="s">
        <v>6853</v>
      </c>
      <c r="D504" s="69"/>
      <c r="E504" s="69" t="s">
        <v>4723</v>
      </c>
      <c r="F504" s="69" t="s">
        <v>6854</v>
      </c>
      <c r="G504" s="69" t="s">
        <v>6855</v>
      </c>
      <c r="H504" s="116" t="s">
        <v>1314</v>
      </c>
      <c r="I504" s="114" t="str">
        <f t="array" ref="I504">XLOOKUP(G504,KLUS!$A$2:$A$2010,KLUS!$E$2:$E$2010)+XLOOKUP(H504,KLUS!$A$2:$A$2010,KLUS!$E$2:$E$2010)</f>
        <v>#N/A</v>
      </c>
      <c r="J504" s="114" t="str">
        <f t="shared" si="1"/>
        <v>#N/A</v>
      </c>
      <c r="K504" s="115" t="str">
        <f t="shared" si="2"/>
        <v>#N/A</v>
      </c>
      <c r="L504" s="125"/>
      <c r="M504" s="126"/>
      <c r="N504" s="127"/>
      <c r="O504" s="127"/>
    </row>
    <row r="505">
      <c r="A505" s="69" t="s">
        <v>4838</v>
      </c>
      <c r="B505" s="69" t="s">
        <v>5473</v>
      </c>
      <c r="C505" s="112" t="s">
        <v>6856</v>
      </c>
      <c r="D505" s="69"/>
      <c r="E505" s="69" t="s">
        <v>4839</v>
      </c>
      <c r="F505" s="69" t="s">
        <v>6857</v>
      </c>
      <c r="G505" s="69" t="s">
        <v>424</v>
      </c>
      <c r="H505" s="119"/>
      <c r="I505" s="114" t="str">
        <f t="array" ref="I505">XLOOKUP(G505,KLUS!$A$2:$A$2010,KLUS!$E$2:$E$2010)+XLOOKUP(H505,KLUS!$A$2:$A$2010,KLUS!$E$2:$E$2010)</f>
        <v>#N/A</v>
      </c>
      <c r="J505" s="114" t="str">
        <f t="shared" si="1"/>
        <v>#N/A</v>
      </c>
      <c r="K505" s="115" t="str">
        <f t="shared" si="2"/>
        <v>#N/A</v>
      </c>
      <c r="L505" s="125"/>
      <c r="M505" s="126"/>
      <c r="N505" s="127"/>
      <c r="O505" s="127"/>
    </row>
    <row r="506">
      <c r="A506" s="69" t="s">
        <v>4840</v>
      </c>
      <c r="B506" s="69" t="s">
        <v>5473</v>
      </c>
      <c r="C506" s="112" t="s">
        <v>6642</v>
      </c>
      <c r="D506" s="69"/>
      <c r="E506" s="69" t="s">
        <v>6858</v>
      </c>
      <c r="F506" s="69" t="s">
        <v>6859</v>
      </c>
      <c r="G506" s="69" t="s">
        <v>429</v>
      </c>
      <c r="H506" s="119"/>
      <c r="I506" s="114" t="str">
        <f t="array" ref="I506">XLOOKUP(G506,KLUS!$A$2:$A$2010,KLUS!$E$2:$E$2010)+XLOOKUP(H506,KLUS!$A$2:$A$2010,KLUS!$E$2:$E$2010)</f>
        <v>#N/A</v>
      </c>
      <c r="J506" s="114" t="str">
        <f t="shared" si="1"/>
        <v>#N/A</v>
      </c>
      <c r="K506" s="115" t="str">
        <f t="shared" si="2"/>
        <v>#N/A</v>
      </c>
      <c r="L506" s="125"/>
      <c r="M506" s="126"/>
      <c r="N506" s="127"/>
      <c r="O506" s="127"/>
    </row>
    <row r="507">
      <c r="A507" s="69" t="s">
        <v>4842</v>
      </c>
      <c r="B507" s="69" t="s">
        <v>5473</v>
      </c>
      <c r="C507" s="112" t="s">
        <v>6860</v>
      </c>
      <c r="D507" s="69"/>
      <c r="E507" s="69" t="s">
        <v>4843</v>
      </c>
      <c r="F507" s="69" t="s">
        <v>6861</v>
      </c>
      <c r="G507" s="69" t="s">
        <v>429</v>
      </c>
      <c r="H507" s="113" t="s">
        <v>1317</v>
      </c>
      <c r="I507" s="114">
        <f t="array" ref="I507">XLOOKUP(G507,KLUS!$A$2:$A$2010,KLUS!$E$2:$E$2010)+XLOOKUP(H507,KLUS!$A$2:$A$2010,KLUS!$E$2:$E$2010)</f>
        <v>40.3</v>
      </c>
      <c r="J507" s="114">
        <f t="shared" si="1"/>
        <v>36.27</v>
      </c>
      <c r="K507" s="115">
        <f t="shared" si="2"/>
        <v>29.016</v>
      </c>
      <c r="L507" s="125"/>
      <c r="M507" s="126"/>
      <c r="N507" s="127"/>
      <c r="O507" s="127"/>
    </row>
    <row r="508">
      <c r="A508" s="69" t="s">
        <v>4844</v>
      </c>
      <c r="B508" s="69" t="s">
        <v>5486</v>
      </c>
      <c r="C508" s="112" t="s">
        <v>6862</v>
      </c>
      <c r="D508" s="69"/>
      <c r="E508" s="69" t="s">
        <v>4845</v>
      </c>
      <c r="F508" s="69" t="s">
        <v>6863</v>
      </c>
      <c r="G508" s="69" t="s">
        <v>6864</v>
      </c>
      <c r="H508" s="113" t="s">
        <v>1317</v>
      </c>
      <c r="I508" s="114" t="str">
        <f t="array" ref="I508">XLOOKUP(G508,KLUS!$A$2:$A$2010,KLUS!$E$2:$E$2010)+XLOOKUP(H508,KLUS!$A$2:$A$2010,KLUS!$E$2:$E$2010)</f>
        <v>#N/A</v>
      </c>
      <c r="J508" s="114" t="str">
        <f t="shared" si="1"/>
        <v>#N/A</v>
      </c>
      <c r="K508" s="115" t="str">
        <f t="shared" si="2"/>
        <v>#N/A</v>
      </c>
      <c r="L508" s="125"/>
      <c r="M508" s="126"/>
      <c r="N508" s="127"/>
      <c r="O508" s="127"/>
    </row>
    <row r="509">
      <c r="A509" s="69" t="s">
        <v>4846</v>
      </c>
      <c r="B509" s="69" t="s">
        <v>5473</v>
      </c>
      <c r="C509" s="112" t="s">
        <v>6865</v>
      </c>
      <c r="D509" s="69"/>
      <c r="E509" s="69" t="s">
        <v>6866</v>
      </c>
      <c r="F509" s="69" t="s">
        <v>6867</v>
      </c>
      <c r="G509" s="69" t="s">
        <v>436</v>
      </c>
      <c r="H509" s="119"/>
      <c r="I509" s="114" t="str">
        <f t="array" ref="I509">XLOOKUP(G509,KLUS!$A$2:$A$2010,KLUS!$E$2:$E$2010)+XLOOKUP(H509,KLUS!$A$2:$A$2010,KLUS!$E$2:$E$2010)</f>
        <v>#N/A</v>
      </c>
      <c r="J509" s="114" t="str">
        <f t="shared" si="1"/>
        <v>#N/A</v>
      </c>
      <c r="K509" s="115" t="str">
        <f t="shared" si="2"/>
        <v>#N/A</v>
      </c>
      <c r="L509" s="125"/>
      <c r="M509" s="126"/>
      <c r="N509" s="127"/>
      <c r="O509" s="127"/>
    </row>
    <row r="510">
      <c r="A510" s="69" t="s">
        <v>4848</v>
      </c>
      <c r="B510" s="69" t="s">
        <v>5473</v>
      </c>
      <c r="C510" s="112" t="s">
        <v>6097</v>
      </c>
      <c r="D510" s="69"/>
      <c r="E510" s="69" t="s">
        <v>6868</v>
      </c>
      <c r="F510" s="69" t="s">
        <v>6869</v>
      </c>
      <c r="G510" s="69" t="s">
        <v>441</v>
      </c>
      <c r="H510" s="119"/>
      <c r="I510" s="114" t="str">
        <f t="array" ref="I510">XLOOKUP(G510,KLUS!$A$2:$A$2010,KLUS!$E$2:$E$2010)+XLOOKUP(H510,KLUS!$A$2:$A$2010,KLUS!$E$2:$E$2010)</f>
        <v>#N/A</v>
      </c>
      <c r="J510" s="114" t="str">
        <f t="shared" si="1"/>
        <v>#N/A</v>
      </c>
      <c r="K510" s="115" t="str">
        <f t="shared" si="2"/>
        <v>#N/A</v>
      </c>
      <c r="L510" s="125"/>
      <c r="M510" s="126"/>
      <c r="N510" s="127"/>
      <c r="O510" s="127"/>
    </row>
    <row r="511">
      <c r="A511" s="69" t="s">
        <v>4850</v>
      </c>
      <c r="B511" s="69" t="s">
        <v>5473</v>
      </c>
      <c r="C511" s="112" t="s">
        <v>6870</v>
      </c>
      <c r="D511" s="69"/>
      <c r="E511" s="69" t="s">
        <v>4851</v>
      </c>
      <c r="F511" s="69" t="s">
        <v>6871</v>
      </c>
      <c r="G511" s="69" t="s">
        <v>441</v>
      </c>
      <c r="H511" s="116" t="s">
        <v>1314</v>
      </c>
      <c r="I511" s="114">
        <f t="array" ref="I511">XLOOKUP(G511,KLUS!$A$2:$A$2010,KLUS!$E$2:$E$2010)+XLOOKUP(H511,KLUS!$A$2:$A$2010,KLUS!$E$2:$E$2010)</f>
        <v>27.6</v>
      </c>
      <c r="J511" s="114">
        <f t="shared" si="1"/>
        <v>24.84</v>
      </c>
      <c r="K511" s="115">
        <f t="shared" si="2"/>
        <v>19.872</v>
      </c>
      <c r="L511" s="125"/>
      <c r="M511" s="126"/>
      <c r="N511" s="127"/>
      <c r="O511" s="127"/>
    </row>
    <row r="512">
      <c r="A512" s="69" t="s">
        <v>4852</v>
      </c>
      <c r="B512" s="69" t="s">
        <v>5486</v>
      </c>
      <c r="C512" s="112" t="s">
        <v>6872</v>
      </c>
      <c r="D512" s="69"/>
      <c r="E512" s="69" t="s">
        <v>4853</v>
      </c>
      <c r="F512" s="69" t="s">
        <v>6873</v>
      </c>
      <c r="G512" s="69" t="s">
        <v>6874</v>
      </c>
      <c r="H512" s="116" t="s">
        <v>1314</v>
      </c>
      <c r="I512" s="114" t="str">
        <f t="array" ref="I512">XLOOKUP(G512,KLUS!$A$2:$A$2010,KLUS!$E$2:$E$2010)+XLOOKUP(H512,KLUS!$A$2:$A$2010,KLUS!$E$2:$E$2010)</f>
        <v>#N/A</v>
      </c>
      <c r="J512" s="114" t="str">
        <f t="shared" si="1"/>
        <v>#N/A</v>
      </c>
      <c r="K512" s="115" t="str">
        <f t="shared" si="2"/>
        <v>#N/A</v>
      </c>
      <c r="L512" s="125"/>
      <c r="M512" s="126"/>
      <c r="N512" s="127"/>
      <c r="O512" s="127"/>
    </row>
    <row r="513">
      <c r="A513" s="69" t="s">
        <v>4854</v>
      </c>
      <c r="B513" s="69" t="s">
        <v>5473</v>
      </c>
      <c r="C513" s="112" t="s">
        <v>6875</v>
      </c>
      <c r="D513" s="69"/>
      <c r="E513" s="69" t="s">
        <v>6876</v>
      </c>
      <c r="F513" s="69" t="s">
        <v>6877</v>
      </c>
      <c r="G513" s="69" t="s">
        <v>439</v>
      </c>
      <c r="H513" s="119"/>
      <c r="I513" s="114" t="str">
        <f t="array" ref="I513">XLOOKUP(G513,KLUS!$A$2:$A$2010,KLUS!$E$2:$E$2010)+XLOOKUP(H513,KLUS!$A$2:$A$2010,KLUS!$E$2:$E$2010)</f>
        <v>#N/A</v>
      </c>
      <c r="J513" s="114" t="str">
        <f t="shared" si="1"/>
        <v>#N/A</v>
      </c>
      <c r="K513" s="115" t="str">
        <f t="shared" si="2"/>
        <v>#N/A</v>
      </c>
      <c r="L513" s="125"/>
      <c r="M513" s="126"/>
      <c r="N513" s="127"/>
      <c r="O513" s="127"/>
    </row>
    <row r="514">
      <c r="A514" s="69" t="s">
        <v>4856</v>
      </c>
      <c r="B514" s="69" t="s">
        <v>5473</v>
      </c>
      <c r="C514" s="112" t="s">
        <v>6114</v>
      </c>
      <c r="D514" s="69"/>
      <c r="E514" s="69" t="s">
        <v>6878</v>
      </c>
      <c r="F514" s="69" t="s">
        <v>6879</v>
      </c>
      <c r="G514" s="69" t="s">
        <v>444</v>
      </c>
      <c r="H514" s="119"/>
      <c r="I514" s="114" t="str">
        <f t="array" ref="I514">XLOOKUP(G514,KLUS!$A$2:$A$2010,KLUS!$E$2:$E$2010)+XLOOKUP(H514,KLUS!$A$2:$A$2010,KLUS!$E$2:$E$2010)</f>
        <v>#N/A</v>
      </c>
      <c r="J514" s="114" t="str">
        <f t="shared" si="1"/>
        <v>#N/A</v>
      </c>
      <c r="K514" s="115" t="str">
        <f t="shared" si="2"/>
        <v>#N/A</v>
      </c>
      <c r="L514" s="125"/>
      <c r="M514" s="126"/>
      <c r="N514" s="127"/>
      <c r="O514" s="127"/>
    </row>
    <row r="515">
      <c r="A515" s="69" t="s">
        <v>4858</v>
      </c>
      <c r="B515" s="69" t="s">
        <v>5473</v>
      </c>
      <c r="C515" s="112" t="s">
        <v>6880</v>
      </c>
      <c r="D515" s="69"/>
      <c r="E515" s="69" t="s">
        <v>4859</v>
      </c>
      <c r="F515" s="69" t="s">
        <v>6881</v>
      </c>
      <c r="G515" s="69" t="s">
        <v>444</v>
      </c>
      <c r="H515" s="113" t="s">
        <v>1317</v>
      </c>
      <c r="I515" s="114">
        <f t="array" ref="I515">XLOOKUP(G515,KLUS!$A$2:$A$2010,KLUS!$E$2:$E$2010)+XLOOKUP(H515,KLUS!$A$2:$A$2010,KLUS!$E$2:$E$2010)</f>
        <v>55.2</v>
      </c>
      <c r="J515" s="114">
        <f t="shared" si="1"/>
        <v>49.68</v>
      </c>
      <c r="K515" s="115">
        <f t="shared" si="2"/>
        <v>39.744</v>
      </c>
      <c r="L515" s="125"/>
      <c r="M515" s="126"/>
      <c r="N515" s="127"/>
      <c r="O515" s="127"/>
    </row>
    <row r="516">
      <c r="A516" s="69" t="s">
        <v>4860</v>
      </c>
      <c r="B516" s="69" t="s">
        <v>5473</v>
      </c>
      <c r="C516" s="112" t="s">
        <v>6005</v>
      </c>
      <c r="D516" s="69"/>
      <c r="E516" s="69" t="s">
        <v>4861</v>
      </c>
      <c r="F516" s="69" t="s">
        <v>6882</v>
      </c>
      <c r="G516" s="69" t="s">
        <v>6883</v>
      </c>
      <c r="H516" s="113" t="s">
        <v>1317</v>
      </c>
      <c r="I516" s="114" t="str">
        <f t="array" ref="I516">XLOOKUP(G516,KLUS!$A$2:$A$2010,KLUS!$E$2:$E$2010)+XLOOKUP(H516,KLUS!$A$2:$A$2010,KLUS!$E$2:$E$2010)</f>
        <v>#N/A</v>
      </c>
      <c r="J516" s="114" t="str">
        <f t="shared" si="1"/>
        <v>#N/A</v>
      </c>
      <c r="K516" s="115" t="str">
        <f t="shared" si="2"/>
        <v>#N/A</v>
      </c>
      <c r="L516" s="125"/>
      <c r="M516" s="126"/>
      <c r="N516" s="127"/>
      <c r="O516" s="127"/>
    </row>
    <row r="517">
      <c r="A517" s="69" t="s">
        <v>4862</v>
      </c>
      <c r="B517" s="69" t="s">
        <v>5473</v>
      </c>
      <c r="C517" s="112" t="s">
        <v>6884</v>
      </c>
      <c r="D517" s="69"/>
      <c r="E517" s="69" t="s">
        <v>6885</v>
      </c>
      <c r="F517" s="69" t="s">
        <v>6886</v>
      </c>
      <c r="G517" s="69" t="s">
        <v>451</v>
      </c>
      <c r="H517" s="119"/>
      <c r="I517" s="114" t="str">
        <f t="array" ref="I517">XLOOKUP(G517,KLUS!$A$2:$A$2010,KLUS!$E$2:$E$2010)+XLOOKUP(H517,KLUS!$A$2:$A$2010,KLUS!$E$2:$E$2010)</f>
        <v>#N/A</v>
      </c>
      <c r="J517" s="114" t="str">
        <f t="shared" si="1"/>
        <v>#N/A</v>
      </c>
      <c r="K517" s="115" t="str">
        <f t="shared" si="2"/>
        <v>#N/A</v>
      </c>
      <c r="L517" s="125"/>
      <c r="M517" s="126"/>
      <c r="N517" s="127"/>
      <c r="O517" s="127"/>
    </row>
    <row r="518">
      <c r="A518" s="69" t="s">
        <v>4864</v>
      </c>
      <c r="B518" s="69" t="s">
        <v>5473</v>
      </c>
      <c r="C518" s="112" t="s">
        <v>6887</v>
      </c>
      <c r="D518" s="69"/>
      <c r="E518" s="69" t="s">
        <v>4865</v>
      </c>
      <c r="F518" s="69" t="s">
        <v>6888</v>
      </c>
      <c r="G518" s="69" t="s">
        <v>451</v>
      </c>
      <c r="H518" s="116" t="s">
        <v>1314</v>
      </c>
      <c r="I518" s="114">
        <f t="array" ref="I518">XLOOKUP(G518,KLUS!$A$2:$A$2010,KLUS!$E$2:$E$2010)+XLOOKUP(H518,KLUS!$A$2:$A$2010,KLUS!$E$2:$E$2010)</f>
        <v>29.5</v>
      </c>
      <c r="J518" s="114">
        <f t="shared" si="1"/>
        <v>26.55</v>
      </c>
      <c r="K518" s="115">
        <f t="shared" si="2"/>
        <v>21.24</v>
      </c>
      <c r="L518" s="125"/>
      <c r="M518" s="126"/>
      <c r="N518" s="127"/>
      <c r="O518" s="127"/>
    </row>
    <row r="519">
      <c r="A519" s="69" t="s">
        <v>4866</v>
      </c>
      <c r="B519" s="69" t="s">
        <v>5473</v>
      </c>
      <c r="C519" s="112" t="s">
        <v>6889</v>
      </c>
      <c r="D519" s="69"/>
      <c r="E519" s="69" t="s">
        <v>4867</v>
      </c>
      <c r="F519" s="69" t="s">
        <v>6890</v>
      </c>
      <c r="G519" s="69" t="s">
        <v>454</v>
      </c>
      <c r="H519" s="119"/>
      <c r="I519" s="114" t="str">
        <f t="array" ref="I519">XLOOKUP(G519,KLUS!$A$2:$A$2010,KLUS!$E$2:$E$2010)+XLOOKUP(H519,KLUS!$A$2:$A$2010,KLUS!$E$2:$E$2010)</f>
        <v>#N/A</v>
      </c>
      <c r="J519" s="114" t="str">
        <f t="shared" si="1"/>
        <v>#N/A</v>
      </c>
      <c r="K519" s="115" t="str">
        <f t="shared" si="2"/>
        <v>#N/A</v>
      </c>
      <c r="L519" s="125"/>
      <c r="M519" s="126"/>
      <c r="N519" s="127"/>
      <c r="O519" s="127"/>
    </row>
    <row r="520">
      <c r="A520" s="69" t="s">
        <v>4868</v>
      </c>
      <c r="B520" s="69" t="s">
        <v>5473</v>
      </c>
      <c r="C520" s="112" t="s">
        <v>6891</v>
      </c>
      <c r="D520" s="69"/>
      <c r="E520" s="69" t="s">
        <v>4869</v>
      </c>
      <c r="F520" s="69" t="s">
        <v>6892</v>
      </c>
      <c r="G520" s="69" t="s">
        <v>454</v>
      </c>
      <c r="H520" s="113" t="s">
        <v>1317</v>
      </c>
      <c r="I520" s="114">
        <f t="array" ref="I520">XLOOKUP(G520,KLUS!$A$2:$A$2010,KLUS!$E$2:$E$2010)+XLOOKUP(H520,KLUS!$A$2:$A$2010,KLUS!$E$2:$E$2010)</f>
        <v>59</v>
      </c>
      <c r="J520" s="114">
        <f t="shared" si="1"/>
        <v>53.1</v>
      </c>
      <c r="K520" s="115">
        <f t="shared" si="2"/>
        <v>42.48</v>
      </c>
      <c r="L520" s="125"/>
      <c r="M520" s="126"/>
      <c r="N520" s="127"/>
      <c r="O520" s="127"/>
    </row>
    <row r="521">
      <c r="A521" s="69" t="s">
        <v>4992</v>
      </c>
      <c r="B521" s="69" t="s">
        <v>5473</v>
      </c>
      <c r="C521" s="112" t="s">
        <v>6893</v>
      </c>
      <c r="D521" s="69"/>
      <c r="E521" s="69" t="s">
        <v>6894</v>
      </c>
      <c r="F521" s="69" t="s">
        <v>6895</v>
      </c>
      <c r="G521" s="69" t="s">
        <v>6894</v>
      </c>
      <c r="H521" s="119"/>
      <c r="I521" s="114" t="str">
        <f t="array" ref="I521">XLOOKUP(G521,KLUS!$A$2:$A$2010,KLUS!$E$2:$E$2010)+XLOOKUP(H521,KLUS!$A$2:$A$2010,KLUS!$E$2:$E$2010)</f>
        <v>#N/A</v>
      </c>
      <c r="J521" s="114" t="str">
        <f t="shared" si="1"/>
        <v>#N/A</v>
      </c>
      <c r="K521" s="115" t="str">
        <f t="shared" si="2"/>
        <v>#N/A</v>
      </c>
      <c r="L521" s="125"/>
      <c r="M521" s="126"/>
      <c r="N521" s="127"/>
      <c r="O521" s="127"/>
    </row>
    <row r="522">
      <c r="L522" s="125"/>
      <c r="M522" s="126"/>
      <c r="N522" s="127"/>
      <c r="O522" s="127"/>
    </row>
    <row r="523">
      <c r="L523" s="125"/>
      <c r="M523" s="126"/>
      <c r="N523" s="127"/>
      <c r="O523" s="127"/>
    </row>
    <row r="524">
      <c r="L524" s="125"/>
      <c r="M524" s="126"/>
      <c r="N524" s="127"/>
      <c r="O524" s="127"/>
    </row>
    <row r="525">
      <c r="L525" s="125"/>
      <c r="M525" s="126"/>
      <c r="N525" s="127"/>
      <c r="O525" s="127"/>
    </row>
    <row r="526">
      <c r="L526" s="125"/>
      <c r="M526" s="126"/>
      <c r="N526" s="127"/>
      <c r="O526" s="127"/>
    </row>
    <row r="527">
      <c r="L527" s="125"/>
      <c r="M527" s="126"/>
      <c r="N527" s="127"/>
      <c r="O527" s="127"/>
    </row>
    <row r="528">
      <c r="L528" s="125"/>
      <c r="M528" s="126"/>
      <c r="N528" s="127"/>
      <c r="O528" s="127"/>
    </row>
    <row r="529">
      <c r="L529" s="125"/>
      <c r="M529" s="126"/>
      <c r="N529" s="127"/>
      <c r="O529" s="127"/>
    </row>
    <row r="530">
      <c r="L530" s="125"/>
      <c r="M530" s="126"/>
      <c r="N530" s="127"/>
      <c r="O530" s="127"/>
    </row>
    <row r="531">
      <c r="L531" s="125"/>
      <c r="M531" s="126"/>
      <c r="N531" s="127"/>
      <c r="O531" s="127"/>
    </row>
    <row r="532">
      <c r="L532" s="125"/>
      <c r="M532" s="126"/>
      <c r="N532" s="127"/>
      <c r="O532" s="127"/>
    </row>
    <row r="533">
      <c r="L533" s="125"/>
      <c r="M533" s="126"/>
      <c r="N533" s="127"/>
      <c r="O533" s="127"/>
    </row>
    <row r="534">
      <c r="L534" s="125"/>
      <c r="M534" s="126"/>
      <c r="N534" s="127"/>
      <c r="O534" s="127"/>
    </row>
    <row r="535">
      <c r="L535" s="125"/>
      <c r="M535" s="126"/>
      <c r="N535" s="127"/>
      <c r="O535" s="127"/>
    </row>
    <row r="536">
      <c r="L536" s="125"/>
      <c r="M536" s="126"/>
      <c r="N536" s="127"/>
      <c r="O536" s="127"/>
    </row>
    <row r="537">
      <c r="L537" s="125"/>
      <c r="M537" s="126"/>
      <c r="N537" s="127"/>
      <c r="O537" s="127"/>
    </row>
    <row r="538">
      <c r="L538" s="125"/>
      <c r="M538" s="126"/>
      <c r="N538" s="127"/>
      <c r="O538" s="127"/>
    </row>
    <row r="539">
      <c r="L539" s="125"/>
      <c r="M539" s="126"/>
      <c r="N539" s="127"/>
      <c r="O539" s="127"/>
    </row>
    <row r="540">
      <c r="L540" s="125"/>
      <c r="M540" s="126"/>
      <c r="N540" s="127"/>
      <c r="O540" s="127"/>
    </row>
    <row r="541">
      <c r="L541" s="125"/>
      <c r="M541" s="126"/>
      <c r="N541" s="127"/>
      <c r="O541" s="127"/>
    </row>
    <row r="542">
      <c r="L542" s="125"/>
      <c r="M542" s="126"/>
      <c r="N542" s="127"/>
      <c r="O542" s="127"/>
    </row>
    <row r="543">
      <c r="L543" s="125"/>
      <c r="M543" s="126"/>
      <c r="N543" s="127"/>
      <c r="O543" s="127"/>
    </row>
    <row r="544">
      <c r="L544" s="125"/>
      <c r="M544" s="126"/>
      <c r="N544" s="127"/>
      <c r="O544" s="127"/>
    </row>
    <row r="545">
      <c r="L545" s="125"/>
      <c r="M545" s="126"/>
      <c r="N545" s="127"/>
      <c r="O545" s="127"/>
    </row>
    <row r="546">
      <c r="L546" s="125"/>
      <c r="M546" s="126"/>
      <c r="N546" s="127"/>
      <c r="O546" s="127"/>
    </row>
    <row r="547">
      <c r="L547" s="125"/>
      <c r="M547" s="126"/>
      <c r="N547" s="127"/>
      <c r="O547" s="127"/>
    </row>
    <row r="548">
      <c r="L548" s="125"/>
      <c r="M548" s="126"/>
      <c r="N548" s="127"/>
      <c r="O548" s="127"/>
    </row>
    <row r="549">
      <c r="L549" s="125"/>
      <c r="M549" s="126"/>
      <c r="N549" s="127"/>
      <c r="O549" s="127"/>
    </row>
    <row r="550">
      <c r="L550" s="125"/>
      <c r="M550" s="126"/>
      <c r="N550" s="127"/>
      <c r="O550" s="127"/>
    </row>
    <row r="551">
      <c r="L551" s="125"/>
      <c r="M551" s="126"/>
      <c r="N551" s="127"/>
      <c r="O551" s="127"/>
    </row>
    <row r="552">
      <c r="L552" s="125"/>
      <c r="M552" s="126"/>
      <c r="N552" s="127"/>
      <c r="O552" s="127"/>
    </row>
    <row r="553">
      <c r="L553" s="125"/>
      <c r="M553" s="126"/>
      <c r="N553" s="127"/>
      <c r="O553" s="127"/>
    </row>
    <row r="554">
      <c r="L554" s="125"/>
      <c r="M554" s="126"/>
      <c r="N554" s="127"/>
      <c r="O554" s="127"/>
    </row>
    <row r="555">
      <c r="L555" s="125"/>
      <c r="M555" s="126"/>
      <c r="N555" s="127"/>
      <c r="O555" s="127"/>
    </row>
    <row r="556">
      <c r="L556" s="125"/>
      <c r="M556" s="126"/>
      <c r="N556" s="127"/>
      <c r="O556" s="127"/>
    </row>
    <row r="557">
      <c r="L557" s="125"/>
      <c r="M557" s="126"/>
      <c r="N557" s="127"/>
      <c r="O557" s="127"/>
    </row>
    <row r="558">
      <c r="L558" s="125"/>
      <c r="M558" s="126"/>
      <c r="N558" s="127"/>
      <c r="O558" s="127"/>
    </row>
    <row r="559">
      <c r="L559" s="125"/>
      <c r="M559" s="126"/>
      <c r="N559" s="127"/>
      <c r="O559" s="127"/>
    </row>
    <row r="560">
      <c r="L560" s="125"/>
      <c r="M560" s="126"/>
      <c r="N560" s="127"/>
      <c r="O560" s="127"/>
    </row>
    <row r="561">
      <c r="L561" s="125"/>
      <c r="M561" s="126"/>
      <c r="N561" s="127"/>
      <c r="O561" s="127"/>
    </row>
    <row r="562">
      <c r="L562" s="125"/>
      <c r="M562" s="126"/>
      <c r="N562" s="127"/>
      <c r="O562" s="127"/>
    </row>
    <row r="563">
      <c r="L563" s="125"/>
      <c r="M563" s="126"/>
      <c r="N563" s="127"/>
      <c r="O563" s="127"/>
    </row>
    <row r="564">
      <c r="L564" s="125"/>
      <c r="M564" s="126"/>
      <c r="N564" s="127"/>
      <c r="O564" s="127"/>
    </row>
    <row r="565">
      <c r="L565" s="125"/>
      <c r="M565" s="126"/>
      <c r="N565" s="127"/>
      <c r="O565" s="127"/>
    </row>
    <row r="566">
      <c r="L566" s="125"/>
      <c r="M566" s="126"/>
      <c r="N566" s="127"/>
      <c r="O566" s="127"/>
    </row>
    <row r="567">
      <c r="L567" s="125"/>
      <c r="M567" s="126"/>
      <c r="N567" s="127"/>
      <c r="O567" s="127"/>
    </row>
    <row r="568">
      <c r="L568" s="125"/>
      <c r="M568" s="126"/>
      <c r="N568" s="127"/>
      <c r="O568" s="127"/>
    </row>
    <row r="569">
      <c r="L569" s="125"/>
      <c r="M569" s="126"/>
      <c r="N569" s="127"/>
      <c r="O569" s="127"/>
    </row>
    <row r="570">
      <c r="L570" s="125"/>
      <c r="M570" s="126"/>
      <c r="N570" s="127"/>
      <c r="O570" s="127"/>
    </row>
    <row r="571">
      <c r="L571" s="125"/>
      <c r="M571" s="126"/>
      <c r="N571" s="127"/>
      <c r="O571" s="127"/>
    </row>
    <row r="572">
      <c r="L572" s="125"/>
      <c r="M572" s="126"/>
      <c r="N572" s="127"/>
      <c r="O572" s="127"/>
    </row>
    <row r="573">
      <c r="L573" s="125"/>
      <c r="M573" s="126"/>
      <c r="N573" s="127"/>
      <c r="O573" s="127"/>
    </row>
    <row r="574">
      <c r="L574" s="125"/>
      <c r="M574" s="126"/>
      <c r="N574" s="127"/>
      <c r="O574" s="127"/>
    </row>
    <row r="575">
      <c r="L575" s="125"/>
      <c r="M575" s="126"/>
      <c r="N575" s="127"/>
      <c r="O575" s="127"/>
    </row>
    <row r="576">
      <c r="L576" s="125"/>
      <c r="M576" s="126"/>
      <c r="N576" s="127"/>
      <c r="O576" s="127"/>
    </row>
    <row r="577">
      <c r="L577" s="125"/>
      <c r="M577" s="126"/>
      <c r="N577" s="127"/>
      <c r="O577" s="127"/>
    </row>
    <row r="578">
      <c r="L578" s="125"/>
      <c r="M578" s="126"/>
      <c r="N578" s="127"/>
      <c r="O578" s="127"/>
    </row>
    <row r="579">
      <c r="L579" s="125"/>
      <c r="M579" s="126"/>
      <c r="N579" s="127"/>
      <c r="O579" s="127"/>
    </row>
    <row r="580">
      <c r="L580" s="125"/>
      <c r="M580" s="126"/>
      <c r="N580" s="127"/>
      <c r="O580" s="127"/>
    </row>
    <row r="581">
      <c r="L581" s="125"/>
      <c r="M581" s="126"/>
      <c r="N581" s="127"/>
      <c r="O581" s="127"/>
    </row>
    <row r="582">
      <c r="L582" s="125"/>
      <c r="M582" s="126"/>
      <c r="N582" s="127"/>
      <c r="O582" s="127"/>
    </row>
    <row r="583">
      <c r="L583" s="125"/>
      <c r="M583" s="126"/>
      <c r="N583" s="127"/>
      <c r="O583" s="127"/>
    </row>
    <row r="584">
      <c r="L584" s="125"/>
      <c r="M584" s="126"/>
      <c r="N584" s="127"/>
      <c r="O584" s="127"/>
    </row>
    <row r="585">
      <c r="L585" s="125"/>
      <c r="M585" s="126"/>
      <c r="N585" s="127"/>
      <c r="O585" s="127"/>
    </row>
    <row r="586">
      <c r="L586" s="125"/>
      <c r="M586" s="126"/>
      <c r="N586" s="127"/>
      <c r="O586" s="127"/>
    </row>
    <row r="587">
      <c r="L587" s="125"/>
      <c r="M587" s="126"/>
      <c r="N587" s="127"/>
      <c r="O587" s="127"/>
    </row>
    <row r="588">
      <c r="L588" s="125"/>
      <c r="M588" s="126"/>
      <c r="N588" s="127"/>
      <c r="O588" s="127"/>
    </row>
    <row r="589">
      <c r="L589" s="125"/>
      <c r="M589" s="126"/>
      <c r="N589" s="127"/>
      <c r="O589" s="127"/>
    </row>
    <row r="590">
      <c r="L590" s="125"/>
      <c r="M590" s="126"/>
      <c r="N590" s="127"/>
      <c r="O590" s="127"/>
    </row>
    <row r="591">
      <c r="L591" s="125"/>
      <c r="M591" s="126"/>
      <c r="N591" s="127"/>
      <c r="O591" s="127"/>
    </row>
    <row r="592">
      <c r="L592" s="125"/>
      <c r="M592" s="126"/>
      <c r="N592" s="127"/>
      <c r="O592" s="127"/>
    </row>
    <row r="593">
      <c r="L593" s="125"/>
      <c r="M593" s="126"/>
      <c r="N593" s="127"/>
      <c r="O593" s="127"/>
    </row>
    <row r="594">
      <c r="L594" s="125"/>
      <c r="M594" s="126"/>
      <c r="N594" s="127"/>
      <c r="O594" s="127"/>
    </row>
    <row r="595">
      <c r="L595" s="125"/>
      <c r="M595" s="126"/>
      <c r="N595" s="127"/>
      <c r="O595" s="127"/>
    </row>
    <row r="596">
      <c r="L596" s="125"/>
      <c r="M596" s="126"/>
      <c r="N596" s="127"/>
      <c r="O596" s="127"/>
    </row>
    <row r="597">
      <c r="L597" s="125"/>
      <c r="M597" s="126"/>
      <c r="N597" s="127"/>
      <c r="O597" s="127"/>
    </row>
    <row r="598">
      <c r="L598" s="125"/>
      <c r="M598" s="126"/>
      <c r="N598" s="127"/>
      <c r="O598" s="127"/>
    </row>
    <row r="599">
      <c r="L599" s="125"/>
      <c r="M599" s="126"/>
      <c r="N599" s="127"/>
      <c r="O599" s="127"/>
    </row>
    <row r="600">
      <c r="L600" s="125"/>
      <c r="M600" s="126"/>
      <c r="N600" s="127"/>
      <c r="O600" s="127"/>
    </row>
    <row r="601">
      <c r="L601" s="125"/>
      <c r="M601" s="126"/>
      <c r="N601" s="127"/>
      <c r="O601" s="127"/>
    </row>
    <row r="602">
      <c r="L602" s="125"/>
      <c r="M602" s="126"/>
      <c r="N602" s="127"/>
      <c r="O602" s="127"/>
    </row>
    <row r="603">
      <c r="L603" s="125"/>
      <c r="M603" s="126"/>
      <c r="N603" s="127"/>
      <c r="O603" s="127"/>
    </row>
    <row r="604">
      <c r="L604" s="125"/>
      <c r="M604" s="126"/>
      <c r="N604" s="127"/>
      <c r="O604" s="127"/>
    </row>
    <row r="605">
      <c r="L605" s="125"/>
      <c r="M605" s="126"/>
      <c r="N605" s="127"/>
      <c r="O605" s="127"/>
    </row>
    <row r="606">
      <c r="L606" s="125"/>
      <c r="M606" s="126"/>
      <c r="N606" s="127"/>
      <c r="O606" s="127"/>
    </row>
    <row r="607">
      <c r="L607" s="125"/>
      <c r="M607" s="126"/>
      <c r="N607" s="127"/>
      <c r="O607" s="127"/>
    </row>
    <row r="608">
      <c r="L608" s="125"/>
      <c r="M608" s="126"/>
      <c r="N608" s="127"/>
      <c r="O608" s="127"/>
    </row>
    <row r="609">
      <c r="L609" s="125"/>
      <c r="M609" s="126"/>
      <c r="N609" s="127"/>
      <c r="O609" s="127"/>
    </row>
    <row r="610">
      <c r="L610" s="125"/>
      <c r="M610" s="126"/>
      <c r="N610" s="127"/>
      <c r="O610" s="127"/>
    </row>
    <row r="611">
      <c r="L611" s="125"/>
      <c r="M611" s="126"/>
      <c r="N611" s="127"/>
      <c r="O611" s="127"/>
    </row>
    <row r="612">
      <c r="L612" s="125"/>
      <c r="M612" s="126"/>
      <c r="N612" s="127"/>
      <c r="O612" s="127"/>
    </row>
    <row r="613">
      <c r="L613" s="125"/>
      <c r="M613" s="126"/>
      <c r="N613" s="127"/>
      <c r="O613" s="127"/>
    </row>
    <row r="614">
      <c r="L614" s="125"/>
      <c r="M614" s="126"/>
      <c r="N614" s="127"/>
      <c r="O614" s="127"/>
    </row>
    <row r="615">
      <c r="L615" s="125"/>
      <c r="M615" s="126"/>
      <c r="N615" s="127"/>
      <c r="O615" s="127"/>
    </row>
    <row r="616">
      <c r="L616" s="125"/>
      <c r="M616" s="126"/>
      <c r="N616" s="127"/>
      <c r="O616" s="127"/>
    </row>
    <row r="617">
      <c r="L617" s="125"/>
      <c r="M617" s="126"/>
      <c r="N617" s="127"/>
      <c r="O617" s="127"/>
    </row>
    <row r="618">
      <c r="L618" s="125"/>
      <c r="M618" s="126"/>
      <c r="N618" s="127"/>
      <c r="O618" s="127"/>
    </row>
    <row r="619">
      <c r="L619" s="125"/>
      <c r="M619" s="126"/>
      <c r="N619" s="127"/>
      <c r="O619" s="127"/>
    </row>
    <row r="620">
      <c r="L620" s="125"/>
      <c r="M620" s="126"/>
      <c r="N620" s="127"/>
      <c r="O620" s="127"/>
    </row>
    <row r="621">
      <c r="L621" s="125"/>
      <c r="M621" s="126"/>
      <c r="N621" s="127"/>
      <c r="O621" s="127"/>
    </row>
    <row r="622">
      <c r="L622" s="125"/>
      <c r="M622" s="126"/>
      <c r="N622" s="127"/>
      <c r="O622" s="127"/>
    </row>
    <row r="623">
      <c r="L623" s="125"/>
      <c r="M623" s="126"/>
      <c r="N623" s="127"/>
      <c r="O623" s="127"/>
    </row>
    <row r="624">
      <c r="L624" s="125"/>
      <c r="M624" s="126"/>
      <c r="N624" s="127"/>
      <c r="O624" s="127"/>
    </row>
    <row r="625">
      <c r="L625" s="125"/>
      <c r="M625" s="126"/>
      <c r="N625" s="127"/>
      <c r="O625" s="127"/>
    </row>
    <row r="626">
      <c r="L626" s="125"/>
      <c r="M626" s="126"/>
      <c r="N626" s="127"/>
      <c r="O626" s="127"/>
    </row>
    <row r="627">
      <c r="L627" s="125"/>
      <c r="M627" s="126"/>
      <c r="N627" s="127"/>
      <c r="O627" s="127"/>
    </row>
    <row r="628">
      <c r="L628" s="125"/>
      <c r="M628" s="126"/>
      <c r="N628" s="127"/>
      <c r="O628" s="127"/>
    </row>
    <row r="629">
      <c r="L629" s="125"/>
      <c r="M629" s="126"/>
      <c r="N629" s="127"/>
      <c r="O629" s="127"/>
    </row>
    <row r="630">
      <c r="L630" s="125"/>
      <c r="M630" s="126"/>
      <c r="N630" s="127"/>
      <c r="O630" s="127"/>
    </row>
    <row r="631">
      <c r="L631" s="125"/>
      <c r="M631" s="126"/>
      <c r="N631" s="127"/>
      <c r="O631" s="127"/>
    </row>
    <row r="632">
      <c r="L632" s="125"/>
      <c r="M632" s="126"/>
      <c r="N632" s="127"/>
      <c r="O632" s="127"/>
    </row>
    <row r="633">
      <c r="L633" s="125"/>
      <c r="M633" s="126"/>
      <c r="N633" s="127"/>
      <c r="O633" s="127"/>
    </row>
    <row r="634">
      <c r="L634" s="125"/>
      <c r="M634" s="126"/>
      <c r="N634" s="127"/>
      <c r="O634" s="127"/>
    </row>
    <row r="635">
      <c r="L635" s="125"/>
      <c r="M635" s="126"/>
      <c r="N635" s="127"/>
      <c r="O635" s="127"/>
    </row>
    <row r="636">
      <c r="L636" s="125"/>
      <c r="M636" s="126"/>
      <c r="N636" s="127"/>
      <c r="O636" s="127"/>
    </row>
    <row r="637">
      <c r="L637" s="125"/>
      <c r="M637" s="126"/>
      <c r="N637" s="127"/>
      <c r="O637" s="127"/>
    </row>
    <row r="638">
      <c r="L638" s="125"/>
      <c r="M638" s="126"/>
      <c r="N638" s="127"/>
      <c r="O638" s="127"/>
    </row>
    <row r="639">
      <c r="L639" s="125"/>
      <c r="M639" s="126"/>
      <c r="N639" s="127"/>
      <c r="O639" s="127"/>
    </row>
    <row r="640">
      <c r="L640" s="125"/>
      <c r="M640" s="126"/>
      <c r="N640" s="127"/>
      <c r="O640" s="127"/>
    </row>
    <row r="641">
      <c r="L641" s="125"/>
      <c r="M641" s="126"/>
      <c r="N641" s="127"/>
      <c r="O641" s="127"/>
    </row>
    <row r="642">
      <c r="L642" s="125"/>
      <c r="M642" s="126"/>
      <c r="N642" s="127"/>
      <c r="O642" s="127"/>
    </row>
    <row r="643">
      <c r="L643" s="125"/>
      <c r="M643" s="126"/>
      <c r="N643" s="127"/>
      <c r="O643" s="127"/>
    </row>
    <row r="644">
      <c r="L644" s="125"/>
      <c r="M644" s="126"/>
      <c r="N644" s="127"/>
      <c r="O644" s="127"/>
    </row>
    <row r="645">
      <c r="L645" s="125"/>
      <c r="M645" s="126"/>
      <c r="N645" s="127"/>
      <c r="O645" s="127"/>
    </row>
    <row r="646">
      <c r="L646" s="125"/>
      <c r="M646" s="126"/>
      <c r="N646" s="127"/>
      <c r="O646" s="127"/>
    </row>
    <row r="647">
      <c r="L647" s="125"/>
      <c r="M647" s="126"/>
      <c r="N647" s="127"/>
      <c r="O647" s="127"/>
    </row>
    <row r="648">
      <c r="L648" s="125"/>
      <c r="M648" s="126"/>
      <c r="N648" s="127"/>
      <c r="O648" s="127"/>
    </row>
    <row r="649">
      <c r="L649" s="125"/>
      <c r="M649" s="126"/>
      <c r="N649" s="127"/>
      <c r="O649" s="127"/>
    </row>
    <row r="650">
      <c r="L650" s="125"/>
      <c r="M650" s="126"/>
      <c r="N650" s="127"/>
      <c r="O650" s="127"/>
    </row>
    <row r="651">
      <c r="L651" s="125"/>
      <c r="M651" s="126"/>
      <c r="N651" s="127"/>
      <c r="O651" s="127"/>
    </row>
    <row r="652">
      <c r="L652" s="125"/>
      <c r="M652" s="126"/>
      <c r="N652" s="127"/>
      <c r="O652" s="127"/>
    </row>
    <row r="653">
      <c r="L653" s="125"/>
      <c r="M653" s="126"/>
      <c r="N653" s="127"/>
      <c r="O653" s="127"/>
    </row>
    <row r="654">
      <c r="L654" s="125"/>
      <c r="M654" s="126"/>
      <c r="N654" s="127"/>
      <c r="O654" s="127"/>
    </row>
    <row r="655">
      <c r="L655" s="125"/>
      <c r="M655" s="126"/>
      <c r="N655" s="127"/>
      <c r="O655" s="127"/>
    </row>
    <row r="656">
      <c r="L656" s="125"/>
      <c r="M656" s="126"/>
      <c r="N656" s="127"/>
      <c r="O656" s="127"/>
    </row>
    <row r="657">
      <c r="L657" s="125"/>
      <c r="M657" s="126"/>
      <c r="N657" s="127"/>
      <c r="O657" s="127"/>
    </row>
    <row r="658">
      <c r="L658" s="125"/>
      <c r="M658" s="126"/>
      <c r="N658" s="127"/>
      <c r="O658" s="127"/>
    </row>
    <row r="659">
      <c r="L659" s="125"/>
      <c r="M659" s="126"/>
      <c r="N659" s="127"/>
      <c r="O659" s="127"/>
    </row>
    <row r="660">
      <c r="L660" s="125"/>
      <c r="M660" s="126"/>
      <c r="N660" s="127"/>
      <c r="O660" s="127"/>
    </row>
    <row r="661">
      <c r="L661" s="125"/>
      <c r="M661" s="126"/>
      <c r="N661" s="127"/>
      <c r="O661" s="127"/>
    </row>
    <row r="662">
      <c r="L662" s="125"/>
      <c r="M662" s="126"/>
      <c r="N662" s="127"/>
      <c r="O662" s="127"/>
    </row>
    <row r="663">
      <c r="L663" s="125"/>
      <c r="M663" s="126"/>
      <c r="N663" s="127"/>
      <c r="O663" s="127"/>
    </row>
    <row r="664">
      <c r="L664" s="125"/>
      <c r="M664" s="126"/>
      <c r="N664" s="127"/>
      <c r="O664" s="127"/>
    </row>
    <row r="665">
      <c r="L665" s="125"/>
      <c r="M665" s="126"/>
      <c r="N665" s="127"/>
      <c r="O665" s="127"/>
    </row>
    <row r="666">
      <c r="L666" s="125"/>
      <c r="M666" s="126"/>
      <c r="N666" s="127"/>
      <c r="O666" s="127"/>
    </row>
    <row r="667">
      <c r="L667" s="125"/>
      <c r="M667" s="126"/>
      <c r="N667" s="127"/>
      <c r="O667" s="127"/>
    </row>
    <row r="668">
      <c r="L668" s="125"/>
      <c r="M668" s="126"/>
      <c r="N668" s="127"/>
      <c r="O668" s="127"/>
    </row>
    <row r="669">
      <c r="L669" s="125"/>
      <c r="M669" s="126"/>
      <c r="N669" s="127"/>
      <c r="O669" s="127"/>
    </row>
    <row r="670">
      <c r="L670" s="125"/>
      <c r="M670" s="126"/>
      <c r="N670" s="127"/>
      <c r="O670" s="127"/>
    </row>
    <row r="671">
      <c r="L671" s="125"/>
      <c r="M671" s="126"/>
      <c r="N671" s="127"/>
      <c r="O671" s="127"/>
    </row>
    <row r="672">
      <c r="L672" s="125"/>
      <c r="M672" s="126"/>
      <c r="N672" s="127"/>
      <c r="O672" s="127"/>
    </row>
    <row r="673">
      <c r="L673" s="125"/>
      <c r="M673" s="126"/>
      <c r="N673" s="127"/>
      <c r="O673" s="127"/>
    </row>
    <row r="674">
      <c r="L674" s="125"/>
      <c r="M674" s="126"/>
      <c r="N674" s="127"/>
      <c r="O674" s="127"/>
    </row>
    <row r="675">
      <c r="L675" s="125"/>
      <c r="M675" s="126"/>
      <c r="N675" s="127"/>
      <c r="O675" s="127"/>
    </row>
    <row r="676">
      <c r="L676" s="125"/>
      <c r="M676" s="126"/>
      <c r="N676" s="127"/>
      <c r="O676" s="127"/>
    </row>
    <row r="677">
      <c r="L677" s="125"/>
      <c r="M677" s="126"/>
      <c r="N677" s="127"/>
      <c r="O677" s="127"/>
    </row>
    <row r="678">
      <c r="L678" s="125"/>
      <c r="M678" s="126"/>
      <c r="N678" s="127"/>
      <c r="O678" s="127"/>
    </row>
    <row r="679">
      <c r="L679" s="125"/>
      <c r="M679" s="126"/>
      <c r="N679" s="127"/>
      <c r="O679" s="127"/>
    </row>
    <row r="680">
      <c r="L680" s="125"/>
      <c r="M680" s="126"/>
      <c r="N680" s="127"/>
      <c r="O680" s="127"/>
    </row>
    <row r="681">
      <c r="L681" s="125"/>
      <c r="M681" s="126"/>
      <c r="N681" s="127"/>
      <c r="O681" s="127"/>
    </row>
    <row r="682">
      <c r="L682" s="125"/>
      <c r="M682" s="126"/>
      <c r="N682" s="127"/>
      <c r="O682" s="127"/>
    </row>
    <row r="683">
      <c r="L683" s="125"/>
      <c r="M683" s="126"/>
      <c r="N683" s="127"/>
      <c r="O683" s="127"/>
    </row>
    <row r="684">
      <c r="L684" s="125"/>
      <c r="M684" s="126"/>
      <c r="N684" s="127"/>
      <c r="O684" s="127"/>
    </row>
    <row r="685">
      <c r="L685" s="125"/>
      <c r="M685" s="126"/>
      <c r="N685" s="127"/>
      <c r="O685" s="127"/>
    </row>
    <row r="686">
      <c r="L686" s="125"/>
      <c r="M686" s="126"/>
      <c r="N686" s="127"/>
      <c r="O686" s="127"/>
    </row>
    <row r="687">
      <c r="L687" s="125"/>
      <c r="M687" s="126"/>
      <c r="N687" s="127"/>
      <c r="O687" s="127"/>
    </row>
    <row r="688">
      <c r="L688" s="125"/>
      <c r="M688" s="126"/>
      <c r="N688" s="127"/>
      <c r="O688" s="127"/>
    </row>
    <row r="689">
      <c r="L689" s="125"/>
      <c r="M689" s="126"/>
      <c r="N689" s="127"/>
      <c r="O689" s="127"/>
    </row>
    <row r="690">
      <c r="L690" s="125"/>
      <c r="M690" s="126"/>
      <c r="N690" s="127"/>
      <c r="O690" s="127"/>
    </row>
    <row r="691">
      <c r="L691" s="125"/>
      <c r="M691" s="126"/>
      <c r="N691" s="127"/>
      <c r="O691" s="127"/>
    </row>
    <row r="692">
      <c r="L692" s="125"/>
      <c r="M692" s="126"/>
      <c r="N692" s="127"/>
      <c r="O692" s="127"/>
    </row>
    <row r="693">
      <c r="L693" s="125"/>
      <c r="M693" s="126"/>
      <c r="N693" s="127"/>
      <c r="O693" s="127"/>
    </row>
    <row r="694">
      <c r="L694" s="125"/>
      <c r="M694" s="126"/>
      <c r="N694" s="127"/>
      <c r="O694" s="127"/>
    </row>
    <row r="695">
      <c r="L695" s="125"/>
      <c r="M695" s="126"/>
      <c r="N695" s="127"/>
      <c r="O695" s="127"/>
    </row>
    <row r="696">
      <c r="L696" s="125"/>
      <c r="M696" s="126"/>
      <c r="N696" s="127"/>
      <c r="O696" s="127"/>
    </row>
    <row r="697">
      <c r="L697" s="125"/>
      <c r="M697" s="126"/>
      <c r="N697" s="127"/>
      <c r="O697" s="127"/>
    </row>
    <row r="698">
      <c r="L698" s="125"/>
      <c r="M698" s="126"/>
      <c r="N698" s="127"/>
      <c r="O698" s="127"/>
    </row>
    <row r="699">
      <c r="L699" s="125"/>
      <c r="M699" s="126"/>
      <c r="N699" s="127"/>
      <c r="O699" s="127"/>
    </row>
    <row r="700">
      <c r="L700" s="125"/>
      <c r="M700" s="126"/>
      <c r="N700" s="127"/>
      <c r="O700" s="127"/>
    </row>
    <row r="701">
      <c r="L701" s="125"/>
      <c r="M701" s="126"/>
      <c r="N701" s="127"/>
      <c r="O701" s="127"/>
    </row>
    <row r="702">
      <c r="L702" s="125"/>
      <c r="M702" s="126"/>
      <c r="N702" s="127"/>
      <c r="O702" s="127"/>
    </row>
    <row r="703">
      <c r="L703" s="125"/>
      <c r="M703" s="126"/>
      <c r="N703" s="127"/>
      <c r="O703" s="127"/>
    </row>
    <row r="704">
      <c r="L704" s="125"/>
      <c r="M704" s="126"/>
      <c r="N704" s="127"/>
      <c r="O704" s="127"/>
    </row>
    <row r="705">
      <c r="L705" s="125"/>
      <c r="M705" s="126"/>
      <c r="N705" s="127"/>
      <c r="O705" s="127"/>
    </row>
    <row r="706">
      <c r="L706" s="125"/>
      <c r="M706" s="126"/>
      <c r="N706" s="127"/>
      <c r="O706" s="127"/>
    </row>
    <row r="707">
      <c r="L707" s="125"/>
      <c r="M707" s="126"/>
      <c r="N707" s="127"/>
      <c r="O707" s="127"/>
    </row>
    <row r="708">
      <c r="L708" s="125"/>
      <c r="M708" s="126"/>
      <c r="N708" s="127"/>
      <c r="O708" s="127"/>
    </row>
    <row r="709">
      <c r="L709" s="125"/>
      <c r="M709" s="126"/>
      <c r="N709" s="127"/>
      <c r="O709" s="127"/>
    </row>
    <row r="710">
      <c r="L710" s="125"/>
      <c r="M710" s="126"/>
      <c r="N710" s="127"/>
      <c r="O710" s="127"/>
    </row>
    <row r="711">
      <c r="L711" s="125"/>
      <c r="M711" s="126"/>
      <c r="N711" s="127"/>
      <c r="O711" s="127"/>
    </row>
    <row r="712">
      <c r="L712" s="125"/>
      <c r="M712" s="126"/>
      <c r="N712" s="127"/>
      <c r="O712" s="127"/>
    </row>
    <row r="713">
      <c r="L713" s="125"/>
      <c r="M713" s="126"/>
      <c r="N713" s="127"/>
      <c r="O713" s="127"/>
    </row>
    <row r="714">
      <c r="L714" s="125"/>
      <c r="M714" s="126"/>
      <c r="N714" s="127"/>
      <c r="O714" s="127"/>
    </row>
    <row r="715">
      <c r="L715" s="125"/>
      <c r="M715" s="126"/>
      <c r="N715" s="127"/>
      <c r="O715" s="127"/>
    </row>
    <row r="716">
      <c r="L716" s="125"/>
      <c r="M716" s="126"/>
      <c r="N716" s="127"/>
      <c r="O716" s="127"/>
    </row>
    <row r="717">
      <c r="L717" s="125"/>
      <c r="M717" s="126"/>
      <c r="N717" s="127"/>
      <c r="O717" s="127"/>
    </row>
    <row r="718">
      <c r="L718" s="125"/>
      <c r="M718" s="126"/>
      <c r="N718" s="127"/>
      <c r="O718" s="127"/>
    </row>
    <row r="719">
      <c r="L719" s="125"/>
      <c r="M719" s="126"/>
      <c r="N719" s="127"/>
      <c r="O719" s="127"/>
    </row>
    <row r="720">
      <c r="L720" s="125"/>
      <c r="M720" s="126"/>
      <c r="N720" s="127"/>
      <c r="O720" s="127"/>
    </row>
    <row r="721">
      <c r="L721" s="125"/>
      <c r="M721" s="126"/>
      <c r="N721" s="127"/>
      <c r="O721" s="127"/>
    </row>
    <row r="722">
      <c r="L722" s="125"/>
      <c r="M722" s="126"/>
      <c r="N722" s="127"/>
      <c r="O722" s="127"/>
    </row>
    <row r="723">
      <c r="L723" s="125"/>
      <c r="M723" s="126"/>
      <c r="N723" s="127"/>
      <c r="O723" s="127"/>
    </row>
    <row r="724">
      <c r="L724" s="125"/>
      <c r="M724" s="126"/>
      <c r="N724" s="127"/>
      <c r="O724" s="127"/>
    </row>
    <row r="725">
      <c r="L725" s="125"/>
      <c r="M725" s="126"/>
      <c r="N725" s="127"/>
      <c r="O725" s="127"/>
    </row>
    <row r="726">
      <c r="L726" s="125"/>
      <c r="M726" s="126"/>
      <c r="N726" s="127"/>
      <c r="O726" s="127"/>
    </row>
    <row r="727">
      <c r="L727" s="125"/>
      <c r="M727" s="126"/>
      <c r="N727" s="127"/>
      <c r="O727" s="127"/>
    </row>
    <row r="728">
      <c r="L728" s="125"/>
      <c r="M728" s="126"/>
      <c r="N728" s="127"/>
      <c r="O728" s="127"/>
    </row>
    <row r="729">
      <c r="L729" s="125"/>
      <c r="M729" s="126"/>
      <c r="N729" s="127"/>
      <c r="O729" s="127"/>
    </row>
    <row r="730">
      <c r="L730" s="125"/>
      <c r="M730" s="126"/>
      <c r="N730" s="127"/>
      <c r="O730" s="127"/>
    </row>
    <row r="731">
      <c r="L731" s="125"/>
      <c r="M731" s="126"/>
      <c r="N731" s="127"/>
      <c r="O731" s="127"/>
    </row>
    <row r="732">
      <c r="L732" s="125"/>
      <c r="M732" s="126"/>
      <c r="N732" s="127"/>
      <c r="O732" s="127"/>
    </row>
    <row r="733">
      <c r="L733" s="125"/>
      <c r="M733" s="126"/>
      <c r="N733" s="127"/>
      <c r="O733" s="127"/>
    </row>
    <row r="734">
      <c r="L734" s="125"/>
      <c r="M734" s="126"/>
      <c r="N734" s="127"/>
      <c r="O734" s="127"/>
    </row>
    <row r="735">
      <c r="L735" s="125"/>
      <c r="M735" s="126"/>
      <c r="N735" s="127"/>
      <c r="O735" s="127"/>
    </row>
    <row r="736">
      <c r="L736" s="125"/>
      <c r="M736" s="126"/>
      <c r="N736" s="127"/>
      <c r="O736" s="127"/>
    </row>
    <row r="737">
      <c r="L737" s="125"/>
      <c r="M737" s="126"/>
      <c r="N737" s="127"/>
      <c r="O737" s="127"/>
    </row>
    <row r="738">
      <c r="L738" s="125"/>
      <c r="M738" s="126"/>
      <c r="N738" s="127"/>
      <c r="O738" s="127"/>
    </row>
    <row r="739">
      <c r="L739" s="125"/>
      <c r="M739" s="126"/>
      <c r="N739" s="127"/>
      <c r="O739" s="127"/>
    </row>
    <row r="740">
      <c r="L740" s="125"/>
      <c r="M740" s="126"/>
      <c r="N740" s="127"/>
      <c r="O740" s="127"/>
    </row>
    <row r="741">
      <c r="L741" s="125"/>
      <c r="M741" s="126"/>
      <c r="N741" s="127"/>
      <c r="O741" s="127"/>
    </row>
    <row r="742">
      <c r="L742" s="125"/>
      <c r="M742" s="126"/>
      <c r="N742" s="127"/>
      <c r="O742" s="127"/>
    </row>
    <row r="743">
      <c r="L743" s="125"/>
      <c r="M743" s="126"/>
      <c r="N743" s="127"/>
      <c r="O743" s="127"/>
    </row>
    <row r="744">
      <c r="L744" s="125"/>
      <c r="M744" s="126"/>
      <c r="N744" s="127"/>
      <c r="O744" s="127"/>
    </row>
    <row r="745">
      <c r="L745" s="125"/>
      <c r="M745" s="126"/>
      <c r="N745" s="127"/>
      <c r="O745" s="127"/>
    </row>
    <row r="746">
      <c r="L746" s="125"/>
      <c r="M746" s="126"/>
      <c r="N746" s="127"/>
      <c r="O746" s="127"/>
    </row>
    <row r="747">
      <c r="L747" s="125"/>
      <c r="M747" s="126"/>
      <c r="N747" s="127"/>
      <c r="O747" s="127"/>
    </row>
    <row r="748">
      <c r="L748" s="125"/>
      <c r="M748" s="126"/>
      <c r="N748" s="127"/>
      <c r="O748" s="127"/>
    </row>
    <row r="749">
      <c r="L749" s="125"/>
      <c r="M749" s="126"/>
      <c r="N749" s="127"/>
      <c r="O749" s="127"/>
    </row>
    <row r="750">
      <c r="L750" s="125"/>
      <c r="M750" s="126"/>
      <c r="N750" s="127"/>
      <c r="O750" s="127"/>
    </row>
    <row r="751">
      <c r="L751" s="125"/>
      <c r="M751" s="126"/>
      <c r="N751" s="127"/>
      <c r="O751" s="127"/>
    </row>
    <row r="752">
      <c r="L752" s="125"/>
      <c r="M752" s="126"/>
      <c r="N752" s="127"/>
      <c r="O752" s="127"/>
    </row>
    <row r="753">
      <c r="L753" s="125"/>
      <c r="M753" s="126"/>
      <c r="N753" s="127"/>
      <c r="O753" s="127"/>
    </row>
    <row r="754">
      <c r="L754" s="125"/>
      <c r="M754" s="126"/>
      <c r="N754" s="127"/>
      <c r="O754" s="127"/>
    </row>
    <row r="755">
      <c r="L755" s="125"/>
      <c r="M755" s="126"/>
      <c r="N755" s="127"/>
      <c r="O755" s="127"/>
    </row>
    <row r="756">
      <c r="L756" s="125"/>
      <c r="M756" s="126"/>
      <c r="N756" s="127"/>
      <c r="O756" s="127"/>
    </row>
    <row r="757">
      <c r="L757" s="125"/>
      <c r="M757" s="126"/>
      <c r="N757" s="127"/>
      <c r="O757" s="127"/>
    </row>
    <row r="758">
      <c r="L758" s="125"/>
      <c r="M758" s="126"/>
      <c r="N758" s="127"/>
      <c r="O758" s="127"/>
    </row>
    <row r="759">
      <c r="L759" s="125"/>
      <c r="M759" s="126"/>
      <c r="N759" s="127"/>
      <c r="O759" s="127"/>
    </row>
    <row r="760">
      <c r="L760" s="125"/>
      <c r="M760" s="126"/>
      <c r="N760" s="127"/>
      <c r="O760" s="127"/>
    </row>
    <row r="761">
      <c r="L761" s="125"/>
      <c r="M761" s="126"/>
      <c r="N761" s="127"/>
      <c r="O761" s="127"/>
    </row>
    <row r="762">
      <c r="L762" s="125"/>
      <c r="M762" s="126"/>
      <c r="N762" s="127"/>
      <c r="O762" s="127"/>
    </row>
    <row r="763">
      <c r="L763" s="125"/>
      <c r="M763" s="126"/>
      <c r="N763" s="127"/>
      <c r="O763" s="127"/>
    </row>
    <row r="764">
      <c r="L764" s="125"/>
      <c r="M764" s="126"/>
      <c r="N764" s="127"/>
      <c r="O764" s="127"/>
    </row>
    <row r="765">
      <c r="L765" s="125"/>
      <c r="M765" s="126"/>
      <c r="N765" s="127"/>
      <c r="O765" s="127"/>
    </row>
    <row r="766">
      <c r="L766" s="125"/>
      <c r="M766" s="126"/>
      <c r="N766" s="127"/>
      <c r="O766" s="127"/>
    </row>
    <row r="767">
      <c r="L767" s="125"/>
      <c r="M767" s="126"/>
      <c r="N767" s="127"/>
      <c r="O767" s="127"/>
    </row>
    <row r="768">
      <c r="L768" s="125"/>
      <c r="M768" s="126"/>
      <c r="N768" s="127"/>
      <c r="O768" s="127"/>
    </row>
    <row r="769">
      <c r="L769" s="125"/>
      <c r="M769" s="126"/>
      <c r="N769" s="127"/>
      <c r="O769" s="127"/>
    </row>
    <row r="770">
      <c r="L770" s="125"/>
      <c r="M770" s="126"/>
      <c r="N770" s="127"/>
      <c r="O770" s="127"/>
    </row>
    <row r="771">
      <c r="L771" s="125"/>
      <c r="M771" s="126"/>
      <c r="N771" s="127"/>
      <c r="O771" s="127"/>
    </row>
    <row r="772">
      <c r="L772" s="125"/>
      <c r="M772" s="126"/>
      <c r="N772" s="127"/>
      <c r="O772" s="127"/>
    </row>
    <row r="773">
      <c r="L773" s="125"/>
      <c r="M773" s="126"/>
      <c r="N773" s="127"/>
      <c r="O773" s="127"/>
    </row>
    <row r="774">
      <c r="L774" s="125"/>
      <c r="M774" s="126"/>
      <c r="N774" s="127"/>
      <c r="O774" s="127"/>
    </row>
    <row r="775">
      <c r="L775" s="125"/>
      <c r="M775" s="126"/>
      <c r="N775" s="127"/>
      <c r="O775" s="127"/>
    </row>
    <row r="776">
      <c r="L776" s="125"/>
      <c r="M776" s="126"/>
      <c r="N776" s="127"/>
      <c r="O776" s="127"/>
    </row>
    <row r="777">
      <c r="L777" s="125"/>
      <c r="M777" s="126"/>
      <c r="N777" s="127"/>
      <c r="O777" s="127"/>
    </row>
    <row r="778">
      <c r="L778" s="125"/>
      <c r="M778" s="126"/>
      <c r="N778" s="127"/>
      <c r="O778" s="127"/>
    </row>
    <row r="779">
      <c r="L779" s="125"/>
      <c r="M779" s="126"/>
      <c r="N779" s="127"/>
      <c r="O779" s="127"/>
    </row>
    <row r="780">
      <c r="L780" s="125"/>
      <c r="M780" s="126"/>
      <c r="N780" s="127"/>
      <c r="O780" s="127"/>
    </row>
    <row r="781">
      <c r="L781" s="125"/>
      <c r="M781" s="126"/>
      <c r="N781" s="127"/>
      <c r="O781" s="127"/>
    </row>
    <row r="782">
      <c r="L782" s="125"/>
      <c r="M782" s="126"/>
      <c r="N782" s="127"/>
      <c r="O782" s="127"/>
    </row>
    <row r="783">
      <c r="L783" s="125"/>
      <c r="M783" s="126"/>
      <c r="N783" s="127"/>
      <c r="O783" s="127"/>
    </row>
    <row r="784">
      <c r="L784" s="125"/>
      <c r="M784" s="126"/>
      <c r="N784" s="127"/>
      <c r="O784" s="127"/>
    </row>
    <row r="785">
      <c r="L785" s="125"/>
      <c r="M785" s="126"/>
      <c r="N785" s="127"/>
      <c r="O785" s="127"/>
    </row>
    <row r="786">
      <c r="L786" s="125"/>
      <c r="M786" s="126"/>
      <c r="N786" s="127"/>
      <c r="O786" s="127"/>
    </row>
    <row r="787">
      <c r="L787" s="125"/>
      <c r="M787" s="126"/>
      <c r="N787" s="127"/>
      <c r="O787" s="127"/>
    </row>
    <row r="788">
      <c r="L788" s="125"/>
      <c r="M788" s="126"/>
      <c r="N788" s="127"/>
      <c r="O788" s="127"/>
    </row>
    <row r="789">
      <c r="L789" s="125"/>
      <c r="M789" s="126"/>
      <c r="N789" s="127"/>
      <c r="O789" s="127"/>
    </row>
    <row r="790">
      <c r="L790" s="125"/>
      <c r="M790" s="126"/>
      <c r="N790" s="127"/>
      <c r="O790" s="127"/>
    </row>
    <row r="791">
      <c r="L791" s="125"/>
      <c r="M791" s="126"/>
      <c r="N791" s="127"/>
      <c r="O791" s="127"/>
    </row>
    <row r="792">
      <c r="L792" s="125"/>
      <c r="M792" s="126"/>
      <c r="N792" s="127"/>
      <c r="O792" s="127"/>
    </row>
    <row r="793">
      <c r="L793" s="125"/>
      <c r="M793" s="126"/>
      <c r="N793" s="127"/>
      <c r="O793" s="127"/>
    </row>
    <row r="794">
      <c r="L794" s="125"/>
      <c r="M794" s="126"/>
      <c r="N794" s="127"/>
      <c r="O794" s="127"/>
    </row>
    <row r="795">
      <c r="L795" s="125"/>
      <c r="M795" s="126"/>
      <c r="N795" s="127"/>
      <c r="O795" s="127"/>
    </row>
    <row r="796">
      <c r="L796" s="125"/>
      <c r="M796" s="126"/>
      <c r="N796" s="127"/>
      <c r="O796" s="127"/>
    </row>
    <row r="797">
      <c r="L797" s="125"/>
      <c r="M797" s="126"/>
      <c r="N797" s="127"/>
      <c r="O797" s="127"/>
    </row>
    <row r="798">
      <c r="L798" s="125"/>
      <c r="M798" s="126"/>
      <c r="N798" s="127"/>
      <c r="O798" s="127"/>
    </row>
    <row r="799">
      <c r="L799" s="125"/>
      <c r="M799" s="126"/>
      <c r="N799" s="127"/>
      <c r="O799" s="127"/>
    </row>
    <row r="800">
      <c r="L800" s="125"/>
      <c r="M800" s="126"/>
      <c r="N800" s="127"/>
      <c r="O800" s="127"/>
    </row>
    <row r="801">
      <c r="L801" s="125"/>
      <c r="M801" s="126"/>
      <c r="N801" s="127"/>
      <c r="O801" s="127"/>
    </row>
    <row r="802">
      <c r="L802" s="125"/>
      <c r="M802" s="126"/>
      <c r="N802" s="127"/>
      <c r="O802" s="127"/>
    </row>
    <row r="803">
      <c r="L803" s="125"/>
      <c r="M803" s="126"/>
      <c r="N803" s="127"/>
      <c r="O803" s="127"/>
    </row>
    <row r="804">
      <c r="L804" s="125"/>
      <c r="M804" s="126"/>
      <c r="N804" s="127"/>
      <c r="O804" s="127"/>
    </row>
    <row r="805">
      <c r="L805" s="125"/>
      <c r="M805" s="126"/>
      <c r="N805" s="127"/>
      <c r="O805" s="127"/>
    </row>
    <row r="806">
      <c r="L806" s="125"/>
      <c r="M806" s="126"/>
      <c r="N806" s="127"/>
      <c r="O806" s="127"/>
    </row>
    <row r="807">
      <c r="L807" s="125"/>
      <c r="M807" s="126"/>
      <c r="N807" s="127"/>
      <c r="O807" s="127"/>
    </row>
    <row r="808">
      <c r="L808" s="125"/>
      <c r="M808" s="126"/>
      <c r="N808" s="127"/>
      <c r="O808" s="127"/>
    </row>
    <row r="809">
      <c r="L809" s="125"/>
      <c r="M809" s="126"/>
      <c r="N809" s="127"/>
      <c r="O809" s="127"/>
    </row>
    <row r="810">
      <c r="L810" s="125"/>
      <c r="M810" s="126"/>
      <c r="N810" s="127"/>
      <c r="O810" s="127"/>
    </row>
    <row r="811">
      <c r="L811" s="125"/>
      <c r="M811" s="126"/>
      <c r="N811" s="127"/>
      <c r="O811" s="127"/>
    </row>
    <row r="812">
      <c r="L812" s="125"/>
      <c r="M812" s="126"/>
      <c r="N812" s="127"/>
      <c r="O812" s="127"/>
    </row>
    <row r="813">
      <c r="L813" s="125"/>
      <c r="M813" s="126"/>
      <c r="N813" s="127"/>
      <c r="O813" s="127"/>
    </row>
    <row r="814">
      <c r="L814" s="125"/>
      <c r="M814" s="126"/>
      <c r="N814" s="127"/>
      <c r="O814" s="127"/>
    </row>
    <row r="815">
      <c r="L815" s="125"/>
      <c r="M815" s="126"/>
      <c r="N815" s="127"/>
      <c r="O815" s="127"/>
    </row>
    <row r="816">
      <c r="L816" s="125"/>
      <c r="M816" s="126"/>
      <c r="N816" s="127"/>
      <c r="O816" s="127"/>
    </row>
    <row r="817">
      <c r="L817" s="125"/>
      <c r="M817" s="126"/>
      <c r="N817" s="127"/>
      <c r="O817" s="127"/>
    </row>
    <row r="818">
      <c r="L818" s="125"/>
      <c r="M818" s="126"/>
      <c r="N818" s="127"/>
      <c r="O818" s="127"/>
    </row>
    <row r="819">
      <c r="L819" s="125"/>
      <c r="M819" s="126"/>
      <c r="N819" s="127"/>
      <c r="O819" s="127"/>
    </row>
    <row r="820">
      <c r="L820" s="125"/>
      <c r="M820" s="126"/>
      <c r="N820" s="127"/>
      <c r="O820" s="127"/>
    </row>
    <row r="821">
      <c r="L821" s="125"/>
      <c r="M821" s="126"/>
      <c r="N821" s="127"/>
      <c r="O821" s="127"/>
    </row>
    <row r="822">
      <c r="L822" s="125"/>
      <c r="M822" s="126"/>
      <c r="N822" s="127"/>
      <c r="O822" s="127"/>
    </row>
    <row r="823">
      <c r="L823" s="125"/>
      <c r="M823" s="126"/>
      <c r="N823" s="127"/>
      <c r="O823" s="127"/>
    </row>
    <row r="824">
      <c r="L824" s="125"/>
      <c r="M824" s="126"/>
      <c r="N824" s="127"/>
      <c r="O824" s="127"/>
    </row>
    <row r="825">
      <c r="L825" s="125"/>
      <c r="M825" s="126"/>
      <c r="N825" s="127"/>
      <c r="O825" s="127"/>
    </row>
    <row r="826">
      <c r="L826" s="125"/>
      <c r="M826" s="126"/>
      <c r="N826" s="127"/>
      <c r="O826" s="127"/>
    </row>
    <row r="827">
      <c r="L827" s="125"/>
      <c r="M827" s="126"/>
      <c r="N827" s="127"/>
      <c r="O827" s="127"/>
    </row>
    <row r="828">
      <c r="L828" s="125"/>
      <c r="M828" s="126"/>
      <c r="N828" s="127"/>
      <c r="O828" s="127"/>
    </row>
    <row r="829">
      <c r="L829" s="125"/>
      <c r="M829" s="126"/>
      <c r="N829" s="127"/>
      <c r="O829" s="127"/>
    </row>
    <row r="830">
      <c r="L830" s="125"/>
      <c r="M830" s="126"/>
      <c r="N830" s="127"/>
      <c r="O830" s="127"/>
    </row>
    <row r="831">
      <c r="L831" s="125"/>
      <c r="M831" s="126"/>
      <c r="N831" s="127"/>
      <c r="O831" s="127"/>
    </row>
    <row r="832">
      <c r="L832" s="125"/>
      <c r="M832" s="126"/>
      <c r="N832" s="127"/>
      <c r="O832" s="127"/>
    </row>
    <row r="833">
      <c r="L833" s="125"/>
      <c r="M833" s="126"/>
      <c r="N833" s="127"/>
      <c r="O833" s="127"/>
    </row>
    <row r="834">
      <c r="L834" s="125"/>
      <c r="M834" s="126"/>
      <c r="N834" s="127"/>
      <c r="O834" s="127"/>
    </row>
    <row r="835">
      <c r="L835" s="125"/>
      <c r="M835" s="126"/>
      <c r="N835" s="127"/>
      <c r="O835" s="127"/>
    </row>
    <row r="836">
      <c r="L836" s="125"/>
      <c r="M836" s="126"/>
      <c r="N836" s="127"/>
      <c r="O836" s="127"/>
    </row>
    <row r="837">
      <c r="L837" s="125"/>
      <c r="M837" s="126"/>
      <c r="N837" s="127"/>
      <c r="O837" s="127"/>
    </row>
    <row r="838">
      <c r="L838" s="125"/>
      <c r="M838" s="126"/>
      <c r="N838" s="127"/>
      <c r="O838" s="127"/>
    </row>
    <row r="839">
      <c r="L839" s="125"/>
      <c r="M839" s="126"/>
      <c r="N839" s="127"/>
      <c r="O839" s="127"/>
    </row>
    <row r="840">
      <c r="L840" s="125"/>
      <c r="M840" s="126"/>
      <c r="N840" s="127"/>
      <c r="O840" s="127"/>
    </row>
    <row r="841">
      <c r="L841" s="125"/>
      <c r="M841" s="126"/>
      <c r="N841" s="127"/>
      <c r="O841" s="127"/>
    </row>
    <row r="842">
      <c r="L842" s="125"/>
      <c r="M842" s="126"/>
      <c r="N842" s="127"/>
      <c r="O842" s="127"/>
    </row>
    <row r="843">
      <c r="L843" s="125"/>
      <c r="M843" s="126"/>
      <c r="N843" s="127"/>
      <c r="O843" s="127"/>
    </row>
    <row r="844">
      <c r="L844" s="125"/>
      <c r="M844" s="126"/>
      <c r="N844" s="127"/>
      <c r="O844" s="127"/>
    </row>
    <row r="845">
      <c r="L845" s="125"/>
      <c r="M845" s="126"/>
      <c r="N845" s="127"/>
      <c r="O845" s="127"/>
    </row>
    <row r="846">
      <c r="L846" s="125"/>
      <c r="M846" s="126"/>
      <c r="N846" s="127"/>
      <c r="O846" s="127"/>
    </row>
    <row r="847">
      <c r="L847" s="125"/>
      <c r="M847" s="126"/>
      <c r="N847" s="127"/>
      <c r="O847" s="127"/>
    </row>
    <row r="848">
      <c r="L848" s="125"/>
      <c r="M848" s="126"/>
      <c r="N848" s="127"/>
      <c r="O848" s="127"/>
    </row>
    <row r="849">
      <c r="L849" s="125"/>
      <c r="M849" s="126"/>
      <c r="N849" s="127"/>
      <c r="O849" s="127"/>
    </row>
    <row r="850">
      <c r="L850" s="125"/>
      <c r="M850" s="126"/>
      <c r="N850" s="127"/>
      <c r="O850" s="127"/>
    </row>
    <row r="851">
      <c r="L851" s="125"/>
      <c r="M851" s="126"/>
      <c r="N851" s="127"/>
      <c r="O851" s="127"/>
    </row>
    <row r="852">
      <c r="L852" s="125"/>
      <c r="M852" s="126"/>
      <c r="N852" s="127"/>
      <c r="O852" s="127"/>
    </row>
    <row r="853">
      <c r="L853" s="125"/>
      <c r="M853" s="126"/>
      <c r="N853" s="127"/>
      <c r="O853" s="127"/>
    </row>
    <row r="854">
      <c r="L854" s="125"/>
      <c r="M854" s="126"/>
      <c r="N854" s="127"/>
      <c r="O854" s="127"/>
    </row>
    <row r="855">
      <c r="L855" s="125"/>
      <c r="M855" s="126"/>
      <c r="N855" s="127"/>
      <c r="O855" s="127"/>
    </row>
    <row r="856">
      <c r="L856" s="125"/>
      <c r="M856" s="126"/>
      <c r="N856" s="127"/>
      <c r="O856" s="127"/>
    </row>
    <row r="857">
      <c r="L857" s="125"/>
      <c r="M857" s="126"/>
      <c r="N857" s="127"/>
      <c r="O857" s="127"/>
    </row>
    <row r="858">
      <c r="L858" s="125"/>
      <c r="M858" s="126"/>
      <c r="N858" s="127"/>
      <c r="O858" s="127"/>
    </row>
    <row r="859">
      <c r="L859" s="125"/>
      <c r="M859" s="126"/>
      <c r="N859" s="127"/>
      <c r="O859" s="127"/>
    </row>
    <row r="860">
      <c r="L860" s="125"/>
      <c r="M860" s="126"/>
      <c r="N860" s="127"/>
      <c r="O860" s="127"/>
    </row>
    <row r="861">
      <c r="L861" s="125"/>
      <c r="M861" s="126"/>
      <c r="N861" s="127"/>
      <c r="O861" s="127"/>
    </row>
    <row r="862">
      <c r="L862" s="125"/>
      <c r="M862" s="126"/>
      <c r="N862" s="127"/>
      <c r="O862" s="127"/>
    </row>
    <row r="863">
      <c r="L863" s="125"/>
      <c r="M863" s="126"/>
      <c r="N863" s="127"/>
      <c r="O863" s="127"/>
    </row>
    <row r="864">
      <c r="L864" s="125"/>
      <c r="M864" s="126"/>
      <c r="N864" s="127"/>
      <c r="O864" s="127"/>
    </row>
    <row r="865">
      <c r="L865" s="125"/>
      <c r="M865" s="126"/>
      <c r="N865" s="127"/>
      <c r="O865" s="127"/>
    </row>
    <row r="866">
      <c r="L866" s="125"/>
      <c r="M866" s="126"/>
      <c r="N866" s="127"/>
      <c r="O866" s="127"/>
    </row>
    <row r="867">
      <c r="L867" s="125"/>
      <c r="M867" s="126"/>
      <c r="N867" s="127"/>
      <c r="O867" s="127"/>
    </row>
    <row r="868">
      <c r="L868" s="125"/>
      <c r="M868" s="126"/>
      <c r="N868" s="127"/>
      <c r="O868" s="127"/>
    </row>
    <row r="869">
      <c r="L869" s="125"/>
      <c r="M869" s="126"/>
      <c r="N869" s="127"/>
      <c r="O869" s="127"/>
    </row>
    <row r="870">
      <c r="L870" s="125"/>
      <c r="M870" s="126"/>
      <c r="N870" s="127"/>
      <c r="O870" s="127"/>
    </row>
    <row r="871">
      <c r="L871" s="125"/>
      <c r="M871" s="126"/>
      <c r="N871" s="127"/>
      <c r="O871" s="127"/>
    </row>
    <row r="872">
      <c r="L872" s="125"/>
      <c r="M872" s="126"/>
      <c r="N872" s="127"/>
      <c r="O872" s="127"/>
    </row>
    <row r="873">
      <c r="L873" s="125"/>
      <c r="M873" s="126"/>
      <c r="N873" s="127"/>
      <c r="O873" s="127"/>
    </row>
    <row r="874">
      <c r="L874" s="125"/>
      <c r="M874" s="126"/>
      <c r="N874" s="127"/>
      <c r="O874" s="127"/>
    </row>
    <row r="875">
      <c r="L875" s="125"/>
      <c r="M875" s="126"/>
      <c r="N875" s="127"/>
      <c r="O875" s="127"/>
    </row>
    <row r="876">
      <c r="L876" s="125"/>
      <c r="M876" s="126"/>
      <c r="N876" s="127"/>
      <c r="O876" s="127"/>
    </row>
    <row r="877">
      <c r="L877" s="125"/>
      <c r="M877" s="126"/>
      <c r="N877" s="127"/>
      <c r="O877" s="127"/>
    </row>
    <row r="878">
      <c r="L878" s="125"/>
      <c r="M878" s="126"/>
      <c r="N878" s="127"/>
      <c r="O878" s="127"/>
    </row>
    <row r="879">
      <c r="L879" s="125"/>
      <c r="M879" s="126"/>
      <c r="N879" s="127"/>
      <c r="O879" s="127"/>
    </row>
    <row r="880">
      <c r="L880" s="125"/>
      <c r="M880" s="126"/>
      <c r="N880" s="127"/>
      <c r="O880" s="127"/>
    </row>
    <row r="881">
      <c r="L881" s="125"/>
      <c r="M881" s="126"/>
      <c r="N881" s="127"/>
      <c r="O881" s="127"/>
    </row>
    <row r="882">
      <c r="L882" s="125"/>
      <c r="M882" s="126"/>
      <c r="N882" s="127"/>
      <c r="O882" s="127"/>
    </row>
    <row r="883">
      <c r="L883" s="125"/>
      <c r="M883" s="126"/>
      <c r="N883" s="127"/>
      <c r="O883" s="127"/>
    </row>
    <row r="884">
      <c r="L884" s="125"/>
      <c r="M884" s="126"/>
      <c r="N884" s="127"/>
      <c r="O884" s="127"/>
    </row>
    <row r="885">
      <c r="L885" s="125"/>
      <c r="M885" s="126"/>
      <c r="N885" s="127"/>
      <c r="O885" s="127"/>
    </row>
    <row r="886">
      <c r="L886" s="125"/>
      <c r="M886" s="126"/>
      <c r="N886" s="127"/>
      <c r="O886" s="127"/>
    </row>
    <row r="887">
      <c r="L887" s="125"/>
      <c r="M887" s="126"/>
      <c r="N887" s="127"/>
      <c r="O887" s="127"/>
    </row>
    <row r="888">
      <c r="L888" s="125"/>
      <c r="M888" s="126"/>
      <c r="N888" s="127"/>
      <c r="O888" s="127"/>
    </row>
    <row r="889">
      <c r="L889" s="125"/>
      <c r="M889" s="126"/>
      <c r="N889" s="127"/>
      <c r="O889" s="127"/>
    </row>
    <row r="890">
      <c r="L890" s="125"/>
      <c r="M890" s="126"/>
      <c r="N890" s="127"/>
      <c r="O890" s="127"/>
    </row>
    <row r="891">
      <c r="L891" s="125"/>
      <c r="M891" s="126"/>
      <c r="N891" s="127"/>
      <c r="O891" s="127"/>
    </row>
    <row r="892">
      <c r="L892" s="125"/>
      <c r="M892" s="126"/>
      <c r="N892" s="127"/>
      <c r="O892" s="127"/>
    </row>
    <row r="893">
      <c r="L893" s="125"/>
      <c r="M893" s="126"/>
      <c r="N893" s="127"/>
      <c r="O893" s="127"/>
    </row>
    <row r="894">
      <c r="L894" s="125"/>
      <c r="M894" s="126"/>
      <c r="N894" s="127"/>
      <c r="O894" s="127"/>
    </row>
    <row r="895">
      <c r="L895" s="125"/>
      <c r="M895" s="126"/>
      <c r="N895" s="127"/>
      <c r="O895" s="127"/>
    </row>
    <row r="896">
      <c r="L896" s="125"/>
      <c r="M896" s="126"/>
      <c r="N896" s="127"/>
      <c r="O896" s="127"/>
    </row>
    <row r="897">
      <c r="L897" s="125"/>
      <c r="M897" s="126"/>
      <c r="N897" s="127"/>
      <c r="O897" s="127"/>
    </row>
    <row r="898">
      <c r="L898" s="125"/>
      <c r="M898" s="126"/>
      <c r="N898" s="127"/>
      <c r="O898" s="127"/>
    </row>
    <row r="899">
      <c r="L899" s="125"/>
      <c r="M899" s="126"/>
      <c r="N899" s="127"/>
      <c r="O899" s="127"/>
    </row>
    <row r="900">
      <c r="L900" s="125"/>
      <c r="M900" s="126"/>
      <c r="N900" s="127"/>
      <c r="O900" s="127"/>
    </row>
    <row r="901">
      <c r="L901" s="125"/>
      <c r="M901" s="126"/>
      <c r="N901" s="127"/>
      <c r="O901" s="127"/>
    </row>
    <row r="902">
      <c r="L902" s="125"/>
      <c r="M902" s="126"/>
      <c r="N902" s="127"/>
      <c r="O902" s="127"/>
    </row>
    <row r="903">
      <c r="L903" s="125"/>
      <c r="M903" s="126"/>
      <c r="N903" s="127"/>
      <c r="O903" s="127"/>
    </row>
    <row r="904">
      <c r="L904" s="125"/>
      <c r="M904" s="126"/>
      <c r="N904" s="127"/>
      <c r="O904" s="127"/>
    </row>
    <row r="905">
      <c r="L905" s="125"/>
      <c r="M905" s="126"/>
      <c r="N905" s="127"/>
      <c r="O905" s="127"/>
    </row>
    <row r="906">
      <c r="L906" s="125"/>
      <c r="M906" s="126"/>
      <c r="N906" s="127"/>
      <c r="O906" s="127"/>
    </row>
    <row r="907">
      <c r="L907" s="125"/>
      <c r="M907" s="126"/>
      <c r="N907" s="127"/>
      <c r="O907" s="127"/>
    </row>
    <row r="908">
      <c r="L908" s="125"/>
      <c r="M908" s="126"/>
      <c r="N908" s="127"/>
      <c r="O908" s="127"/>
    </row>
    <row r="909">
      <c r="L909" s="125"/>
      <c r="M909" s="126"/>
      <c r="N909" s="127"/>
      <c r="O909" s="127"/>
    </row>
    <row r="910">
      <c r="L910" s="125"/>
      <c r="M910" s="126"/>
      <c r="N910" s="127"/>
      <c r="O910" s="127"/>
    </row>
    <row r="911">
      <c r="L911" s="125"/>
      <c r="M911" s="126"/>
      <c r="N911" s="127"/>
      <c r="O911" s="127"/>
    </row>
    <row r="912">
      <c r="L912" s="125"/>
      <c r="M912" s="126"/>
      <c r="N912" s="127"/>
      <c r="O912" s="127"/>
    </row>
    <row r="913">
      <c r="L913" s="125"/>
      <c r="M913" s="126"/>
      <c r="N913" s="127"/>
      <c r="O913" s="127"/>
    </row>
    <row r="914">
      <c r="L914" s="125"/>
      <c r="M914" s="126"/>
      <c r="N914" s="127"/>
      <c r="O914" s="127"/>
    </row>
    <row r="915">
      <c r="L915" s="125"/>
      <c r="M915" s="126"/>
      <c r="N915" s="127"/>
      <c r="O915" s="127"/>
    </row>
    <row r="916">
      <c r="L916" s="125"/>
      <c r="M916" s="126"/>
      <c r="N916" s="127"/>
      <c r="O916" s="127"/>
    </row>
    <row r="917">
      <c r="L917" s="125"/>
      <c r="M917" s="126"/>
      <c r="N917" s="127"/>
      <c r="O917" s="127"/>
    </row>
    <row r="918">
      <c r="L918" s="125"/>
      <c r="M918" s="126"/>
      <c r="N918" s="127"/>
      <c r="O918" s="127"/>
    </row>
    <row r="919">
      <c r="L919" s="125"/>
      <c r="M919" s="126"/>
      <c r="N919" s="127"/>
      <c r="O919" s="127"/>
    </row>
    <row r="920">
      <c r="L920" s="125"/>
      <c r="M920" s="126"/>
      <c r="N920" s="127"/>
      <c r="O920" s="127"/>
    </row>
    <row r="921">
      <c r="L921" s="125"/>
      <c r="M921" s="126"/>
      <c r="N921" s="127"/>
      <c r="O921" s="127"/>
    </row>
    <row r="922">
      <c r="L922" s="125"/>
      <c r="M922" s="126"/>
      <c r="N922" s="127"/>
      <c r="O922" s="127"/>
    </row>
    <row r="923">
      <c r="L923" s="125"/>
      <c r="M923" s="126"/>
      <c r="N923" s="127"/>
      <c r="O923" s="127"/>
    </row>
    <row r="924">
      <c r="L924" s="125"/>
      <c r="M924" s="126"/>
      <c r="N924" s="127"/>
      <c r="O924" s="127"/>
    </row>
    <row r="925">
      <c r="L925" s="125"/>
      <c r="M925" s="126"/>
      <c r="N925" s="127"/>
      <c r="O925" s="127"/>
    </row>
    <row r="926">
      <c r="L926" s="125"/>
      <c r="M926" s="126"/>
      <c r="N926" s="127"/>
      <c r="O926" s="127"/>
    </row>
    <row r="927">
      <c r="L927" s="125"/>
      <c r="M927" s="126"/>
      <c r="N927" s="127"/>
      <c r="O927" s="127"/>
    </row>
    <row r="928">
      <c r="L928" s="125"/>
      <c r="M928" s="126"/>
      <c r="N928" s="127"/>
      <c r="O928" s="127"/>
    </row>
    <row r="929">
      <c r="L929" s="125"/>
      <c r="M929" s="126"/>
      <c r="N929" s="127"/>
      <c r="O929" s="127"/>
    </row>
    <row r="930">
      <c r="L930" s="125"/>
      <c r="M930" s="126"/>
      <c r="N930" s="127"/>
      <c r="O930" s="127"/>
    </row>
    <row r="931">
      <c r="L931" s="125"/>
      <c r="M931" s="126"/>
      <c r="N931" s="127"/>
      <c r="O931" s="127"/>
    </row>
    <row r="932">
      <c r="L932" s="125"/>
      <c r="M932" s="126"/>
      <c r="N932" s="127"/>
      <c r="O932" s="127"/>
    </row>
    <row r="933">
      <c r="L933" s="125"/>
      <c r="M933" s="126"/>
      <c r="N933" s="127"/>
      <c r="O933" s="127"/>
    </row>
    <row r="934">
      <c r="L934" s="125"/>
      <c r="M934" s="126"/>
      <c r="N934" s="127"/>
      <c r="O934" s="127"/>
    </row>
    <row r="935">
      <c r="L935" s="125"/>
      <c r="M935" s="126"/>
      <c r="N935" s="127"/>
      <c r="O935" s="127"/>
    </row>
    <row r="936">
      <c r="L936" s="125"/>
      <c r="M936" s="126"/>
      <c r="N936" s="127"/>
      <c r="O936" s="127"/>
    </row>
    <row r="937">
      <c r="L937" s="125"/>
      <c r="M937" s="126"/>
      <c r="N937" s="127"/>
      <c r="O937" s="127"/>
    </row>
    <row r="938">
      <c r="L938" s="125"/>
      <c r="M938" s="126"/>
      <c r="N938" s="127"/>
      <c r="O938" s="127"/>
    </row>
    <row r="939">
      <c r="L939" s="125"/>
      <c r="M939" s="126"/>
      <c r="N939" s="127"/>
      <c r="O939" s="127"/>
    </row>
    <row r="940">
      <c r="L940" s="125"/>
      <c r="M940" s="126"/>
      <c r="N940" s="127"/>
      <c r="O940" s="127"/>
    </row>
    <row r="941">
      <c r="L941" s="125"/>
      <c r="M941" s="126"/>
      <c r="N941" s="127"/>
      <c r="O941" s="127"/>
    </row>
    <row r="942">
      <c r="L942" s="125"/>
      <c r="M942" s="126"/>
      <c r="N942" s="127"/>
      <c r="O942" s="127"/>
    </row>
    <row r="943">
      <c r="L943" s="125"/>
      <c r="M943" s="126"/>
      <c r="N943" s="127"/>
      <c r="O943" s="127"/>
    </row>
    <row r="944">
      <c r="L944" s="125"/>
      <c r="M944" s="126"/>
      <c r="N944" s="127"/>
      <c r="O944" s="127"/>
    </row>
    <row r="945">
      <c r="L945" s="125"/>
      <c r="M945" s="126"/>
      <c r="N945" s="127"/>
      <c r="O945" s="127"/>
    </row>
    <row r="946">
      <c r="L946" s="125"/>
      <c r="M946" s="126"/>
      <c r="N946" s="127"/>
      <c r="O946" s="127"/>
    </row>
    <row r="947">
      <c r="L947" s="125"/>
      <c r="M947" s="126"/>
      <c r="N947" s="127"/>
      <c r="O947" s="127"/>
    </row>
    <row r="948">
      <c r="L948" s="125"/>
      <c r="M948" s="126"/>
      <c r="N948" s="127"/>
      <c r="O948" s="127"/>
    </row>
    <row r="949">
      <c r="L949" s="125"/>
      <c r="M949" s="126"/>
      <c r="N949" s="127"/>
      <c r="O949" s="127"/>
    </row>
    <row r="950">
      <c r="L950" s="125"/>
      <c r="M950" s="126"/>
      <c r="N950" s="127"/>
      <c r="O950" s="127"/>
    </row>
    <row r="951">
      <c r="L951" s="125"/>
      <c r="M951" s="126"/>
      <c r="N951" s="127"/>
      <c r="O951" s="127"/>
    </row>
    <row r="952">
      <c r="L952" s="125"/>
      <c r="M952" s="126"/>
      <c r="N952" s="127"/>
      <c r="O952" s="127"/>
    </row>
    <row r="953">
      <c r="L953" s="125"/>
      <c r="M953" s="126"/>
      <c r="N953" s="127"/>
      <c r="O953" s="127"/>
    </row>
    <row r="954">
      <c r="L954" s="125"/>
      <c r="M954" s="126"/>
      <c r="N954" s="127"/>
      <c r="O954" s="127"/>
    </row>
    <row r="955">
      <c r="L955" s="125"/>
      <c r="M955" s="126"/>
      <c r="N955" s="127"/>
      <c r="O955" s="127"/>
    </row>
    <row r="956">
      <c r="L956" s="125"/>
      <c r="M956" s="126"/>
      <c r="N956" s="127"/>
      <c r="O956" s="127"/>
    </row>
    <row r="957">
      <c r="L957" s="125"/>
      <c r="M957" s="126"/>
      <c r="N957" s="127"/>
      <c r="O957" s="127"/>
    </row>
    <row r="958">
      <c r="L958" s="125"/>
      <c r="M958" s="126"/>
      <c r="N958" s="127"/>
      <c r="O958" s="127"/>
    </row>
    <row r="959">
      <c r="L959" s="125"/>
      <c r="M959" s="126"/>
      <c r="N959" s="127"/>
      <c r="O959" s="127"/>
    </row>
    <row r="960">
      <c r="L960" s="125"/>
      <c r="M960" s="126"/>
      <c r="N960" s="127"/>
      <c r="O960" s="127"/>
    </row>
    <row r="961">
      <c r="L961" s="125"/>
      <c r="M961" s="126"/>
      <c r="N961" s="127"/>
      <c r="O961" s="127"/>
    </row>
    <row r="962">
      <c r="L962" s="125"/>
      <c r="M962" s="126"/>
      <c r="N962" s="127"/>
      <c r="O962" s="127"/>
    </row>
    <row r="963">
      <c r="L963" s="125"/>
      <c r="M963" s="126"/>
      <c r="N963" s="127"/>
      <c r="O963" s="127"/>
    </row>
    <row r="964">
      <c r="L964" s="125"/>
      <c r="M964" s="126"/>
      <c r="N964" s="127"/>
      <c r="O964" s="127"/>
    </row>
    <row r="965">
      <c r="L965" s="125"/>
      <c r="M965" s="126"/>
      <c r="N965" s="127"/>
      <c r="O965" s="127"/>
    </row>
    <row r="966">
      <c r="L966" s="125"/>
      <c r="M966" s="126"/>
      <c r="N966" s="127"/>
      <c r="O966" s="127"/>
    </row>
    <row r="967">
      <c r="L967" s="125"/>
      <c r="M967" s="126"/>
      <c r="N967" s="127"/>
      <c r="O967" s="127"/>
    </row>
    <row r="968">
      <c r="L968" s="125"/>
      <c r="M968" s="126"/>
      <c r="N968" s="127"/>
      <c r="O968" s="127"/>
    </row>
    <row r="969">
      <c r="L969" s="125"/>
      <c r="M969" s="126"/>
      <c r="N969" s="127"/>
      <c r="O969" s="127"/>
    </row>
    <row r="970">
      <c r="L970" s="125"/>
      <c r="M970" s="126"/>
      <c r="N970" s="127"/>
      <c r="O970" s="127"/>
    </row>
    <row r="971">
      <c r="L971" s="125"/>
      <c r="M971" s="126"/>
      <c r="N971" s="127"/>
      <c r="O971" s="127"/>
    </row>
    <row r="972">
      <c r="L972" s="125"/>
      <c r="M972" s="126"/>
      <c r="N972" s="127"/>
      <c r="O972" s="127"/>
    </row>
    <row r="973">
      <c r="L973" s="125"/>
      <c r="M973" s="126"/>
      <c r="N973" s="127"/>
      <c r="O973" s="127"/>
    </row>
    <row r="974">
      <c r="L974" s="125"/>
      <c r="M974" s="126"/>
      <c r="N974" s="127"/>
      <c r="O974" s="127"/>
    </row>
    <row r="975">
      <c r="L975" s="125"/>
      <c r="M975" s="126"/>
      <c r="N975" s="127"/>
      <c r="O975" s="127"/>
    </row>
    <row r="976">
      <c r="L976" s="125"/>
      <c r="M976" s="126"/>
      <c r="N976" s="127"/>
      <c r="O976" s="127"/>
    </row>
    <row r="977">
      <c r="L977" s="125"/>
      <c r="M977" s="126"/>
      <c r="N977" s="127"/>
      <c r="O977" s="127"/>
    </row>
    <row r="978">
      <c r="L978" s="125"/>
      <c r="M978" s="126"/>
      <c r="N978" s="127"/>
      <c r="O978" s="127"/>
    </row>
    <row r="979">
      <c r="L979" s="125"/>
      <c r="M979" s="126"/>
      <c r="N979" s="127"/>
      <c r="O979" s="127"/>
    </row>
    <row r="980">
      <c r="L980" s="125"/>
      <c r="M980" s="126"/>
      <c r="N980" s="127"/>
      <c r="O980" s="127"/>
    </row>
    <row r="981">
      <c r="L981" s="125"/>
      <c r="M981" s="126"/>
      <c r="N981" s="127"/>
      <c r="O981" s="127"/>
    </row>
    <row r="982">
      <c r="L982" s="125"/>
      <c r="M982" s="126"/>
      <c r="N982" s="127"/>
      <c r="O982" s="127"/>
    </row>
    <row r="983">
      <c r="L983" s="125"/>
      <c r="M983" s="126"/>
      <c r="N983" s="127"/>
      <c r="O983" s="127"/>
    </row>
    <row r="984">
      <c r="L984" s="125"/>
      <c r="M984" s="126"/>
      <c r="N984" s="127"/>
      <c r="O984" s="127"/>
    </row>
    <row r="985">
      <c r="L985" s="125"/>
      <c r="M985" s="126"/>
      <c r="N985" s="127"/>
      <c r="O985" s="127"/>
    </row>
    <row r="986">
      <c r="L986" s="125"/>
      <c r="M986" s="126"/>
      <c r="N986" s="127"/>
      <c r="O986" s="127"/>
    </row>
    <row r="987">
      <c r="L987" s="125"/>
      <c r="M987" s="126"/>
      <c r="N987" s="127"/>
      <c r="O987" s="127"/>
    </row>
    <row r="988">
      <c r="L988" s="125"/>
      <c r="M988" s="126"/>
      <c r="N988" s="127"/>
      <c r="O988" s="127"/>
    </row>
    <row r="989">
      <c r="L989" s="125"/>
      <c r="M989" s="126"/>
      <c r="N989" s="127"/>
      <c r="O989" s="127"/>
    </row>
    <row r="990">
      <c r="L990" s="125"/>
      <c r="M990" s="126"/>
      <c r="N990" s="127"/>
      <c r="O990" s="127"/>
    </row>
    <row r="991">
      <c r="L991" s="125"/>
      <c r="M991" s="126"/>
      <c r="N991" s="127"/>
      <c r="O991" s="127"/>
    </row>
    <row r="992">
      <c r="L992" s="125"/>
      <c r="M992" s="126"/>
      <c r="N992" s="127"/>
      <c r="O992" s="127"/>
    </row>
    <row r="993">
      <c r="L993" s="125"/>
      <c r="M993" s="126"/>
      <c r="N993" s="127"/>
      <c r="O993" s="127"/>
    </row>
    <row r="994">
      <c r="L994" s="125"/>
      <c r="M994" s="126"/>
      <c r="N994" s="127"/>
      <c r="O994" s="127"/>
    </row>
    <row r="995">
      <c r="L995" s="125"/>
      <c r="M995" s="126"/>
      <c r="N995" s="127"/>
      <c r="O995" s="127"/>
    </row>
    <row r="996">
      <c r="L996" s="125"/>
      <c r="M996" s="126"/>
      <c r="N996" s="127"/>
      <c r="O996" s="127"/>
    </row>
    <row r="997">
      <c r="L997" s="125"/>
      <c r="M997" s="126"/>
      <c r="N997" s="127"/>
      <c r="O997" s="127"/>
    </row>
    <row r="998">
      <c r="L998" s="125"/>
      <c r="M998" s="126"/>
      <c r="N998" s="127"/>
      <c r="O998" s="127"/>
    </row>
    <row r="999">
      <c r="L999" s="125"/>
      <c r="M999" s="126"/>
      <c r="N999" s="127"/>
      <c r="O999" s="127"/>
    </row>
    <row r="1000">
      <c r="L1000" s="125"/>
      <c r="M1000" s="126"/>
      <c r="N1000" s="127"/>
      <c r="O1000" s="127"/>
    </row>
  </sheetData>
  <conditionalFormatting sqref="M1:M2 M31:M1000">
    <cfRule type="notContainsBlanks" dxfId="0" priority="1">
      <formula>LEN(TRIM(M1))&gt;0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71"/>
    <col customWidth="1" min="2" max="2" width="20.0"/>
    <col customWidth="1" min="3" max="3" width="10.86"/>
    <col customWidth="1" min="4" max="4" width="13.71"/>
    <col customWidth="1" min="5" max="5" width="16.86"/>
    <col customWidth="1" min="6" max="6" width="17.71"/>
    <col customWidth="1" min="7" max="7" width="7.0"/>
    <col customWidth="1" min="9" max="9" width="24.0"/>
  </cols>
  <sheetData>
    <row r="1">
      <c r="A1" s="101" t="s">
        <v>2925</v>
      </c>
      <c r="B1" s="101" t="s">
        <v>2926</v>
      </c>
      <c r="C1" s="101" t="s">
        <v>2927</v>
      </c>
      <c r="D1" s="101" t="s">
        <v>2928</v>
      </c>
      <c r="E1" s="101" t="s">
        <v>2929</v>
      </c>
      <c r="F1" s="101" t="s">
        <v>2930</v>
      </c>
      <c r="G1" s="101" t="s">
        <v>2931</v>
      </c>
      <c r="H1" s="101" t="s">
        <v>2932</v>
      </c>
      <c r="I1" s="101" t="s">
        <v>2933</v>
      </c>
      <c r="J1" s="101" t="s">
        <v>2934</v>
      </c>
      <c r="K1" s="101" t="s">
        <v>2935</v>
      </c>
      <c r="L1" s="101" t="s">
        <v>2936</v>
      </c>
      <c r="M1" s="101" t="s">
        <v>2937</v>
      </c>
    </row>
    <row r="2">
      <c r="A2" s="101" t="s">
        <v>2970</v>
      </c>
      <c r="B2" s="101">
        <v>42817.0</v>
      </c>
      <c r="C2" s="13"/>
      <c r="D2" s="13"/>
      <c r="E2" s="13"/>
      <c r="F2" s="13"/>
      <c r="G2" s="102">
        <v>2.0</v>
      </c>
      <c r="H2" s="101" t="s">
        <v>2942</v>
      </c>
      <c r="I2" s="132">
        <f t="array" ref="I2">IFS(H2="detaliczna",XLOOKUP(B2,roboczykarol!$D$3:$D$2010,roboczykarol!$L$3:$L$2010),H2="Hurtowa",XLOOKUP(B2,roboczykarol!$D$3:$D$2010,roboczykarol!$N$3:$N$2010))</f>
        <v>19.6</v>
      </c>
      <c r="J2" s="132">
        <f t="array" ref="J2">IFS(H2="Hurtowa",XLOOKUP(B2,roboczykarol!$D$3:$D$2010,roboczykarol!$O$3:$O$2010),H2="Detaliczna",round(XLOOKUP(B2,roboczykarol!$D$3:$D$2010,roboczykarol!$M$3:$M$2010),1))</f>
        <v>24.108</v>
      </c>
      <c r="K2" s="101" t="s">
        <v>2941</v>
      </c>
      <c r="L2" s="102">
        <v>23.0</v>
      </c>
      <c r="M2" s="13"/>
      <c r="N2" s="133"/>
    </row>
    <row r="3">
      <c r="A3" s="134" t="s">
        <v>2970</v>
      </c>
      <c r="B3" s="130">
        <v>42817.0</v>
      </c>
      <c r="C3" s="134"/>
      <c r="D3" s="134"/>
      <c r="E3" s="134"/>
      <c r="F3" s="134"/>
      <c r="G3" s="130">
        <v>1.0</v>
      </c>
      <c r="H3" s="135" t="s">
        <v>2940</v>
      </c>
      <c r="I3" s="132">
        <f t="array" ref="I3">IFS(H3="detaliczna",XLOOKUP(B3,roboczykarol!$D$3:$D$2010,roboczykarol!$L$3:$L$2010),H3="Hurtowa",XLOOKUP(B3,roboczykarol!$D$3:$D$2010,roboczykarol!$N$3:$N$2010))</f>
        <v>24.55284553</v>
      </c>
      <c r="J3" s="132">
        <f t="array" ref="J3">IFS(H3="Hurtowa",XLOOKUP(B3,roboczykarol!$D$3:$D$2010,roboczykarol!$O$3:$O$2010),H3="Detaliczna",round(XLOOKUP(B3,roboczykarol!$D$3:$D$2010,roboczykarol!$M$3:$M$2010),1))</f>
        <v>30.2</v>
      </c>
      <c r="K3" s="134" t="s">
        <v>2941</v>
      </c>
      <c r="L3" s="130">
        <v>23.0</v>
      </c>
      <c r="M3" s="134"/>
    </row>
    <row r="4">
      <c r="A4" s="101" t="s">
        <v>2971</v>
      </c>
      <c r="B4" s="101">
        <v>42907.0</v>
      </c>
      <c r="C4" s="13"/>
      <c r="D4" s="13"/>
      <c r="E4" s="13"/>
      <c r="F4" s="13"/>
      <c r="G4" s="102">
        <v>2.0</v>
      </c>
      <c r="H4" s="101" t="s">
        <v>2942</v>
      </c>
      <c r="I4" s="132">
        <f t="array" ref="I4">IFS(H4="detaliczna",XLOOKUP(B4,roboczykarol!$D$3:$D$2010,roboczykarol!$L$3:$L$2010),H4="Hurtowa",XLOOKUP(B4,roboczykarol!$D$3:$D$2010,roboczykarol!$N$3:$N$2010))</f>
        <v>24.3</v>
      </c>
      <c r="J4" s="132">
        <f t="array" ref="J4">IFS(H4="Hurtowa",XLOOKUP(B4,roboczykarol!$D$3:$D$2010,roboczykarol!$O$3:$O$2010),H4="Detaliczna",round(XLOOKUP(B4,roboczykarol!$D$3:$D$2010,roboczykarol!$M$3:$M$2010),1))</f>
        <v>29.889</v>
      </c>
      <c r="K4" s="101" t="s">
        <v>2941</v>
      </c>
      <c r="L4" s="102">
        <v>23.0</v>
      </c>
      <c r="M4" s="13"/>
    </row>
    <row r="5">
      <c r="A5" s="134" t="s">
        <v>2971</v>
      </c>
      <c r="B5" s="130">
        <v>42907.0</v>
      </c>
      <c r="C5" s="134"/>
      <c r="D5" s="134"/>
      <c r="E5" s="134"/>
      <c r="F5" s="134"/>
      <c r="G5" s="130">
        <v>1.0</v>
      </c>
      <c r="H5" s="134" t="s">
        <v>2940</v>
      </c>
      <c r="I5" s="132">
        <f t="array" ref="I5">IFS(H5="detaliczna",XLOOKUP(B5,roboczykarol!$D$3:$D$2010,roboczykarol!$L$3:$L$2010),H5="Hurtowa",XLOOKUP(B5,roboczykarol!$D$3:$D$2010,roboczykarol!$N$3:$N$2010))</f>
        <v>30.32520325</v>
      </c>
      <c r="J5" s="132">
        <f t="array" ref="J5">IFS(H5="Hurtowa",XLOOKUP(B5,roboczykarol!$D$3:$D$2010,roboczykarol!$O$3:$O$2010),H5="Detaliczna",round(XLOOKUP(B5,roboczykarol!$D$3:$D$2010,roboczykarol!$M$3:$M$2010),1))</f>
        <v>37.3</v>
      </c>
      <c r="K5" s="134" t="s">
        <v>2941</v>
      </c>
      <c r="L5" s="130">
        <v>23.0</v>
      </c>
      <c r="M5" s="134"/>
    </row>
    <row r="6">
      <c r="A6" s="101" t="s">
        <v>2972</v>
      </c>
      <c r="B6" s="101">
        <v>42909.0</v>
      </c>
      <c r="C6" s="13"/>
      <c r="D6" s="13"/>
      <c r="E6" s="13"/>
      <c r="F6" s="13"/>
      <c r="G6" s="102">
        <v>2.0</v>
      </c>
      <c r="H6" s="101" t="s">
        <v>2942</v>
      </c>
      <c r="I6" s="132">
        <f t="array" ref="I6">IFS(H6="detaliczna",XLOOKUP(B6,roboczykarol!$D$3:$D$2010,roboczykarol!$L$3:$L$2010),H6="Hurtowa",XLOOKUP(B6,roboczykarol!$D$3:$D$2010,roboczykarol!$N$3:$N$2010))</f>
        <v>15.5</v>
      </c>
      <c r="J6" s="132">
        <f t="array" ref="J6">IFS(H6="Hurtowa",XLOOKUP(B6,roboczykarol!$D$3:$D$2010,roboczykarol!$O$3:$O$2010),H6="Detaliczna",round(XLOOKUP(B6,roboczykarol!$D$3:$D$2010,roboczykarol!$M$3:$M$2010),1))</f>
        <v>19.065</v>
      </c>
      <c r="K6" s="101" t="s">
        <v>2941</v>
      </c>
      <c r="L6" s="102">
        <v>23.0</v>
      </c>
      <c r="M6" s="13"/>
    </row>
    <row r="7">
      <c r="A7" s="134" t="s">
        <v>2972</v>
      </c>
      <c r="B7" s="130">
        <v>42909.0</v>
      </c>
      <c r="C7" s="134"/>
      <c r="D7" s="134"/>
      <c r="E7" s="134"/>
      <c r="F7" s="134"/>
      <c r="G7" s="130">
        <v>1.0</v>
      </c>
      <c r="H7" s="134" t="s">
        <v>2940</v>
      </c>
      <c r="I7" s="132">
        <f t="array" ref="I7">IFS(H7="detaliczna",XLOOKUP(B7,roboczykarol!$D$3:$D$2010,roboczykarol!$L$3:$L$2010),H7="Hurtowa",XLOOKUP(B7,roboczykarol!$D$3:$D$2010,roboczykarol!$N$3:$N$2010))</f>
        <v>19.3495935</v>
      </c>
      <c r="J7" s="132">
        <f t="array" ref="J7">IFS(H7="Hurtowa",XLOOKUP(B7,roboczykarol!$D$3:$D$2010,roboczykarol!$O$3:$O$2010),H7="Detaliczna",round(XLOOKUP(B7,roboczykarol!$D$3:$D$2010,roboczykarol!$M$3:$M$2010),1))</f>
        <v>23.8</v>
      </c>
      <c r="K7" s="134" t="s">
        <v>2941</v>
      </c>
      <c r="L7" s="130">
        <v>23.0</v>
      </c>
      <c r="M7" s="134"/>
    </row>
    <row r="8">
      <c r="A8" s="101" t="s">
        <v>2973</v>
      </c>
      <c r="B8" s="101">
        <v>342.0</v>
      </c>
      <c r="C8" s="13"/>
      <c r="D8" s="13"/>
      <c r="E8" s="13"/>
      <c r="F8" s="13"/>
      <c r="G8" s="102">
        <v>2.0</v>
      </c>
      <c r="H8" s="101" t="s">
        <v>2942</v>
      </c>
      <c r="I8" s="132">
        <f t="array" ref="I8">IFS(H8="detaliczna",XLOOKUP(B8,roboczykarol!$D$3:$D$2010,roboczykarol!$L$3:$L$2010),H8="Hurtowa",XLOOKUP(B8,roboczykarol!$D$3:$D$2010,roboczykarol!$N$3:$N$2010))</f>
        <v>48.5</v>
      </c>
      <c r="J8" s="132">
        <f t="array" ref="J8">IFS(H8="Hurtowa",XLOOKUP(B8,roboczykarol!$D$3:$D$2010,roboczykarol!$O$3:$O$2010),H8="Detaliczna",round(XLOOKUP(B8,roboczykarol!$D$3:$D$2010,roboczykarol!$M$3:$M$2010),1))</f>
        <v>59.655</v>
      </c>
      <c r="K8" s="101" t="s">
        <v>2941</v>
      </c>
      <c r="L8" s="102">
        <v>23.0</v>
      </c>
      <c r="M8" s="13"/>
    </row>
    <row r="9">
      <c r="A9" s="134" t="s">
        <v>2973</v>
      </c>
      <c r="B9" s="130">
        <v>342.0</v>
      </c>
      <c r="C9" s="134"/>
      <c r="D9" s="134"/>
      <c r="E9" s="134"/>
      <c r="F9" s="134"/>
      <c r="G9" s="130">
        <v>1.0</v>
      </c>
      <c r="H9" s="134" t="s">
        <v>2940</v>
      </c>
      <c r="I9" s="132">
        <f t="array" ref="I9">IFS(H9="detaliczna",XLOOKUP(B9,roboczykarol!$D$3:$D$2010,roboczykarol!$L$3:$L$2010),H9="Hurtowa",XLOOKUP(B9,roboczykarol!$D$3:$D$2010,roboczykarol!$N$3:$N$2010))</f>
        <v>60.6504065</v>
      </c>
      <c r="J9" s="132">
        <f t="array" ref="J9">IFS(H9="Hurtowa",XLOOKUP(B9,roboczykarol!$D$3:$D$2010,roboczykarol!$O$3:$O$2010),H9="Detaliczna",round(XLOOKUP(B9,roboczykarol!$D$3:$D$2010,roboczykarol!$M$3:$M$2010),1))</f>
        <v>74.6</v>
      </c>
      <c r="K9" s="134" t="s">
        <v>2941</v>
      </c>
      <c r="L9" s="130">
        <v>23.0</v>
      </c>
    </row>
    <row r="10">
      <c r="A10" s="101"/>
      <c r="B10" s="101"/>
      <c r="C10" s="13"/>
      <c r="D10" s="13"/>
      <c r="E10" s="13"/>
      <c r="F10" s="13"/>
      <c r="G10" s="102"/>
      <c r="H10" s="101"/>
      <c r="I10" s="132"/>
      <c r="J10" s="132"/>
      <c r="K10" s="101"/>
      <c r="L10" s="102"/>
      <c r="M10" s="13"/>
    </row>
    <row r="11">
      <c r="A11" s="134"/>
      <c r="B11" s="130"/>
      <c r="C11" s="134"/>
      <c r="D11" s="134"/>
      <c r="E11" s="134"/>
      <c r="F11" s="134"/>
      <c r="G11" s="130"/>
      <c r="H11" s="134"/>
      <c r="I11" s="132"/>
      <c r="J11" s="132"/>
      <c r="K11" s="134"/>
      <c r="L11" s="130"/>
      <c r="M11" s="134"/>
    </row>
    <row r="12">
      <c r="A12" s="134"/>
      <c r="B12" s="134"/>
      <c r="D12" s="134"/>
      <c r="E12" s="134"/>
      <c r="F12" s="134"/>
      <c r="G12" s="130"/>
      <c r="H12" s="134"/>
      <c r="I12" s="132"/>
      <c r="J12" s="132"/>
      <c r="K12" s="134"/>
      <c r="L12" s="130"/>
      <c r="M12" s="134"/>
    </row>
    <row r="13">
      <c r="A13" s="134"/>
      <c r="B13" s="134"/>
      <c r="D13" s="134"/>
      <c r="E13" s="134"/>
      <c r="F13" s="134"/>
      <c r="G13" s="130"/>
      <c r="H13" s="134"/>
      <c r="I13" s="132"/>
      <c r="J13" s="132"/>
      <c r="K13" s="134"/>
      <c r="L13" s="130"/>
      <c r="M13" s="134"/>
    </row>
    <row r="14">
      <c r="B14" s="69"/>
      <c r="G14" s="130"/>
      <c r="H14" s="134"/>
      <c r="I14" s="132"/>
      <c r="J14" s="132"/>
    </row>
    <row r="15">
      <c r="B15" s="101"/>
      <c r="H15" s="134"/>
      <c r="I15" s="132"/>
      <c r="J15" s="136"/>
    </row>
    <row r="16">
      <c r="I16" s="137"/>
      <c r="J16" s="137"/>
    </row>
    <row r="17">
      <c r="I17" s="137"/>
      <c r="J17" s="137"/>
    </row>
    <row r="18">
      <c r="I18" s="137"/>
      <c r="J18" s="137"/>
    </row>
    <row r="19">
      <c r="I19" s="137"/>
      <c r="J19" s="137"/>
    </row>
    <row r="20">
      <c r="I20" s="137"/>
      <c r="J20" s="137"/>
    </row>
    <row r="21">
      <c r="I21" s="137"/>
      <c r="J21" s="137"/>
    </row>
    <row r="22">
      <c r="I22" s="137"/>
      <c r="J22" s="137"/>
    </row>
    <row r="23">
      <c r="I23" s="137"/>
      <c r="J23" s="137"/>
    </row>
    <row r="24">
      <c r="I24" s="137"/>
      <c r="J24" s="137"/>
    </row>
    <row r="25">
      <c r="I25" s="137"/>
      <c r="J25" s="137"/>
    </row>
    <row r="26">
      <c r="I26" s="137"/>
      <c r="J26" s="137"/>
    </row>
    <row r="27">
      <c r="I27" s="137"/>
      <c r="J27" s="137"/>
    </row>
    <row r="28">
      <c r="I28" s="137"/>
      <c r="J28" s="137"/>
    </row>
    <row r="29">
      <c r="I29" s="137"/>
      <c r="J29" s="137"/>
    </row>
    <row r="30">
      <c r="I30" s="137"/>
      <c r="J30" s="137"/>
    </row>
    <row r="31">
      <c r="I31" s="137"/>
      <c r="J31" s="137"/>
    </row>
    <row r="32">
      <c r="I32" s="137"/>
      <c r="J32" s="137"/>
    </row>
    <row r="33">
      <c r="I33" s="137"/>
      <c r="J33" s="137"/>
    </row>
    <row r="34">
      <c r="I34" s="137"/>
      <c r="J34" s="137"/>
    </row>
    <row r="35">
      <c r="I35" s="137"/>
      <c r="J35" s="137"/>
    </row>
    <row r="36">
      <c r="I36" s="137"/>
      <c r="J36" s="137"/>
    </row>
    <row r="37">
      <c r="I37" s="137"/>
      <c r="J37" s="137"/>
    </row>
    <row r="38">
      <c r="I38" s="137"/>
      <c r="J38" s="137"/>
    </row>
    <row r="39">
      <c r="I39" s="137"/>
      <c r="J39" s="137"/>
    </row>
    <row r="40">
      <c r="I40" s="137"/>
      <c r="J40" s="137"/>
    </row>
    <row r="41">
      <c r="I41" s="137"/>
      <c r="J41" s="137"/>
    </row>
    <row r="42">
      <c r="I42" s="137"/>
      <c r="J42" s="137"/>
    </row>
    <row r="43">
      <c r="I43" s="137"/>
      <c r="J43" s="137"/>
    </row>
    <row r="44">
      <c r="I44" s="137"/>
      <c r="J44" s="137"/>
    </row>
    <row r="45">
      <c r="I45" s="137"/>
      <c r="J45" s="137"/>
    </row>
    <row r="46">
      <c r="I46" s="137"/>
      <c r="J46" s="137"/>
    </row>
    <row r="47">
      <c r="I47" s="137"/>
      <c r="J47" s="137"/>
    </row>
    <row r="48">
      <c r="I48" s="137"/>
      <c r="J48" s="137"/>
    </row>
    <row r="49">
      <c r="I49" s="137"/>
      <c r="J49" s="137"/>
    </row>
    <row r="50">
      <c r="I50" s="137"/>
      <c r="J50" s="137"/>
    </row>
    <row r="51">
      <c r="I51" s="137"/>
      <c r="J51" s="137"/>
    </row>
    <row r="52">
      <c r="I52" s="137"/>
      <c r="J52" s="137"/>
    </row>
    <row r="53">
      <c r="I53" s="137"/>
      <c r="J53" s="137"/>
    </row>
    <row r="54">
      <c r="I54" s="137"/>
      <c r="J54" s="137"/>
    </row>
    <row r="55">
      <c r="I55" s="137"/>
      <c r="J55" s="137"/>
    </row>
    <row r="56">
      <c r="I56" s="137"/>
      <c r="J56" s="137"/>
    </row>
    <row r="57">
      <c r="I57" s="137"/>
      <c r="J57" s="137"/>
    </row>
    <row r="58">
      <c r="I58" s="137"/>
      <c r="J58" s="137"/>
    </row>
    <row r="59">
      <c r="I59" s="137"/>
      <c r="J59" s="137"/>
    </row>
    <row r="60">
      <c r="I60" s="137"/>
      <c r="J60" s="137"/>
    </row>
    <row r="61">
      <c r="I61" s="137"/>
      <c r="J61" s="137"/>
    </row>
    <row r="62">
      <c r="I62" s="137"/>
      <c r="J62" s="137"/>
    </row>
    <row r="63">
      <c r="I63" s="137"/>
      <c r="J63" s="137"/>
    </row>
    <row r="64">
      <c r="I64" s="137"/>
      <c r="J64" s="137"/>
    </row>
    <row r="65">
      <c r="I65" s="137"/>
      <c r="J65" s="137"/>
    </row>
    <row r="66">
      <c r="I66" s="137"/>
      <c r="J66" s="137"/>
    </row>
    <row r="67">
      <c r="I67" s="137"/>
      <c r="J67" s="137"/>
    </row>
    <row r="68">
      <c r="I68" s="137"/>
      <c r="J68" s="137"/>
    </row>
    <row r="69">
      <c r="I69" s="137"/>
      <c r="J69" s="137"/>
    </row>
    <row r="70">
      <c r="I70" s="137"/>
      <c r="J70" s="137"/>
    </row>
    <row r="71">
      <c r="I71" s="137"/>
      <c r="J71" s="137"/>
    </row>
    <row r="72">
      <c r="I72" s="137"/>
      <c r="J72" s="137"/>
    </row>
    <row r="73">
      <c r="I73" s="137"/>
      <c r="J73" s="137"/>
    </row>
    <row r="74">
      <c r="I74" s="137"/>
      <c r="J74" s="137"/>
    </row>
    <row r="75">
      <c r="I75" s="137"/>
      <c r="J75" s="137"/>
    </row>
    <row r="76">
      <c r="I76" s="137"/>
      <c r="J76" s="137"/>
    </row>
    <row r="77">
      <c r="I77" s="137"/>
      <c r="J77" s="137"/>
    </row>
    <row r="78">
      <c r="I78" s="137"/>
      <c r="J78" s="137"/>
    </row>
    <row r="79">
      <c r="I79" s="137"/>
      <c r="J79" s="137"/>
    </row>
    <row r="80">
      <c r="I80" s="137"/>
      <c r="J80" s="137"/>
    </row>
    <row r="81">
      <c r="I81" s="137"/>
      <c r="J81" s="137"/>
    </row>
    <row r="82">
      <c r="I82" s="137"/>
      <c r="J82" s="137"/>
    </row>
    <row r="83">
      <c r="I83" s="137"/>
      <c r="J83" s="137"/>
    </row>
    <row r="84">
      <c r="I84" s="137"/>
      <c r="J84" s="137"/>
    </row>
    <row r="85">
      <c r="I85" s="137"/>
      <c r="J85" s="137"/>
    </row>
    <row r="86">
      <c r="I86" s="137"/>
      <c r="J86" s="137"/>
    </row>
    <row r="87">
      <c r="I87" s="137"/>
      <c r="J87" s="137"/>
    </row>
    <row r="88">
      <c r="I88" s="137"/>
      <c r="J88" s="137"/>
    </row>
    <row r="89">
      <c r="I89" s="137"/>
      <c r="J89" s="137"/>
    </row>
    <row r="90">
      <c r="I90" s="137"/>
      <c r="J90" s="137"/>
    </row>
    <row r="91">
      <c r="I91" s="137"/>
      <c r="J91" s="137"/>
    </row>
    <row r="92">
      <c r="I92" s="137"/>
      <c r="J92" s="137"/>
    </row>
    <row r="93">
      <c r="I93" s="137"/>
      <c r="J93" s="137"/>
    </row>
    <row r="94">
      <c r="I94" s="137"/>
      <c r="J94" s="137"/>
    </row>
    <row r="95">
      <c r="I95" s="137"/>
      <c r="J95" s="137"/>
    </row>
    <row r="96">
      <c r="I96" s="137"/>
      <c r="J96" s="137"/>
    </row>
    <row r="97">
      <c r="I97" s="137"/>
      <c r="J97" s="137"/>
    </row>
    <row r="98">
      <c r="I98" s="137"/>
      <c r="J98" s="137"/>
    </row>
    <row r="99">
      <c r="I99" s="137"/>
      <c r="J99" s="137"/>
    </row>
    <row r="100">
      <c r="I100" s="137"/>
      <c r="J100" s="137"/>
    </row>
    <row r="101">
      <c r="I101" s="137"/>
      <c r="J101" s="137"/>
    </row>
    <row r="102">
      <c r="I102" s="137"/>
      <c r="J102" s="137"/>
    </row>
    <row r="103">
      <c r="I103" s="137"/>
      <c r="J103" s="137"/>
    </row>
    <row r="104">
      <c r="I104" s="137"/>
      <c r="J104" s="137"/>
    </row>
    <row r="105">
      <c r="I105" s="137"/>
      <c r="J105" s="137"/>
    </row>
    <row r="106">
      <c r="I106" s="137"/>
      <c r="J106" s="137"/>
    </row>
    <row r="107">
      <c r="I107" s="137"/>
      <c r="J107" s="137"/>
    </row>
    <row r="108">
      <c r="I108" s="137"/>
      <c r="J108" s="137"/>
    </row>
    <row r="109">
      <c r="I109" s="137"/>
      <c r="J109" s="137"/>
    </row>
    <row r="110">
      <c r="I110" s="137"/>
      <c r="J110" s="137"/>
    </row>
    <row r="111">
      <c r="I111" s="137"/>
      <c r="J111" s="137"/>
    </row>
    <row r="112">
      <c r="I112" s="137"/>
      <c r="J112" s="137"/>
    </row>
    <row r="113">
      <c r="I113" s="137"/>
      <c r="J113" s="137"/>
    </row>
    <row r="114">
      <c r="I114" s="137"/>
      <c r="J114" s="137"/>
    </row>
    <row r="115">
      <c r="I115" s="137"/>
      <c r="J115" s="137"/>
    </row>
    <row r="116">
      <c r="I116" s="137"/>
      <c r="J116" s="137"/>
    </row>
    <row r="117">
      <c r="I117" s="137"/>
      <c r="J117" s="137"/>
    </row>
    <row r="118">
      <c r="I118" s="137"/>
      <c r="J118" s="137"/>
    </row>
    <row r="119">
      <c r="I119" s="137"/>
      <c r="J119" s="137"/>
    </row>
    <row r="120">
      <c r="I120" s="137"/>
      <c r="J120" s="137"/>
    </row>
    <row r="121">
      <c r="I121" s="137"/>
      <c r="J121" s="137"/>
    </row>
    <row r="122">
      <c r="I122" s="137"/>
      <c r="J122" s="137"/>
    </row>
    <row r="123">
      <c r="I123" s="137"/>
      <c r="J123" s="137"/>
    </row>
    <row r="124">
      <c r="I124" s="137"/>
      <c r="J124" s="137"/>
    </row>
    <row r="125">
      <c r="I125" s="137"/>
      <c r="J125" s="137"/>
    </row>
    <row r="126">
      <c r="I126" s="137"/>
      <c r="J126" s="137"/>
    </row>
    <row r="127">
      <c r="I127" s="137"/>
      <c r="J127" s="137"/>
    </row>
    <row r="128">
      <c r="I128" s="137"/>
      <c r="J128" s="137"/>
    </row>
    <row r="129">
      <c r="I129" s="137"/>
      <c r="J129" s="137"/>
    </row>
    <row r="130">
      <c r="I130" s="137"/>
      <c r="J130" s="137"/>
    </row>
    <row r="131">
      <c r="I131" s="137"/>
      <c r="J131" s="137"/>
    </row>
    <row r="132">
      <c r="I132" s="137"/>
      <c r="J132" s="137"/>
    </row>
    <row r="133">
      <c r="I133" s="137"/>
      <c r="J133" s="137"/>
    </row>
    <row r="134">
      <c r="I134" s="137"/>
      <c r="J134" s="137"/>
    </row>
    <row r="135">
      <c r="I135" s="137"/>
      <c r="J135" s="137"/>
    </row>
    <row r="136">
      <c r="I136" s="137"/>
      <c r="J136" s="137"/>
    </row>
    <row r="137">
      <c r="I137" s="137"/>
      <c r="J137" s="137"/>
    </row>
    <row r="138">
      <c r="I138" s="137"/>
      <c r="J138" s="137"/>
    </row>
    <row r="139">
      <c r="I139" s="137"/>
      <c r="J139" s="137"/>
    </row>
    <row r="140">
      <c r="I140" s="137"/>
      <c r="J140" s="137"/>
    </row>
    <row r="141">
      <c r="I141" s="137"/>
      <c r="J141" s="137"/>
    </row>
    <row r="142">
      <c r="I142" s="137"/>
      <c r="J142" s="137"/>
    </row>
    <row r="143">
      <c r="I143" s="137"/>
      <c r="J143" s="137"/>
    </row>
    <row r="144">
      <c r="I144" s="137"/>
      <c r="J144" s="137"/>
    </row>
    <row r="145">
      <c r="I145" s="137"/>
      <c r="J145" s="137"/>
    </row>
    <row r="146">
      <c r="I146" s="137"/>
      <c r="J146" s="137"/>
    </row>
    <row r="147">
      <c r="I147" s="137"/>
      <c r="J147" s="137"/>
    </row>
    <row r="148">
      <c r="I148" s="137"/>
      <c r="J148" s="137"/>
    </row>
    <row r="149">
      <c r="I149" s="137"/>
      <c r="J149" s="137"/>
    </row>
    <row r="150">
      <c r="I150" s="137"/>
      <c r="J150" s="137"/>
    </row>
    <row r="151">
      <c r="I151" s="137"/>
      <c r="J151" s="137"/>
    </row>
    <row r="152">
      <c r="I152" s="137"/>
      <c r="J152" s="137"/>
    </row>
    <row r="153">
      <c r="I153" s="137"/>
      <c r="J153" s="137"/>
    </row>
    <row r="154">
      <c r="I154" s="137"/>
      <c r="J154" s="137"/>
    </row>
    <row r="155">
      <c r="I155" s="137"/>
      <c r="J155" s="137"/>
    </row>
    <row r="156">
      <c r="I156" s="137"/>
      <c r="J156" s="137"/>
    </row>
    <row r="157">
      <c r="I157" s="137"/>
      <c r="J157" s="137"/>
    </row>
    <row r="158">
      <c r="I158" s="137"/>
      <c r="J158" s="137"/>
    </row>
    <row r="159">
      <c r="I159" s="137"/>
      <c r="J159" s="137"/>
    </row>
    <row r="160">
      <c r="I160" s="137"/>
      <c r="J160" s="137"/>
    </row>
    <row r="161">
      <c r="I161" s="137"/>
      <c r="J161" s="137"/>
    </row>
    <row r="162">
      <c r="I162" s="137"/>
      <c r="J162" s="137"/>
    </row>
    <row r="163">
      <c r="I163" s="137"/>
      <c r="J163" s="137"/>
    </row>
    <row r="164">
      <c r="I164" s="137"/>
      <c r="J164" s="137"/>
    </row>
    <row r="165">
      <c r="I165" s="137"/>
      <c r="J165" s="137"/>
    </row>
    <row r="166">
      <c r="I166" s="137"/>
      <c r="J166" s="137"/>
    </row>
    <row r="167">
      <c r="I167" s="137"/>
      <c r="J167" s="137"/>
    </row>
    <row r="168">
      <c r="I168" s="137"/>
      <c r="J168" s="137"/>
    </row>
    <row r="169">
      <c r="I169" s="137"/>
      <c r="J169" s="137"/>
    </row>
    <row r="170">
      <c r="I170" s="137"/>
      <c r="J170" s="137"/>
    </row>
    <row r="171">
      <c r="I171" s="137"/>
      <c r="J171" s="137"/>
    </row>
    <row r="172">
      <c r="I172" s="137"/>
      <c r="J172" s="137"/>
    </row>
    <row r="173">
      <c r="I173" s="137"/>
      <c r="J173" s="137"/>
    </row>
    <row r="174">
      <c r="I174" s="137"/>
      <c r="J174" s="137"/>
    </row>
    <row r="175">
      <c r="I175" s="137"/>
      <c r="J175" s="137"/>
    </row>
    <row r="176">
      <c r="I176" s="137"/>
      <c r="J176" s="137"/>
    </row>
    <row r="177">
      <c r="I177" s="137"/>
      <c r="J177" s="137"/>
    </row>
    <row r="178">
      <c r="I178" s="137"/>
      <c r="J178" s="137"/>
    </row>
    <row r="179">
      <c r="I179" s="137"/>
      <c r="J179" s="137"/>
    </row>
    <row r="180">
      <c r="I180" s="137"/>
      <c r="J180" s="137"/>
    </row>
    <row r="181">
      <c r="I181" s="137"/>
      <c r="J181" s="137"/>
    </row>
    <row r="182">
      <c r="I182" s="137"/>
      <c r="J182" s="137"/>
    </row>
    <row r="183">
      <c r="I183" s="137"/>
      <c r="J183" s="137"/>
    </row>
    <row r="184">
      <c r="I184" s="137"/>
      <c r="J184" s="137"/>
    </row>
    <row r="185">
      <c r="I185" s="137"/>
      <c r="J185" s="137"/>
    </row>
    <row r="186">
      <c r="I186" s="137"/>
      <c r="J186" s="137"/>
    </row>
    <row r="187">
      <c r="I187" s="137"/>
      <c r="J187" s="137"/>
    </row>
    <row r="188">
      <c r="I188" s="137"/>
      <c r="J188" s="137"/>
    </row>
    <row r="189">
      <c r="I189" s="137"/>
      <c r="J189" s="137"/>
    </row>
    <row r="190">
      <c r="I190" s="137"/>
      <c r="J190" s="137"/>
    </row>
    <row r="191">
      <c r="I191" s="137"/>
      <c r="J191" s="137"/>
    </row>
    <row r="192">
      <c r="I192" s="137"/>
      <c r="J192" s="137"/>
    </row>
    <row r="193">
      <c r="I193" s="137"/>
      <c r="J193" s="137"/>
    </row>
    <row r="194">
      <c r="I194" s="137"/>
      <c r="J194" s="137"/>
    </row>
    <row r="195">
      <c r="I195" s="137"/>
      <c r="J195" s="137"/>
    </row>
    <row r="196">
      <c r="I196" s="137"/>
      <c r="J196" s="137"/>
    </row>
    <row r="197">
      <c r="I197" s="137"/>
      <c r="J197" s="137"/>
    </row>
    <row r="198">
      <c r="I198" s="137"/>
      <c r="J198" s="137"/>
    </row>
    <row r="199">
      <c r="I199" s="137"/>
      <c r="J199" s="137"/>
    </row>
    <row r="200">
      <c r="I200" s="137"/>
      <c r="J200" s="137"/>
    </row>
    <row r="201">
      <c r="I201" s="137"/>
      <c r="J201" s="137"/>
    </row>
    <row r="202">
      <c r="I202" s="137"/>
      <c r="J202" s="137"/>
    </row>
    <row r="203">
      <c r="I203" s="137"/>
      <c r="J203" s="137"/>
    </row>
    <row r="204">
      <c r="I204" s="137"/>
      <c r="J204" s="137"/>
    </row>
    <row r="205">
      <c r="I205" s="137"/>
      <c r="J205" s="137"/>
    </row>
    <row r="206">
      <c r="I206" s="137"/>
      <c r="J206" s="137"/>
    </row>
    <row r="207">
      <c r="I207" s="137"/>
      <c r="J207" s="137"/>
    </row>
    <row r="208">
      <c r="I208" s="137"/>
      <c r="J208" s="137"/>
    </row>
    <row r="209">
      <c r="I209" s="137"/>
      <c r="J209" s="137"/>
    </row>
    <row r="210">
      <c r="I210" s="137"/>
      <c r="J210" s="137"/>
    </row>
    <row r="211">
      <c r="I211" s="137"/>
      <c r="J211" s="137"/>
    </row>
    <row r="212">
      <c r="I212" s="137"/>
      <c r="J212" s="137"/>
    </row>
    <row r="213">
      <c r="I213" s="137"/>
      <c r="J213" s="137"/>
    </row>
    <row r="214">
      <c r="I214" s="137"/>
      <c r="J214" s="137"/>
    </row>
    <row r="215">
      <c r="I215" s="137"/>
      <c r="J215" s="137"/>
    </row>
    <row r="216">
      <c r="I216" s="137"/>
      <c r="J216" s="137"/>
    </row>
    <row r="217">
      <c r="I217" s="137"/>
      <c r="J217" s="137"/>
    </row>
    <row r="218">
      <c r="I218" s="137"/>
      <c r="J218" s="137"/>
    </row>
    <row r="219">
      <c r="I219" s="137"/>
      <c r="J219" s="137"/>
    </row>
    <row r="220">
      <c r="I220" s="137"/>
      <c r="J220" s="137"/>
    </row>
    <row r="221">
      <c r="I221" s="137"/>
      <c r="J221" s="137"/>
    </row>
    <row r="222">
      <c r="I222" s="137"/>
      <c r="J222" s="137"/>
    </row>
    <row r="223">
      <c r="I223" s="137"/>
      <c r="J223" s="137"/>
    </row>
    <row r="224">
      <c r="I224" s="137"/>
      <c r="J224" s="137"/>
    </row>
    <row r="225">
      <c r="I225" s="137"/>
      <c r="J225" s="137"/>
    </row>
    <row r="226">
      <c r="I226" s="137"/>
      <c r="J226" s="137"/>
    </row>
    <row r="227">
      <c r="I227" s="137"/>
      <c r="J227" s="137"/>
    </row>
    <row r="228">
      <c r="I228" s="137"/>
      <c r="J228" s="137"/>
    </row>
    <row r="229">
      <c r="I229" s="137"/>
      <c r="J229" s="137"/>
    </row>
    <row r="230">
      <c r="I230" s="137"/>
      <c r="J230" s="137"/>
    </row>
    <row r="231">
      <c r="I231" s="137"/>
      <c r="J231" s="137"/>
    </row>
    <row r="232">
      <c r="I232" s="137"/>
      <c r="J232" s="137"/>
    </row>
    <row r="233">
      <c r="I233" s="137"/>
      <c r="J233" s="137"/>
    </row>
    <row r="234">
      <c r="I234" s="137"/>
      <c r="J234" s="137"/>
    </row>
    <row r="235">
      <c r="I235" s="137"/>
      <c r="J235" s="137"/>
    </row>
    <row r="236">
      <c r="I236" s="137"/>
      <c r="J236" s="137"/>
    </row>
    <row r="237">
      <c r="I237" s="137"/>
      <c r="J237" s="137"/>
    </row>
    <row r="238">
      <c r="I238" s="137"/>
      <c r="J238" s="137"/>
    </row>
    <row r="239">
      <c r="I239" s="137"/>
      <c r="J239" s="137"/>
    </row>
    <row r="240">
      <c r="I240" s="137"/>
      <c r="J240" s="137"/>
    </row>
    <row r="241">
      <c r="I241" s="137"/>
      <c r="J241" s="137"/>
    </row>
    <row r="242">
      <c r="I242" s="137"/>
      <c r="J242" s="137"/>
    </row>
    <row r="243">
      <c r="I243" s="137"/>
      <c r="J243" s="137"/>
    </row>
    <row r="244">
      <c r="I244" s="137"/>
      <c r="J244" s="137"/>
    </row>
    <row r="245">
      <c r="I245" s="137"/>
      <c r="J245" s="137"/>
    </row>
    <row r="246">
      <c r="I246" s="137"/>
      <c r="J246" s="137"/>
    </row>
    <row r="247">
      <c r="I247" s="137"/>
      <c r="J247" s="137"/>
    </row>
    <row r="248">
      <c r="I248" s="137"/>
      <c r="J248" s="137"/>
    </row>
    <row r="249">
      <c r="I249" s="137"/>
      <c r="J249" s="137"/>
    </row>
    <row r="250">
      <c r="I250" s="137"/>
      <c r="J250" s="137"/>
    </row>
    <row r="251">
      <c r="I251" s="137"/>
      <c r="J251" s="137"/>
    </row>
    <row r="252">
      <c r="I252" s="137"/>
      <c r="J252" s="137"/>
    </row>
    <row r="253">
      <c r="I253" s="137"/>
      <c r="J253" s="137"/>
    </row>
    <row r="254">
      <c r="I254" s="137"/>
      <c r="J254" s="137"/>
    </row>
    <row r="255">
      <c r="I255" s="137"/>
      <c r="J255" s="137"/>
    </row>
    <row r="256">
      <c r="I256" s="137"/>
      <c r="J256" s="137"/>
    </row>
    <row r="257">
      <c r="I257" s="137"/>
      <c r="J257" s="137"/>
    </row>
    <row r="258">
      <c r="I258" s="137"/>
      <c r="J258" s="137"/>
    </row>
    <row r="259">
      <c r="I259" s="137"/>
      <c r="J259" s="137"/>
    </row>
    <row r="260">
      <c r="I260" s="137"/>
      <c r="J260" s="137"/>
    </row>
    <row r="261">
      <c r="I261" s="137"/>
      <c r="J261" s="137"/>
    </row>
    <row r="262">
      <c r="I262" s="137"/>
      <c r="J262" s="137"/>
    </row>
    <row r="263">
      <c r="I263" s="137"/>
      <c r="J263" s="137"/>
    </row>
    <row r="264">
      <c r="I264" s="137"/>
      <c r="J264" s="137"/>
    </row>
    <row r="265">
      <c r="I265" s="137"/>
      <c r="J265" s="137"/>
    </row>
    <row r="266">
      <c r="I266" s="137"/>
      <c r="J266" s="137"/>
    </row>
    <row r="267">
      <c r="I267" s="137"/>
      <c r="J267" s="137"/>
    </row>
    <row r="268">
      <c r="I268" s="137"/>
      <c r="J268" s="137"/>
    </row>
    <row r="269">
      <c r="I269" s="137"/>
      <c r="J269" s="137"/>
    </row>
    <row r="270">
      <c r="I270" s="137"/>
      <c r="J270" s="137"/>
    </row>
    <row r="271">
      <c r="I271" s="137"/>
      <c r="J271" s="137"/>
    </row>
    <row r="272">
      <c r="I272" s="137"/>
      <c r="J272" s="137"/>
    </row>
    <row r="273">
      <c r="I273" s="137"/>
      <c r="J273" s="137"/>
    </row>
    <row r="274">
      <c r="I274" s="137"/>
      <c r="J274" s="137"/>
    </row>
    <row r="275">
      <c r="I275" s="137"/>
      <c r="J275" s="137"/>
    </row>
    <row r="276">
      <c r="I276" s="137"/>
      <c r="J276" s="137"/>
    </row>
    <row r="277">
      <c r="I277" s="137"/>
      <c r="J277" s="137"/>
    </row>
    <row r="278">
      <c r="I278" s="137"/>
      <c r="J278" s="137"/>
    </row>
    <row r="279">
      <c r="I279" s="137"/>
      <c r="J279" s="137"/>
    </row>
    <row r="280">
      <c r="I280" s="137"/>
      <c r="J280" s="137"/>
    </row>
    <row r="281">
      <c r="I281" s="137"/>
      <c r="J281" s="137"/>
    </row>
    <row r="282">
      <c r="I282" s="137"/>
      <c r="J282" s="137"/>
    </row>
    <row r="283">
      <c r="I283" s="137"/>
      <c r="J283" s="137"/>
    </row>
    <row r="284">
      <c r="I284" s="137"/>
      <c r="J284" s="137"/>
    </row>
    <row r="285">
      <c r="I285" s="137"/>
      <c r="J285" s="137"/>
    </row>
    <row r="286">
      <c r="I286" s="137"/>
      <c r="J286" s="137"/>
    </row>
    <row r="287">
      <c r="I287" s="137"/>
      <c r="J287" s="137"/>
    </row>
    <row r="288">
      <c r="I288" s="137"/>
      <c r="J288" s="137"/>
    </row>
    <row r="289">
      <c r="I289" s="137"/>
      <c r="J289" s="137"/>
    </row>
    <row r="290">
      <c r="I290" s="137"/>
      <c r="J290" s="137"/>
    </row>
    <row r="291">
      <c r="I291" s="137"/>
      <c r="J291" s="137"/>
    </row>
    <row r="292">
      <c r="I292" s="137"/>
      <c r="J292" s="137"/>
    </row>
    <row r="293">
      <c r="I293" s="137"/>
      <c r="J293" s="137"/>
    </row>
    <row r="294">
      <c r="I294" s="137"/>
      <c r="J294" s="137"/>
    </row>
    <row r="295">
      <c r="I295" s="137"/>
      <c r="J295" s="137"/>
    </row>
    <row r="296">
      <c r="I296" s="137"/>
      <c r="J296" s="137"/>
    </row>
    <row r="297">
      <c r="I297" s="137"/>
      <c r="J297" s="137"/>
    </row>
    <row r="298">
      <c r="I298" s="137"/>
      <c r="J298" s="137"/>
    </row>
    <row r="299">
      <c r="I299" s="137"/>
      <c r="J299" s="137"/>
    </row>
    <row r="300">
      <c r="I300" s="137"/>
      <c r="J300" s="137"/>
    </row>
    <row r="301">
      <c r="I301" s="137"/>
      <c r="J301" s="137"/>
    </row>
    <row r="302">
      <c r="I302" s="137"/>
      <c r="J302" s="137"/>
    </row>
    <row r="303">
      <c r="I303" s="137"/>
      <c r="J303" s="137"/>
    </row>
    <row r="304">
      <c r="I304" s="137"/>
      <c r="J304" s="137"/>
    </row>
    <row r="305">
      <c r="I305" s="137"/>
      <c r="J305" s="137"/>
    </row>
    <row r="306">
      <c r="I306" s="137"/>
      <c r="J306" s="137"/>
    </row>
    <row r="307">
      <c r="I307" s="137"/>
      <c r="J307" s="137"/>
    </row>
    <row r="308">
      <c r="I308" s="137"/>
      <c r="J308" s="137"/>
    </row>
    <row r="309">
      <c r="I309" s="137"/>
      <c r="J309" s="137"/>
    </row>
    <row r="310">
      <c r="I310" s="137"/>
      <c r="J310" s="137"/>
    </row>
    <row r="311">
      <c r="I311" s="137"/>
      <c r="J311" s="137"/>
    </row>
    <row r="312">
      <c r="I312" s="137"/>
      <c r="J312" s="137"/>
    </row>
    <row r="313">
      <c r="I313" s="137"/>
      <c r="J313" s="137"/>
    </row>
    <row r="314">
      <c r="I314" s="137"/>
      <c r="J314" s="137"/>
    </row>
    <row r="315">
      <c r="I315" s="137"/>
      <c r="J315" s="137"/>
    </row>
    <row r="316">
      <c r="I316" s="137"/>
      <c r="J316" s="137"/>
    </row>
    <row r="317">
      <c r="I317" s="137"/>
      <c r="J317" s="137"/>
    </row>
    <row r="318">
      <c r="I318" s="137"/>
      <c r="J318" s="137"/>
    </row>
    <row r="319">
      <c r="I319" s="137"/>
      <c r="J319" s="137"/>
    </row>
    <row r="320">
      <c r="I320" s="137"/>
      <c r="J320" s="137"/>
    </row>
    <row r="321">
      <c r="I321" s="137"/>
      <c r="J321" s="137"/>
    </row>
    <row r="322">
      <c r="I322" s="137"/>
      <c r="J322" s="137"/>
    </row>
    <row r="323">
      <c r="I323" s="137"/>
      <c r="J323" s="137"/>
    </row>
    <row r="324">
      <c r="I324" s="137"/>
      <c r="J324" s="137"/>
    </row>
    <row r="325">
      <c r="I325" s="137"/>
      <c r="J325" s="137"/>
    </row>
    <row r="326">
      <c r="I326" s="137"/>
      <c r="J326" s="137"/>
    </row>
    <row r="327">
      <c r="I327" s="137"/>
      <c r="J327" s="137"/>
    </row>
    <row r="328">
      <c r="I328" s="137"/>
      <c r="J328" s="137"/>
    </row>
    <row r="329">
      <c r="I329" s="137"/>
      <c r="J329" s="137"/>
    </row>
    <row r="330">
      <c r="I330" s="137"/>
      <c r="J330" s="137"/>
    </row>
    <row r="331">
      <c r="I331" s="137"/>
      <c r="J331" s="137"/>
    </row>
    <row r="332">
      <c r="I332" s="137"/>
      <c r="J332" s="137"/>
    </row>
    <row r="333">
      <c r="I333" s="137"/>
      <c r="J333" s="137"/>
    </row>
    <row r="334">
      <c r="I334" s="137"/>
      <c r="J334" s="137"/>
    </row>
    <row r="335">
      <c r="I335" s="137"/>
      <c r="J335" s="137"/>
    </row>
    <row r="336">
      <c r="I336" s="137"/>
      <c r="J336" s="137"/>
    </row>
    <row r="337">
      <c r="I337" s="137"/>
      <c r="J337" s="137"/>
    </row>
    <row r="338">
      <c r="I338" s="137"/>
      <c r="J338" s="137"/>
    </row>
    <row r="339">
      <c r="I339" s="137"/>
      <c r="J339" s="137"/>
    </row>
    <row r="340">
      <c r="I340" s="137"/>
      <c r="J340" s="137"/>
    </row>
    <row r="341">
      <c r="I341" s="137"/>
      <c r="J341" s="137"/>
    </row>
    <row r="342">
      <c r="I342" s="137"/>
      <c r="J342" s="137"/>
    </row>
    <row r="343">
      <c r="I343" s="137"/>
      <c r="J343" s="137"/>
    </row>
    <row r="344">
      <c r="I344" s="137"/>
      <c r="J344" s="137"/>
    </row>
    <row r="345">
      <c r="I345" s="137"/>
      <c r="J345" s="137"/>
    </row>
    <row r="346">
      <c r="I346" s="137"/>
      <c r="J346" s="137"/>
    </row>
    <row r="347">
      <c r="I347" s="137"/>
      <c r="J347" s="137"/>
    </row>
    <row r="348">
      <c r="I348" s="137"/>
      <c r="J348" s="137"/>
    </row>
    <row r="349">
      <c r="I349" s="137"/>
      <c r="J349" s="137"/>
    </row>
    <row r="350">
      <c r="I350" s="137"/>
      <c r="J350" s="137"/>
    </row>
    <row r="351">
      <c r="I351" s="137"/>
      <c r="J351" s="137"/>
    </row>
    <row r="352">
      <c r="I352" s="137"/>
      <c r="J352" s="137"/>
    </row>
    <row r="353">
      <c r="I353" s="137"/>
      <c r="J353" s="137"/>
    </row>
    <row r="354">
      <c r="I354" s="137"/>
      <c r="J354" s="137"/>
    </row>
    <row r="355">
      <c r="I355" s="137"/>
      <c r="J355" s="137"/>
    </row>
    <row r="356">
      <c r="I356" s="137"/>
      <c r="J356" s="137"/>
    </row>
    <row r="357">
      <c r="I357" s="137"/>
      <c r="J357" s="137"/>
    </row>
    <row r="358">
      <c r="I358" s="137"/>
      <c r="J358" s="137"/>
    </row>
    <row r="359">
      <c r="I359" s="137"/>
      <c r="J359" s="137"/>
    </row>
    <row r="360">
      <c r="I360" s="137"/>
      <c r="J360" s="137"/>
    </row>
    <row r="361">
      <c r="I361" s="137"/>
      <c r="J361" s="137"/>
    </row>
    <row r="362">
      <c r="I362" s="137"/>
      <c r="J362" s="137"/>
    </row>
    <row r="363">
      <c r="I363" s="137"/>
      <c r="J363" s="137"/>
    </row>
    <row r="364">
      <c r="I364" s="137"/>
      <c r="J364" s="137"/>
    </row>
    <row r="365">
      <c r="I365" s="137"/>
      <c r="J365" s="137"/>
    </row>
    <row r="366">
      <c r="I366" s="137"/>
      <c r="J366" s="137"/>
    </row>
    <row r="367">
      <c r="I367" s="137"/>
      <c r="J367" s="137"/>
    </row>
    <row r="368">
      <c r="I368" s="137"/>
      <c r="J368" s="137"/>
    </row>
    <row r="369">
      <c r="I369" s="137"/>
      <c r="J369" s="137"/>
    </row>
    <row r="370">
      <c r="I370" s="137"/>
      <c r="J370" s="137"/>
    </row>
    <row r="371">
      <c r="I371" s="137"/>
      <c r="J371" s="137"/>
    </row>
    <row r="372">
      <c r="I372" s="137"/>
      <c r="J372" s="137"/>
    </row>
    <row r="373">
      <c r="I373" s="137"/>
      <c r="J373" s="137"/>
    </row>
    <row r="374">
      <c r="I374" s="137"/>
      <c r="J374" s="137"/>
    </row>
    <row r="375">
      <c r="I375" s="137"/>
      <c r="J375" s="137"/>
    </row>
    <row r="376">
      <c r="I376" s="137"/>
      <c r="J376" s="137"/>
    </row>
    <row r="377">
      <c r="I377" s="137"/>
      <c r="J377" s="137"/>
    </row>
    <row r="378">
      <c r="I378" s="137"/>
      <c r="J378" s="137"/>
    </row>
    <row r="379">
      <c r="I379" s="137"/>
      <c r="J379" s="137"/>
    </row>
    <row r="380">
      <c r="I380" s="137"/>
      <c r="J380" s="137"/>
    </row>
    <row r="381">
      <c r="I381" s="137"/>
      <c r="J381" s="137"/>
    </row>
    <row r="382">
      <c r="I382" s="137"/>
      <c r="J382" s="137"/>
    </row>
    <row r="383">
      <c r="I383" s="137"/>
      <c r="J383" s="137"/>
    </row>
    <row r="384">
      <c r="I384" s="137"/>
      <c r="J384" s="137"/>
    </row>
    <row r="385">
      <c r="I385" s="137"/>
      <c r="J385" s="137"/>
    </row>
    <row r="386">
      <c r="I386" s="137"/>
      <c r="J386" s="137"/>
    </row>
    <row r="387">
      <c r="I387" s="137"/>
      <c r="J387" s="137"/>
    </row>
    <row r="388">
      <c r="I388" s="137"/>
      <c r="J388" s="137"/>
    </row>
    <row r="389">
      <c r="I389" s="137"/>
      <c r="J389" s="137"/>
    </row>
    <row r="390">
      <c r="I390" s="137"/>
      <c r="J390" s="137"/>
    </row>
    <row r="391">
      <c r="I391" s="137"/>
      <c r="J391" s="137"/>
    </row>
    <row r="392">
      <c r="I392" s="137"/>
      <c r="J392" s="137"/>
    </row>
    <row r="393">
      <c r="I393" s="137"/>
      <c r="J393" s="137"/>
    </row>
    <row r="394">
      <c r="I394" s="137"/>
      <c r="J394" s="137"/>
    </row>
    <row r="395">
      <c r="I395" s="137"/>
      <c r="J395" s="137"/>
    </row>
    <row r="396">
      <c r="I396" s="137"/>
      <c r="J396" s="137"/>
    </row>
    <row r="397">
      <c r="I397" s="137"/>
      <c r="J397" s="137"/>
    </row>
    <row r="398">
      <c r="I398" s="137"/>
      <c r="J398" s="137"/>
    </row>
    <row r="399">
      <c r="I399" s="137"/>
      <c r="J399" s="137"/>
    </row>
    <row r="400">
      <c r="I400" s="137"/>
      <c r="J400" s="137"/>
    </row>
    <row r="401">
      <c r="I401" s="137"/>
      <c r="J401" s="137"/>
    </row>
    <row r="402">
      <c r="I402" s="137"/>
      <c r="J402" s="137"/>
    </row>
    <row r="403">
      <c r="I403" s="137"/>
      <c r="J403" s="137"/>
    </row>
    <row r="404">
      <c r="I404" s="137"/>
      <c r="J404" s="137"/>
    </row>
    <row r="405">
      <c r="I405" s="137"/>
      <c r="J405" s="137"/>
    </row>
    <row r="406">
      <c r="I406" s="137"/>
      <c r="J406" s="137"/>
    </row>
    <row r="407">
      <c r="I407" s="137"/>
      <c r="J407" s="137"/>
    </row>
    <row r="408">
      <c r="I408" s="137"/>
      <c r="J408" s="137"/>
    </row>
    <row r="409">
      <c r="I409" s="137"/>
      <c r="J409" s="137"/>
    </row>
    <row r="410">
      <c r="I410" s="137"/>
      <c r="J410" s="137"/>
    </row>
    <row r="411">
      <c r="I411" s="137"/>
      <c r="J411" s="137"/>
    </row>
    <row r="412">
      <c r="I412" s="137"/>
      <c r="J412" s="137"/>
    </row>
    <row r="413">
      <c r="I413" s="137"/>
      <c r="J413" s="137"/>
    </row>
    <row r="414">
      <c r="I414" s="137"/>
      <c r="J414" s="137"/>
    </row>
    <row r="415">
      <c r="I415" s="137"/>
      <c r="J415" s="137"/>
    </row>
    <row r="416">
      <c r="I416" s="137"/>
      <c r="J416" s="137"/>
    </row>
    <row r="417">
      <c r="I417" s="137"/>
      <c r="J417" s="137"/>
    </row>
    <row r="418">
      <c r="I418" s="137"/>
      <c r="J418" s="137"/>
    </row>
    <row r="419">
      <c r="I419" s="137"/>
      <c r="J419" s="137"/>
    </row>
    <row r="420">
      <c r="I420" s="137"/>
      <c r="J420" s="137"/>
    </row>
    <row r="421">
      <c r="I421" s="137"/>
      <c r="J421" s="137"/>
    </row>
    <row r="422">
      <c r="I422" s="137"/>
      <c r="J422" s="137"/>
    </row>
    <row r="423">
      <c r="I423" s="137"/>
      <c r="J423" s="137"/>
    </row>
    <row r="424">
      <c r="I424" s="137"/>
      <c r="J424" s="137"/>
    </row>
    <row r="425">
      <c r="I425" s="137"/>
      <c r="J425" s="137"/>
    </row>
    <row r="426">
      <c r="I426" s="137"/>
      <c r="J426" s="137"/>
    </row>
    <row r="427">
      <c r="I427" s="137"/>
      <c r="J427" s="137"/>
    </row>
    <row r="428">
      <c r="I428" s="137"/>
      <c r="J428" s="137"/>
    </row>
    <row r="429">
      <c r="I429" s="137"/>
      <c r="J429" s="137"/>
    </row>
    <row r="430">
      <c r="I430" s="137"/>
      <c r="J430" s="137"/>
    </row>
    <row r="431">
      <c r="I431" s="137"/>
      <c r="J431" s="137"/>
    </row>
    <row r="432">
      <c r="I432" s="137"/>
      <c r="J432" s="137"/>
    </row>
    <row r="433">
      <c r="I433" s="137"/>
      <c r="J433" s="137"/>
    </row>
    <row r="434">
      <c r="I434" s="137"/>
      <c r="J434" s="137"/>
    </row>
    <row r="435">
      <c r="I435" s="137"/>
      <c r="J435" s="137"/>
    </row>
    <row r="436">
      <c r="I436" s="137"/>
      <c r="J436" s="137"/>
    </row>
    <row r="437">
      <c r="I437" s="137"/>
      <c r="J437" s="137"/>
    </row>
    <row r="438">
      <c r="I438" s="137"/>
      <c r="J438" s="137"/>
    </row>
    <row r="439">
      <c r="I439" s="137"/>
      <c r="J439" s="137"/>
    </row>
    <row r="440">
      <c r="I440" s="137"/>
      <c r="J440" s="137"/>
    </row>
    <row r="441">
      <c r="I441" s="137"/>
      <c r="J441" s="137"/>
    </row>
    <row r="442">
      <c r="I442" s="137"/>
      <c r="J442" s="137"/>
    </row>
    <row r="443">
      <c r="I443" s="137"/>
      <c r="J443" s="137"/>
    </row>
    <row r="444">
      <c r="I444" s="137"/>
      <c r="J444" s="137"/>
    </row>
    <row r="445">
      <c r="I445" s="137"/>
      <c r="J445" s="137"/>
    </row>
    <row r="446">
      <c r="I446" s="137"/>
      <c r="J446" s="137"/>
    </row>
    <row r="447">
      <c r="I447" s="137"/>
      <c r="J447" s="137"/>
    </row>
    <row r="448">
      <c r="I448" s="137"/>
      <c r="J448" s="137"/>
    </row>
    <row r="449">
      <c r="I449" s="137"/>
      <c r="J449" s="137"/>
    </row>
    <row r="450">
      <c r="I450" s="137"/>
      <c r="J450" s="137"/>
    </row>
    <row r="451">
      <c r="I451" s="137"/>
      <c r="J451" s="137"/>
    </row>
    <row r="452">
      <c r="I452" s="137"/>
      <c r="J452" s="137"/>
    </row>
    <row r="453">
      <c r="I453" s="137"/>
      <c r="J453" s="137"/>
    </row>
    <row r="454">
      <c r="I454" s="137"/>
      <c r="J454" s="137"/>
    </row>
    <row r="455">
      <c r="I455" s="137"/>
      <c r="J455" s="137"/>
    </row>
    <row r="456">
      <c r="I456" s="137"/>
      <c r="J456" s="137"/>
    </row>
    <row r="457">
      <c r="I457" s="137"/>
      <c r="J457" s="137"/>
    </row>
    <row r="458">
      <c r="I458" s="137"/>
      <c r="J458" s="137"/>
    </row>
    <row r="459">
      <c r="I459" s="137"/>
      <c r="J459" s="137"/>
    </row>
    <row r="460">
      <c r="I460" s="137"/>
      <c r="J460" s="137"/>
    </row>
    <row r="461">
      <c r="I461" s="137"/>
      <c r="J461" s="137"/>
    </row>
    <row r="462">
      <c r="I462" s="137"/>
      <c r="J462" s="137"/>
    </row>
    <row r="463">
      <c r="I463" s="137"/>
      <c r="J463" s="137"/>
    </row>
    <row r="464">
      <c r="I464" s="137"/>
      <c r="J464" s="137"/>
    </row>
    <row r="465">
      <c r="I465" s="137"/>
      <c r="J465" s="137"/>
    </row>
    <row r="466">
      <c r="I466" s="137"/>
      <c r="J466" s="137"/>
    </row>
    <row r="467">
      <c r="I467" s="137"/>
      <c r="J467" s="137"/>
    </row>
    <row r="468">
      <c r="I468" s="137"/>
      <c r="J468" s="137"/>
    </row>
    <row r="469">
      <c r="I469" s="137"/>
      <c r="J469" s="137"/>
    </row>
    <row r="470">
      <c r="I470" s="137"/>
      <c r="J470" s="137"/>
    </row>
    <row r="471">
      <c r="I471" s="137"/>
      <c r="J471" s="137"/>
    </row>
    <row r="472">
      <c r="I472" s="137"/>
      <c r="J472" s="137"/>
    </row>
    <row r="473">
      <c r="I473" s="137"/>
      <c r="J473" s="137"/>
    </row>
    <row r="474">
      <c r="I474" s="137"/>
      <c r="J474" s="137"/>
    </row>
    <row r="475">
      <c r="I475" s="137"/>
      <c r="J475" s="137"/>
    </row>
    <row r="476">
      <c r="I476" s="137"/>
      <c r="J476" s="137"/>
    </row>
    <row r="477">
      <c r="I477" s="137"/>
      <c r="J477" s="137"/>
    </row>
    <row r="478">
      <c r="I478" s="137"/>
      <c r="J478" s="137"/>
    </row>
    <row r="479">
      <c r="I479" s="137"/>
      <c r="J479" s="137"/>
    </row>
    <row r="480">
      <c r="I480" s="137"/>
      <c r="J480" s="137"/>
    </row>
    <row r="481">
      <c r="I481" s="137"/>
      <c r="J481" s="137"/>
    </row>
    <row r="482">
      <c r="I482" s="137"/>
      <c r="J482" s="137"/>
    </row>
    <row r="483">
      <c r="I483" s="137"/>
      <c r="J483" s="137"/>
    </row>
    <row r="484">
      <c r="I484" s="137"/>
      <c r="J484" s="137"/>
    </row>
    <row r="485">
      <c r="I485" s="137"/>
      <c r="J485" s="137"/>
    </row>
    <row r="486">
      <c r="I486" s="137"/>
      <c r="J486" s="137"/>
    </row>
    <row r="487">
      <c r="I487" s="137"/>
      <c r="J487" s="137"/>
    </row>
    <row r="488">
      <c r="I488" s="137"/>
      <c r="J488" s="137"/>
    </row>
    <row r="489">
      <c r="I489" s="137"/>
      <c r="J489" s="137"/>
    </row>
    <row r="490">
      <c r="I490" s="137"/>
      <c r="J490" s="137"/>
    </row>
    <row r="491">
      <c r="I491" s="137"/>
      <c r="J491" s="137"/>
    </row>
    <row r="492">
      <c r="I492" s="137"/>
      <c r="J492" s="137"/>
    </row>
    <row r="493">
      <c r="I493" s="137"/>
      <c r="J493" s="137"/>
    </row>
    <row r="494">
      <c r="I494" s="137"/>
      <c r="J494" s="137"/>
    </row>
    <row r="495">
      <c r="I495" s="137"/>
      <c r="J495" s="137"/>
    </row>
    <row r="496">
      <c r="I496" s="137"/>
      <c r="J496" s="137"/>
    </row>
    <row r="497">
      <c r="I497" s="137"/>
      <c r="J497" s="137"/>
    </row>
    <row r="498">
      <c r="I498" s="137"/>
      <c r="J498" s="137"/>
    </row>
    <row r="499">
      <c r="I499" s="137"/>
      <c r="J499" s="137"/>
    </row>
    <row r="500">
      <c r="I500" s="137"/>
      <c r="J500" s="137"/>
    </row>
    <row r="501">
      <c r="I501" s="137"/>
      <c r="J501" s="137"/>
    </row>
    <row r="502">
      <c r="I502" s="137"/>
      <c r="J502" s="137"/>
    </row>
    <row r="503">
      <c r="I503" s="137"/>
      <c r="J503" s="137"/>
    </row>
    <row r="504">
      <c r="I504" s="137"/>
      <c r="J504" s="137"/>
    </row>
    <row r="505">
      <c r="I505" s="137"/>
      <c r="J505" s="137"/>
    </row>
    <row r="506">
      <c r="I506" s="137"/>
      <c r="J506" s="137"/>
    </row>
    <row r="507">
      <c r="I507" s="137"/>
      <c r="J507" s="137"/>
    </row>
    <row r="508">
      <c r="I508" s="137"/>
      <c r="J508" s="137"/>
    </row>
    <row r="509">
      <c r="I509" s="137"/>
      <c r="J509" s="137"/>
    </row>
    <row r="510">
      <c r="I510" s="137"/>
      <c r="J510" s="137"/>
    </row>
    <row r="511">
      <c r="I511" s="137"/>
      <c r="J511" s="137"/>
    </row>
    <row r="512">
      <c r="I512" s="137"/>
      <c r="J512" s="137"/>
    </row>
    <row r="513">
      <c r="I513" s="137"/>
      <c r="J513" s="137"/>
    </row>
    <row r="514">
      <c r="I514" s="137"/>
      <c r="J514" s="137"/>
    </row>
    <row r="515">
      <c r="I515" s="137"/>
      <c r="J515" s="137"/>
    </row>
    <row r="516">
      <c r="I516" s="137"/>
      <c r="J516" s="137"/>
    </row>
    <row r="517">
      <c r="I517" s="137"/>
      <c r="J517" s="137"/>
    </row>
    <row r="518">
      <c r="I518" s="137"/>
      <c r="J518" s="137"/>
    </row>
    <row r="519">
      <c r="I519" s="137"/>
      <c r="J519" s="137"/>
    </row>
    <row r="520">
      <c r="I520" s="137"/>
      <c r="J520" s="137"/>
    </row>
    <row r="521">
      <c r="I521" s="137"/>
      <c r="J521" s="137"/>
    </row>
    <row r="522">
      <c r="I522" s="137"/>
      <c r="J522" s="137"/>
    </row>
    <row r="523">
      <c r="I523" s="137"/>
      <c r="J523" s="137"/>
    </row>
    <row r="524">
      <c r="I524" s="137"/>
      <c r="J524" s="137"/>
    </row>
    <row r="525">
      <c r="I525" s="137"/>
      <c r="J525" s="137"/>
    </row>
    <row r="526">
      <c r="I526" s="137"/>
      <c r="J526" s="137"/>
    </row>
    <row r="527">
      <c r="I527" s="137"/>
      <c r="J527" s="137"/>
    </row>
    <row r="528">
      <c r="I528" s="137"/>
      <c r="J528" s="137"/>
    </row>
    <row r="529">
      <c r="I529" s="137"/>
      <c r="J529" s="137"/>
    </row>
    <row r="530">
      <c r="I530" s="137"/>
      <c r="J530" s="137"/>
    </row>
    <row r="531">
      <c r="I531" s="137"/>
      <c r="J531" s="137"/>
    </row>
    <row r="532">
      <c r="I532" s="137"/>
      <c r="J532" s="137"/>
    </row>
    <row r="533">
      <c r="I533" s="137"/>
      <c r="J533" s="137"/>
    </row>
    <row r="534">
      <c r="I534" s="137"/>
      <c r="J534" s="137"/>
    </row>
    <row r="535">
      <c r="I535" s="137"/>
      <c r="J535" s="137"/>
    </row>
    <row r="536">
      <c r="I536" s="137"/>
      <c r="J536" s="137"/>
    </row>
    <row r="537">
      <c r="I537" s="137"/>
      <c r="J537" s="137"/>
    </row>
    <row r="538">
      <c r="I538" s="137"/>
      <c r="J538" s="137"/>
    </row>
    <row r="539">
      <c r="I539" s="137"/>
      <c r="J539" s="137"/>
    </row>
    <row r="540">
      <c r="I540" s="137"/>
      <c r="J540" s="137"/>
    </row>
    <row r="541">
      <c r="I541" s="137"/>
      <c r="J541" s="137"/>
    </row>
    <row r="542">
      <c r="I542" s="137"/>
      <c r="J542" s="137"/>
    </row>
    <row r="543">
      <c r="I543" s="137"/>
      <c r="J543" s="137"/>
    </row>
    <row r="544">
      <c r="I544" s="137"/>
      <c r="J544" s="137"/>
    </row>
    <row r="545">
      <c r="I545" s="137"/>
      <c r="J545" s="137"/>
    </row>
    <row r="546">
      <c r="I546" s="137"/>
      <c r="J546" s="137"/>
    </row>
    <row r="547">
      <c r="I547" s="137"/>
      <c r="J547" s="137"/>
    </row>
    <row r="548">
      <c r="I548" s="137"/>
      <c r="J548" s="137"/>
    </row>
    <row r="549">
      <c r="I549" s="137"/>
      <c r="J549" s="137"/>
    </row>
    <row r="550">
      <c r="I550" s="137"/>
      <c r="J550" s="137"/>
    </row>
    <row r="551">
      <c r="I551" s="137"/>
      <c r="J551" s="137"/>
    </row>
    <row r="552">
      <c r="I552" s="137"/>
      <c r="J552" s="137"/>
    </row>
    <row r="553">
      <c r="I553" s="137"/>
      <c r="J553" s="137"/>
    </row>
    <row r="554">
      <c r="I554" s="137"/>
      <c r="J554" s="137"/>
    </row>
    <row r="555">
      <c r="I555" s="137"/>
      <c r="J555" s="137"/>
    </row>
    <row r="556">
      <c r="I556" s="137"/>
      <c r="J556" s="137"/>
    </row>
    <row r="557">
      <c r="I557" s="137"/>
      <c r="J557" s="137"/>
    </row>
    <row r="558">
      <c r="I558" s="137"/>
      <c r="J558" s="137"/>
    </row>
    <row r="559">
      <c r="I559" s="137"/>
      <c r="J559" s="137"/>
    </row>
    <row r="560">
      <c r="I560" s="137"/>
      <c r="J560" s="137"/>
    </row>
    <row r="561">
      <c r="I561" s="137"/>
      <c r="J561" s="137"/>
    </row>
    <row r="562">
      <c r="I562" s="137"/>
      <c r="J562" s="137"/>
    </row>
    <row r="563">
      <c r="I563" s="137"/>
      <c r="J563" s="137"/>
    </row>
    <row r="564">
      <c r="I564" s="137"/>
      <c r="J564" s="137"/>
    </row>
    <row r="565">
      <c r="I565" s="137"/>
      <c r="J565" s="137"/>
    </row>
    <row r="566">
      <c r="I566" s="137"/>
      <c r="J566" s="137"/>
    </row>
    <row r="567">
      <c r="I567" s="137"/>
      <c r="J567" s="137"/>
    </row>
    <row r="568">
      <c r="I568" s="137"/>
      <c r="J568" s="137"/>
    </row>
    <row r="569">
      <c r="I569" s="137"/>
      <c r="J569" s="137"/>
    </row>
    <row r="570">
      <c r="I570" s="137"/>
      <c r="J570" s="137"/>
    </row>
    <row r="571">
      <c r="I571" s="137"/>
      <c r="J571" s="137"/>
    </row>
    <row r="572">
      <c r="I572" s="137"/>
      <c r="J572" s="137"/>
    </row>
    <row r="573">
      <c r="I573" s="137"/>
      <c r="J573" s="137"/>
    </row>
    <row r="574">
      <c r="I574" s="137"/>
      <c r="J574" s="137"/>
    </row>
    <row r="575">
      <c r="I575" s="137"/>
      <c r="J575" s="137"/>
    </row>
    <row r="576">
      <c r="I576" s="137"/>
      <c r="J576" s="137"/>
    </row>
    <row r="577">
      <c r="I577" s="137"/>
      <c r="J577" s="137"/>
    </row>
    <row r="578">
      <c r="I578" s="137"/>
      <c r="J578" s="137"/>
    </row>
    <row r="579">
      <c r="I579" s="137"/>
      <c r="J579" s="137"/>
    </row>
    <row r="580">
      <c r="I580" s="137"/>
      <c r="J580" s="137"/>
    </row>
    <row r="581">
      <c r="I581" s="137"/>
      <c r="J581" s="137"/>
    </row>
    <row r="582">
      <c r="I582" s="137"/>
      <c r="J582" s="137"/>
    </row>
    <row r="583">
      <c r="I583" s="137"/>
      <c r="J583" s="137"/>
    </row>
    <row r="584">
      <c r="I584" s="137"/>
      <c r="J584" s="137"/>
    </row>
    <row r="585">
      <c r="I585" s="137"/>
      <c r="J585" s="137"/>
    </row>
    <row r="586">
      <c r="I586" s="137"/>
      <c r="J586" s="137"/>
    </row>
    <row r="587">
      <c r="I587" s="137"/>
      <c r="J587" s="137"/>
    </row>
    <row r="588">
      <c r="I588" s="137"/>
      <c r="J588" s="137"/>
    </row>
    <row r="589">
      <c r="I589" s="137"/>
      <c r="J589" s="137"/>
    </row>
    <row r="590">
      <c r="I590" s="137"/>
      <c r="J590" s="137"/>
    </row>
    <row r="591">
      <c r="I591" s="137"/>
      <c r="J591" s="137"/>
    </row>
    <row r="592">
      <c r="I592" s="137"/>
      <c r="J592" s="137"/>
    </row>
    <row r="593">
      <c r="I593" s="137"/>
      <c r="J593" s="137"/>
    </row>
    <row r="594">
      <c r="I594" s="137"/>
      <c r="J594" s="137"/>
    </row>
    <row r="595">
      <c r="I595" s="137"/>
      <c r="J595" s="137"/>
    </row>
    <row r="596">
      <c r="I596" s="137"/>
      <c r="J596" s="137"/>
    </row>
    <row r="597">
      <c r="I597" s="137"/>
      <c r="J597" s="137"/>
    </row>
    <row r="598">
      <c r="I598" s="137"/>
      <c r="J598" s="137"/>
    </row>
    <row r="599">
      <c r="I599" s="137"/>
      <c r="J599" s="137"/>
    </row>
    <row r="600">
      <c r="I600" s="137"/>
      <c r="J600" s="137"/>
    </row>
    <row r="601">
      <c r="I601" s="137"/>
      <c r="J601" s="137"/>
    </row>
    <row r="602">
      <c r="I602" s="137"/>
      <c r="J602" s="137"/>
    </row>
    <row r="603">
      <c r="I603" s="137"/>
      <c r="J603" s="137"/>
    </row>
    <row r="604">
      <c r="I604" s="137"/>
      <c r="J604" s="137"/>
    </row>
    <row r="605">
      <c r="I605" s="137"/>
      <c r="J605" s="137"/>
    </row>
    <row r="606">
      <c r="I606" s="137"/>
      <c r="J606" s="137"/>
    </row>
    <row r="607">
      <c r="I607" s="137"/>
      <c r="J607" s="137"/>
    </row>
    <row r="608">
      <c r="I608" s="137"/>
      <c r="J608" s="137"/>
    </row>
    <row r="609">
      <c r="I609" s="137"/>
      <c r="J609" s="137"/>
    </row>
    <row r="610">
      <c r="I610" s="137"/>
      <c r="J610" s="137"/>
    </row>
    <row r="611">
      <c r="I611" s="137"/>
      <c r="J611" s="137"/>
    </row>
    <row r="612">
      <c r="I612" s="137"/>
      <c r="J612" s="137"/>
    </row>
    <row r="613">
      <c r="I613" s="137"/>
      <c r="J613" s="137"/>
    </row>
    <row r="614">
      <c r="I614" s="137"/>
      <c r="J614" s="137"/>
    </row>
    <row r="615">
      <c r="I615" s="137"/>
      <c r="J615" s="137"/>
    </row>
    <row r="616">
      <c r="I616" s="137"/>
      <c r="J616" s="137"/>
    </row>
    <row r="617">
      <c r="I617" s="137"/>
      <c r="J617" s="137"/>
    </row>
    <row r="618">
      <c r="I618" s="137"/>
      <c r="J618" s="137"/>
    </row>
    <row r="619">
      <c r="I619" s="137"/>
      <c r="J619" s="137"/>
    </row>
    <row r="620">
      <c r="I620" s="137"/>
      <c r="J620" s="137"/>
    </row>
    <row r="621">
      <c r="I621" s="137"/>
      <c r="J621" s="137"/>
    </row>
    <row r="622">
      <c r="I622" s="137"/>
      <c r="J622" s="137"/>
    </row>
    <row r="623">
      <c r="I623" s="137"/>
      <c r="J623" s="137"/>
    </row>
    <row r="624">
      <c r="I624" s="137"/>
      <c r="J624" s="137"/>
    </row>
    <row r="625">
      <c r="I625" s="137"/>
      <c r="J625" s="137"/>
    </row>
    <row r="626">
      <c r="I626" s="137"/>
      <c r="J626" s="137"/>
    </row>
    <row r="627">
      <c r="I627" s="137"/>
      <c r="J627" s="137"/>
    </row>
    <row r="628">
      <c r="I628" s="137"/>
      <c r="J628" s="137"/>
    </row>
    <row r="629">
      <c r="I629" s="137"/>
      <c r="J629" s="137"/>
    </row>
    <row r="630">
      <c r="I630" s="137"/>
      <c r="J630" s="137"/>
    </row>
    <row r="631">
      <c r="I631" s="137"/>
      <c r="J631" s="137"/>
    </row>
    <row r="632">
      <c r="I632" s="137"/>
      <c r="J632" s="137"/>
    </row>
    <row r="633">
      <c r="I633" s="137"/>
      <c r="J633" s="137"/>
    </row>
    <row r="634">
      <c r="I634" s="137"/>
      <c r="J634" s="137"/>
    </row>
    <row r="635">
      <c r="I635" s="137"/>
      <c r="J635" s="137"/>
    </row>
    <row r="636">
      <c r="I636" s="137"/>
      <c r="J636" s="137"/>
    </row>
    <row r="637">
      <c r="I637" s="137"/>
      <c r="J637" s="137"/>
    </row>
    <row r="638">
      <c r="I638" s="137"/>
      <c r="J638" s="137"/>
    </row>
    <row r="639">
      <c r="I639" s="137"/>
      <c r="J639" s="137"/>
    </row>
    <row r="640">
      <c r="I640" s="137"/>
      <c r="J640" s="137"/>
    </row>
    <row r="641">
      <c r="I641" s="137"/>
      <c r="J641" s="137"/>
    </row>
    <row r="642">
      <c r="I642" s="137"/>
      <c r="J642" s="137"/>
    </row>
    <row r="643">
      <c r="I643" s="137"/>
      <c r="J643" s="137"/>
    </row>
    <row r="644">
      <c r="I644" s="137"/>
      <c r="J644" s="137"/>
    </row>
    <row r="645">
      <c r="I645" s="137"/>
      <c r="J645" s="137"/>
    </row>
    <row r="646">
      <c r="I646" s="137"/>
      <c r="J646" s="137"/>
    </row>
    <row r="647">
      <c r="I647" s="137"/>
      <c r="J647" s="137"/>
    </row>
    <row r="648">
      <c r="I648" s="137"/>
      <c r="J648" s="137"/>
    </row>
    <row r="649">
      <c r="I649" s="137"/>
      <c r="J649" s="137"/>
    </row>
    <row r="650">
      <c r="I650" s="137"/>
      <c r="J650" s="137"/>
    </row>
    <row r="651">
      <c r="I651" s="137"/>
      <c r="J651" s="137"/>
    </row>
    <row r="652">
      <c r="I652" s="137"/>
      <c r="J652" s="137"/>
    </row>
    <row r="653">
      <c r="I653" s="137"/>
      <c r="J653" s="137"/>
    </row>
    <row r="654">
      <c r="I654" s="137"/>
      <c r="J654" s="137"/>
    </row>
    <row r="655">
      <c r="I655" s="137"/>
      <c r="J655" s="137"/>
    </row>
    <row r="656">
      <c r="I656" s="137"/>
      <c r="J656" s="137"/>
    </row>
    <row r="657">
      <c r="I657" s="137"/>
      <c r="J657" s="137"/>
    </row>
    <row r="658">
      <c r="I658" s="137"/>
      <c r="J658" s="137"/>
    </row>
    <row r="659">
      <c r="I659" s="137"/>
      <c r="J659" s="137"/>
    </row>
    <row r="660">
      <c r="I660" s="137"/>
      <c r="J660" s="137"/>
    </row>
    <row r="661">
      <c r="I661" s="137"/>
      <c r="J661" s="137"/>
    </row>
    <row r="662">
      <c r="I662" s="137"/>
      <c r="J662" s="137"/>
    </row>
    <row r="663">
      <c r="I663" s="137"/>
      <c r="J663" s="137"/>
    </row>
    <row r="664">
      <c r="I664" s="137"/>
      <c r="J664" s="137"/>
    </row>
    <row r="665">
      <c r="I665" s="137"/>
      <c r="J665" s="137"/>
    </row>
    <row r="666">
      <c r="I666" s="137"/>
      <c r="J666" s="137"/>
    </row>
    <row r="667">
      <c r="I667" s="137"/>
      <c r="J667" s="137"/>
    </row>
    <row r="668">
      <c r="I668" s="137"/>
      <c r="J668" s="137"/>
    </row>
    <row r="669">
      <c r="I669" s="137"/>
      <c r="J669" s="137"/>
    </row>
    <row r="670">
      <c r="I670" s="137"/>
      <c r="J670" s="137"/>
    </row>
    <row r="671">
      <c r="I671" s="137"/>
      <c r="J671" s="137"/>
    </row>
    <row r="672">
      <c r="I672" s="137"/>
      <c r="J672" s="137"/>
    </row>
    <row r="673">
      <c r="I673" s="137"/>
      <c r="J673" s="137"/>
    </row>
    <row r="674">
      <c r="I674" s="137"/>
      <c r="J674" s="137"/>
    </row>
    <row r="675">
      <c r="I675" s="137"/>
      <c r="J675" s="137"/>
    </row>
    <row r="676">
      <c r="I676" s="137"/>
      <c r="J676" s="137"/>
    </row>
    <row r="677">
      <c r="I677" s="137"/>
      <c r="J677" s="137"/>
    </row>
    <row r="678">
      <c r="I678" s="137"/>
      <c r="J678" s="137"/>
    </row>
    <row r="679">
      <c r="I679" s="137"/>
      <c r="J679" s="137"/>
    </row>
    <row r="680">
      <c r="I680" s="137"/>
      <c r="J680" s="137"/>
    </row>
    <row r="681">
      <c r="I681" s="137"/>
      <c r="J681" s="137"/>
    </row>
    <row r="682">
      <c r="I682" s="137"/>
      <c r="J682" s="137"/>
    </row>
    <row r="683">
      <c r="I683" s="137"/>
      <c r="J683" s="137"/>
    </row>
    <row r="684">
      <c r="I684" s="137"/>
      <c r="J684" s="137"/>
    </row>
    <row r="685">
      <c r="I685" s="137"/>
      <c r="J685" s="137"/>
    </row>
    <row r="686">
      <c r="I686" s="137"/>
      <c r="J686" s="137"/>
    </row>
    <row r="687">
      <c r="I687" s="137"/>
      <c r="J687" s="137"/>
    </row>
    <row r="688">
      <c r="I688" s="137"/>
      <c r="J688" s="137"/>
    </row>
    <row r="689">
      <c r="I689" s="137"/>
      <c r="J689" s="137"/>
    </row>
    <row r="690">
      <c r="I690" s="137"/>
      <c r="J690" s="137"/>
    </row>
    <row r="691">
      <c r="I691" s="137"/>
      <c r="J691" s="137"/>
    </row>
    <row r="692">
      <c r="I692" s="137"/>
      <c r="J692" s="137"/>
    </row>
    <row r="693">
      <c r="I693" s="137"/>
      <c r="J693" s="137"/>
    </row>
    <row r="694">
      <c r="I694" s="137"/>
      <c r="J694" s="137"/>
    </row>
    <row r="695">
      <c r="I695" s="137"/>
      <c r="J695" s="137"/>
    </row>
    <row r="696">
      <c r="I696" s="137"/>
      <c r="J696" s="137"/>
    </row>
    <row r="697">
      <c r="I697" s="137"/>
      <c r="J697" s="137"/>
    </row>
    <row r="698">
      <c r="I698" s="137"/>
      <c r="J698" s="137"/>
    </row>
    <row r="699">
      <c r="I699" s="137"/>
      <c r="J699" s="137"/>
    </row>
    <row r="700">
      <c r="I700" s="137"/>
      <c r="J700" s="137"/>
    </row>
    <row r="701">
      <c r="I701" s="137"/>
      <c r="J701" s="137"/>
    </row>
    <row r="702">
      <c r="I702" s="137"/>
      <c r="J702" s="137"/>
    </row>
    <row r="703">
      <c r="I703" s="137"/>
      <c r="J703" s="137"/>
    </row>
    <row r="704">
      <c r="I704" s="137"/>
      <c r="J704" s="137"/>
    </row>
    <row r="705">
      <c r="I705" s="137"/>
      <c r="J705" s="137"/>
    </row>
    <row r="706">
      <c r="I706" s="137"/>
      <c r="J706" s="137"/>
    </row>
    <row r="707">
      <c r="I707" s="137"/>
      <c r="J707" s="137"/>
    </row>
    <row r="708">
      <c r="I708" s="137"/>
      <c r="J708" s="137"/>
    </row>
    <row r="709">
      <c r="I709" s="137"/>
      <c r="J709" s="137"/>
    </row>
    <row r="710">
      <c r="I710" s="137"/>
      <c r="J710" s="137"/>
    </row>
    <row r="711">
      <c r="I711" s="137"/>
      <c r="J711" s="137"/>
    </row>
    <row r="712">
      <c r="I712" s="137"/>
      <c r="J712" s="137"/>
    </row>
    <row r="713">
      <c r="I713" s="137"/>
      <c r="J713" s="137"/>
    </row>
    <row r="714">
      <c r="I714" s="137"/>
      <c r="J714" s="137"/>
    </row>
    <row r="715">
      <c r="I715" s="137"/>
      <c r="J715" s="137"/>
    </row>
    <row r="716">
      <c r="I716" s="137"/>
      <c r="J716" s="137"/>
    </row>
    <row r="717">
      <c r="I717" s="137"/>
      <c r="J717" s="137"/>
    </row>
    <row r="718">
      <c r="I718" s="137"/>
      <c r="J718" s="137"/>
    </row>
    <row r="719">
      <c r="I719" s="137"/>
      <c r="J719" s="137"/>
    </row>
    <row r="720">
      <c r="I720" s="137"/>
      <c r="J720" s="137"/>
    </row>
    <row r="721">
      <c r="I721" s="137"/>
      <c r="J721" s="137"/>
    </row>
    <row r="722">
      <c r="I722" s="137"/>
      <c r="J722" s="137"/>
    </row>
    <row r="723">
      <c r="I723" s="137"/>
      <c r="J723" s="137"/>
    </row>
    <row r="724">
      <c r="I724" s="137"/>
      <c r="J724" s="137"/>
    </row>
    <row r="725">
      <c r="I725" s="137"/>
      <c r="J725" s="137"/>
    </row>
    <row r="726">
      <c r="I726" s="137"/>
      <c r="J726" s="137"/>
    </row>
    <row r="727">
      <c r="I727" s="137"/>
      <c r="J727" s="137"/>
    </row>
    <row r="728">
      <c r="I728" s="137"/>
      <c r="J728" s="137"/>
    </row>
    <row r="729">
      <c r="I729" s="137"/>
      <c r="J729" s="137"/>
    </row>
    <row r="730">
      <c r="I730" s="137"/>
      <c r="J730" s="137"/>
    </row>
    <row r="731">
      <c r="I731" s="137"/>
      <c r="J731" s="137"/>
    </row>
    <row r="732">
      <c r="I732" s="137"/>
      <c r="J732" s="137"/>
    </row>
    <row r="733">
      <c r="I733" s="137"/>
      <c r="J733" s="137"/>
    </row>
    <row r="734">
      <c r="I734" s="137"/>
      <c r="J734" s="137"/>
    </row>
    <row r="735">
      <c r="I735" s="137"/>
      <c r="J735" s="137"/>
    </row>
    <row r="736">
      <c r="I736" s="137"/>
      <c r="J736" s="137"/>
    </row>
    <row r="737">
      <c r="I737" s="137"/>
      <c r="J737" s="137"/>
    </row>
    <row r="738">
      <c r="I738" s="137"/>
      <c r="J738" s="137"/>
    </row>
    <row r="739">
      <c r="I739" s="137"/>
      <c r="J739" s="137"/>
    </row>
    <row r="740">
      <c r="I740" s="137"/>
      <c r="J740" s="137"/>
    </row>
    <row r="741">
      <c r="I741" s="137"/>
      <c r="J741" s="137"/>
    </row>
    <row r="742">
      <c r="I742" s="137"/>
      <c r="J742" s="137"/>
    </row>
    <row r="743">
      <c r="I743" s="137"/>
      <c r="J743" s="137"/>
    </row>
    <row r="744">
      <c r="I744" s="137"/>
      <c r="J744" s="137"/>
    </row>
    <row r="745">
      <c r="I745" s="137"/>
      <c r="J745" s="137"/>
    </row>
    <row r="746">
      <c r="I746" s="137"/>
      <c r="J746" s="137"/>
    </row>
    <row r="747">
      <c r="I747" s="137"/>
      <c r="J747" s="137"/>
    </row>
    <row r="748">
      <c r="I748" s="137"/>
      <c r="J748" s="137"/>
    </row>
    <row r="749">
      <c r="I749" s="137"/>
      <c r="J749" s="137"/>
    </row>
    <row r="750">
      <c r="I750" s="137"/>
      <c r="J750" s="137"/>
    </row>
    <row r="751">
      <c r="I751" s="137"/>
      <c r="J751" s="137"/>
    </row>
    <row r="752">
      <c r="I752" s="137"/>
      <c r="J752" s="137"/>
    </row>
    <row r="753">
      <c r="I753" s="137"/>
      <c r="J753" s="137"/>
    </row>
    <row r="754">
      <c r="I754" s="137"/>
      <c r="J754" s="137"/>
    </row>
    <row r="755">
      <c r="I755" s="137"/>
      <c r="J755" s="137"/>
    </row>
    <row r="756">
      <c r="I756" s="137"/>
      <c r="J756" s="137"/>
    </row>
    <row r="757">
      <c r="I757" s="137"/>
      <c r="J757" s="137"/>
    </row>
    <row r="758">
      <c r="I758" s="137"/>
      <c r="J758" s="137"/>
    </row>
    <row r="759">
      <c r="I759" s="137"/>
      <c r="J759" s="137"/>
    </row>
    <row r="760">
      <c r="I760" s="137"/>
      <c r="J760" s="137"/>
    </row>
    <row r="761">
      <c r="I761" s="137"/>
      <c r="J761" s="137"/>
    </row>
    <row r="762">
      <c r="I762" s="137"/>
      <c r="J762" s="137"/>
    </row>
    <row r="763">
      <c r="I763" s="137"/>
      <c r="J763" s="137"/>
    </row>
    <row r="764">
      <c r="I764" s="137"/>
      <c r="J764" s="137"/>
    </row>
    <row r="765">
      <c r="I765" s="137"/>
      <c r="J765" s="137"/>
    </row>
    <row r="766">
      <c r="I766" s="137"/>
      <c r="J766" s="137"/>
    </row>
    <row r="767">
      <c r="I767" s="137"/>
      <c r="J767" s="137"/>
    </row>
    <row r="768">
      <c r="I768" s="137"/>
      <c r="J768" s="137"/>
    </row>
    <row r="769">
      <c r="I769" s="137"/>
      <c r="J769" s="137"/>
    </row>
    <row r="770">
      <c r="I770" s="137"/>
      <c r="J770" s="137"/>
    </row>
    <row r="771">
      <c r="I771" s="137"/>
      <c r="J771" s="137"/>
    </row>
    <row r="772">
      <c r="I772" s="137"/>
      <c r="J772" s="137"/>
    </row>
    <row r="773">
      <c r="I773" s="137"/>
      <c r="J773" s="137"/>
    </row>
    <row r="774">
      <c r="I774" s="137"/>
      <c r="J774" s="137"/>
    </row>
    <row r="775">
      <c r="I775" s="137"/>
      <c r="J775" s="137"/>
    </row>
    <row r="776">
      <c r="I776" s="137"/>
      <c r="J776" s="137"/>
    </row>
    <row r="777">
      <c r="I777" s="137"/>
      <c r="J777" s="137"/>
    </row>
    <row r="778">
      <c r="I778" s="137"/>
      <c r="J778" s="137"/>
    </row>
    <row r="779">
      <c r="I779" s="137"/>
      <c r="J779" s="137"/>
    </row>
    <row r="780">
      <c r="I780" s="137"/>
      <c r="J780" s="137"/>
    </row>
    <row r="781">
      <c r="I781" s="137"/>
      <c r="J781" s="137"/>
    </row>
    <row r="782">
      <c r="I782" s="137"/>
      <c r="J782" s="137"/>
    </row>
    <row r="783">
      <c r="I783" s="137"/>
      <c r="J783" s="137"/>
    </row>
    <row r="784">
      <c r="I784" s="137"/>
      <c r="J784" s="137"/>
    </row>
    <row r="785">
      <c r="I785" s="137"/>
      <c r="J785" s="137"/>
    </row>
    <row r="786">
      <c r="I786" s="137"/>
      <c r="J786" s="137"/>
    </row>
    <row r="787">
      <c r="I787" s="137"/>
      <c r="J787" s="137"/>
    </row>
    <row r="788">
      <c r="I788" s="137"/>
      <c r="J788" s="137"/>
    </row>
    <row r="789">
      <c r="I789" s="137"/>
      <c r="J789" s="137"/>
    </row>
    <row r="790">
      <c r="I790" s="137"/>
      <c r="J790" s="137"/>
    </row>
    <row r="791">
      <c r="I791" s="137"/>
      <c r="J791" s="137"/>
    </row>
    <row r="792">
      <c r="I792" s="137"/>
      <c r="J792" s="137"/>
    </row>
    <row r="793">
      <c r="I793" s="137"/>
      <c r="J793" s="137"/>
    </row>
    <row r="794">
      <c r="I794" s="137"/>
      <c r="J794" s="137"/>
    </row>
    <row r="795">
      <c r="I795" s="137"/>
      <c r="J795" s="137"/>
    </row>
    <row r="796">
      <c r="I796" s="137"/>
      <c r="J796" s="137"/>
    </row>
    <row r="797">
      <c r="I797" s="137"/>
      <c r="J797" s="137"/>
    </row>
    <row r="798">
      <c r="I798" s="137"/>
      <c r="J798" s="137"/>
    </row>
    <row r="799">
      <c r="I799" s="137"/>
      <c r="J799" s="137"/>
    </row>
    <row r="800">
      <c r="I800" s="137"/>
      <c r="J800" s="137"/>
    </row>
    <row r="801">
      <c r="I801" s="137"/>
      <c r="J801" s="137"/>
    </row>
    <row r="802">
      <c r="I802" s="137"/>
      <c r="J802" s="137"/>
    </row>
    <row r="803">
      <c r="I803" s="137"/>
      <c r="J803" s="137"/>
    </row>
    <row r="804">
      <c r="I804" s="137"/>
      <c r="J804" s="137"/>
    </row>
    <row r="805">
      <c r="I805" s="137"/>
      <c r="J805" s="137"/>
    </row>
    <row r="806">
      <c r="I806" s="137"/>
      <c r="J806" s="137"/>
    </row>
    <row r="807">
      <c r="I807" s="137"/>
      <c r="J807" s="137"/>
    </row>
    <row r="808">
      <c r="I808" s="137"/>
      <c r="J808" s="137"/>
    </row>
    <row r="809">
      <c r="I809" s="137"/>
      <c r="J809" s="137"/>
    </row>
    <row r="810">
      <c r="I810" s="137"/>
      <c r="J810" s="137"/>
    </row>
    <row r="811">
      <c r="I811" s="137"/>
      <c r="J811" s="137"/>
    </row>
    <row r="812">
      <c r="I812" s="137"/>
      <c r="J812" s="137"/>
    </row>
    <row r="813">
      <c r="I813" s="137"/>
      <c r="J813" s="137"/>
    </row>
    <row r="814">
      <c r="I814" s="137"/>
      <c r="J814" s="137"/>
    </row>
    <row r="815">
      <c r="I815" s="137"/>
      <c r="J815" s="137"/>
    </row>
    <row r="816">
      <c r="I816" s="137"/>
      <c r="J816" s="137"/>
    </row>
    <row r="817">
      <c r="I817" s="137"/>
      <c r="J817" s="137"/>
    </row>
    <row r="818">
      <c r="I818" s="137"/>
      <c r="J818" s="137"/>
    </row>
    <row r="819">
      <c r="I819" s="137"/>
      <c r="J819" s="137"/>
    </row>
    <row r="820">
      <c r="I820" s="137"/>
      <c r="J820" s="137"/>
    </row>
    <row r="821">
      <c r="I821" s="137"/>
      <c r="J821" s="137"/>
    </row>
    <row r="822">
      <c r="I822" s="137"/>
      <c r="J822" s="137"/>
    </row>
    <row r="823">
      <c r="I823" s="137"/>
      <c r="J823" s="137"/>
    </row>
    <row r="824">
      <c r="I824" s="137"/>
      <c r="J824" s="137"/>
    </row>
    <row r="825">
      <c r="I825" s="137"/>
      <c r="J825" s="137"/>
    </row>
    <row r="826">
      <c r="I826" s="137"/>
      <c r="J826" s="137"/>
    </row>
    <row r="827">
      <c r="I827" s="137"/>
      <c r="J827" s="137"/>
    </row>
    <row r="828">
      <c r="I828" s="137"/>
      <c r="J828" s="137"/>
    </row>
    <row r="829">
      <c r="I829" s="137"/>
      <c r="J829" s="137"/>
    </row>
    <row r="830">
      <c r="I830" s="137"/>
      <c r="J830" s="137"/>
    </row>
    <row r="831">
      <c r="I831" s="137"/>
      <c r="J831" s="137"/>
    </row>
    <row r="832">
      <c r="I832" s="137"/>
      <c r="J832" s="137"/>
    </row>
    <row r="833">
      <c r="I833" s="137"/>
      <c r="J833" s="137"/>
    </row>
    <row r="834">
      <c r="I834" s="137"/>
      <c r="J834" s="137"/>
    </row>
    <row r="835">
      <c r="I835" s="137"/>
      <c r="J835" s="137"/>
    </row>
    <row r="836">
      <c r="I836" s="137"/>
      <c r="J836" s="137"/>
    </row>
    <row r="837">
      <c r="I837" s="137"/>
      <c r="J837" s="137"/>
    </row>
    <row r="838">
      <c r="I838" s="137"/>
      <c r="J838" s="137"/>
    </row>
    <row r="839">
      <c r="I839" s="137"/>
      <c r="J839" s="137"/>
    </row>
    <row r="840">
      <c r="I840" s="137"/>
      <c r="J840" s="137"/>
    </row>
    <row r="841">
      <c r="I841" s="137"/>
      <c r="J841" s="137"/>
    </row>
    <row r="842">
      <c r="I842" s="137"/>
      <c r="J842" s="137"/>
    </row>
    <row r="843">
      <c r="I843" s="137"/>
      <c r="J843" s="137"/>
    </row>
    <row r="844">
      <c r="I844" s="137"/>
      <c r="J844" s="137"/>
    </row>
    <row r="845">
      <c r="I845" s="137"/>
      <c r="J845" s="137"/>
    </row>
    <row r="846">
      <c r="I846" s="137"/>
      <c r="J846" s="137"/>
    </row>
    <row r="847">
      <c r="I847" s="137"/>
      <c r="J847" s="137"/>
    </row>
    <row r="848">
      <c r="I848" s="137"/>
      <c r="J848" s="137"/>
    </row>
    <row r="849">
      <c r="I849" s="137"/>
      <c r="J849" s="137"/>
    </row>
    <row r="850">
      <c r="I850" s="137"/>
      <c r="J850" s="137"/>
    </row>
    <row r="851">
      <c r="I851" s="137"/>
      <c r="J851" s="137"/>
    </row>
    <row r="852">
      <c r="I852" s="137"/>
      <c r="J852" s="137"/>
    </row>
    <row r="853">
      <c r="I853" s="137"/>
      <c r="J853" s="137"/>
    </row>
    <row r="854">
      <c r="I854" s="137"/>
      <c r="J854" s="137"/>
    </row>
    <row r="855">
      <c r="I855" s="137"/>
      <c r="J855" s="137"/>
    </row>
    <row r="856">
      <c r="I856" s="137"/>
      <c r="J856" s="137"/>
    </row>
    <row r="857">
      <c r="I857" s="137"/>
      <c r="J857" s="137"/>
    </row>
    <row r="858">
      <c r="I858" s="137"/>
      <c r="J858" s="137"/>
    </row>
    <row r="859">
      <c r="I859" s="137"/>
      <c r="J859" s="137"/>
    </row>
    <row r="860">
      <c r="I860" s="137"/>
      <c r="J860" s="137"/>
    </row>
    <row r="861">
      <c r="I861" s="137"/>
      <c r="J861" s="137"/>
    </row>
    <row r="862">
      <c r="I862" s="137"/>
      <c r="J862" s="137"/>
    </row>
    <row r="863">
      <c r="I863" s="137"/>
      <c r="J863" s="137"/>
    </row>
    <row r="864">
      <c r="I864" s="137"/>
      <c r="J864" s="137"/>
    </row>
    <row r="865">
      <c r="I865" s="137"/>
      <c r="J865" s="137"/>
    </row>
    <row r="866">
      <c r="I866" s="137"/>
      <c r="J866" s="137"/>
    </row>
    <row r="867">
      <c r="I867" s="137"/>
      <c r="J867" s="137"/>
    </row>
    <row r="868">
      <c r="I868" s="137"/>
      <c r="J868" s="137"/>
    </row>
    <row r="869">
      <c r="I869" s="137"/>
      <c r="J869" s="137"/>
    </row>
    <row r="870">
      <c r="I870" s="137"/>
      <c r="J870" s="137"/>
    </row>
    <row r="871">
      <c r="I871" s="137"/>
      <c r="J871" s="137"/>
    </row>
    <row r="872">
      <c r="I872" s="137"/>
      <c r="J872" s="137"/>
    </row>
    <row r="873">
      <c r="I873" s="137"/>
      <c r="J873" s="137"/>
    </row>
    <row r="874">
      <c r="I874" s="137"/>
      <c r="J874" s="137"/>
    </row>
    <row r="875">
      <c r="I875" s="137"/>
      <c r="J875" s="137"/>
    </row>
    <row r="876">
      <c r="I876" s="137"/>
      <c r="J876" s="137"/>
    </row>
    <row r="877">
      <c r="I877" s="137"/>
      <c r="J877" s="137"/>
    </row>
    <row r="878">
      <c r="I878" s="137"/>
      <c r="J878" s="137"/>
    </row>
    <row r="879">
      <c r="I879" s="137"/>
      <c r="J879" s="137"/>
    </row>
    <row r="880">
      <c r="I880" s="137"/>
      <c r="J880" s="137"/>
    </row>
    <row r="881">
      <c r="I881" s="137"/>
      <c r="J881" s="137"/>
    </row>
    <row r="882">
      <c r="I882" s="137"/>
      <c r="J882" s="137"/>
    </row>
    <row r="883">
      <c r="I883" s="137"/>
      <c r="J883" s="137"/>
    </row>
    <row r="884">
      <c r="I884" s="137"/>
      <c r="J884" s="137"/>
    </row>
    <row r="885">
      <c r="I885" s="137"/>
      <c r="J885" s="137"/>
    </row>
    <row r="886">
      <c r="I886" s="137"/>
      <c r="J886" s="137"/>
    </row>
    <row r="887">
      <c r="I887" s="137"/>
      <c r="J887" s="137"/>
    </row>
    <row r="888">
      <c r="I888" s="137"/>
      <c r="J888" s="137"/>
    </row>
    <row r="889">
      <c r="I889" s="137"/>
      <c r="J889" s="137"/>
    </row>
    <row r="890">
      <c r="I890" s="137"/>
      <c r="J890" s="137"/>
    </row>
    <row r="891">
      <c r="I891" s="137"/>
      <c r="J891" s="137"/>
    </row>
    <row r="892">
      <c r="I892" s="137"/>
      <c r="J892" s="137"/>
    </row>
    <row r="893">
      <c r="I893" s="137"/>
      <c r="J893" s="137"/>
    </row>
    <row r="894">
      <c r="I894" s="137"/>
      <c r="J894" s="137"/>
    </row>
    <row r="895">
      <c r="I895" s="137"/>
      <c r="J895" s="137"/>
    </row>
    <row r="896">
      <c r="I896" s="137"/>
      <c r="J896" s="137"/>
    </row>
    <row r="897">
      <c r="I897" s="137"/>
      <c r="J897" s="137"/>
    </row>
    <row r="898">
      <c r="I898" s="137"/>
      <c r="J898" s="137"/>
    </row>
    <row r="899">
      <c r="I899" s="137"/>
      <c r="J899" s="137"/>
    </row>
    <row r="900">
      <c r="I900" s="137"/>
      <c r="J900" s="137"/>
    </row>
    <row r="901">
      <c r="I901" s="137"/>
      <c r="J901" s="137"/>
    </row>
    <row r="902">
      <c r="I902" s="137"/>
      <c r="J902" s="137"/>
    </row>
    <row r="903">
      <c r="I903" s="137"/>
      <c r="J903" s="137"/>
    </row>
    <row r="904">
      <c r="I904" s="137"/>
      <c r="J904" s="137"/>
    </row>
    <row r="905">
      <c r="I905" s="137"/>
      <c r="J905" s="137"/>
    </row>
    <row r="906">
      <c r="I906" s="137"/>
      <c r="J906" s="137"/>
    </row>
    <row r="907">
      <c r="I907" s="137"/>
      <c r="J907" s="137"/>
    </row>
    <row r="908">
      <c r="I908" s="137"/>
      <c r="J908" s="137"/>
    </row>
    <row r="909">
      <c r="I909" s="137"/>
      <c r="J909" s="137"/>
    </row>
    <row r="910">
      <c r="I910" s="137"/>
      <c r="J910" s="137"/>
    </row>
    <row r="911">
      <c r="I911" s="137"/>
      <c r="J911" s="137"/>
    </row>
    <row r="912">
      <c r="I912" s="137"/>
      <c r="J912" s="137"/>
    </row>
    <row r="913">
      <c r="I913" s="137"/>
      <c r="J913" s="137"/>
    </row>
    <row r="914">
      <c r="I914" s="137"/>
      <c r="J914" s="137"/>
    </row>
    <row r="915">
      <c r="I915" s="137"/>
      <c r="J915" s="137"/>
    </row>
    <row r="916">
      <c r="I916" s="137"/>
      <c r="J916" s="137"/>
    </row>
    <row r="917">
      <c r="I917" s="137"/>
      <c r="J917" s="137"/>
    </row>
    <row r="918">
      <c r="I918" s="137"/>
      <c r="J918" s="137"/>
    </row>
    <row r="919">
      <c r="I919" s="137"/>
      <c r="J919" s="137"/>
    </row>
    <row r="920">
      <c r="I920" s="137"/>
      <c r="J920" s="137"/>
    </row>
    <row r="921">
      <c r="I921" s="137"/>
      <c r="J921" s="137"/>
    </row>
    <row r="922">
      <c r="I922" s="137"/>
      <c r="J922" s="137"/>
    </row>
    <row r="923">
      <c r="I923" s="137"/>
      <c r="J923" s="137"/>
    </row>
    <row r="924">
      <c r="I924" s="137"/>
      <c r="J924" s="137"/>
    </row>
    <row r="925">
      <c r="I925" s="137"/>
      <c r="J925" s="137"/>
    </row>
    <row r="926">
      <c r="I926" s="137"/>
      <c r="J926" s="137"/>
    </row>
    <row r="927">
      <c r="I927" s="137"/>
      <c r="J927" s="137"/>
    </row>
    <row r="928">
      <c r="I928" s="137"/>
      <c r="J928" s="137"/>
    </row>
    <row r="929">
      <c r="I929" s="137"/>
      <c r="J929" s="137"/>
    </row>
    <row r="930">
      <c r="I930" s="137"/>
      <c r="J930" s="137"/>
    </row>
    <row r="931">
      <c r="I931" s="137"/>
      <c r="J931" s="137"/>
    </row>
    <row r="932">
      <c r="I932" s="137"/>
      <c r="J932" s="137"/>
    </row>
    <row r="933">
      <c r="I933" s="137"/>
      <c r="J933" s="137"/>
    </row>
    <row r="934">
      <c r="I934" s="137"/>
      <c r="J934" s="137"/>
    </row>
    <row r="935">
      <c r="I935" s="137"/>
      <c r="J935" s="137"/>
    </row>
    <row r="936">
      <c r="I936" s="137"/>
      <c r="J936" s="137"/>
    </row>
    <row r="937">
      <c r="I937" s="137"/>
      <c r="J937" s="137"/>
    </row>
    <row r="938">
      <c r="I938" s="137"/>
      <c r="J938" s="137"/>
    </row>
    <row r="939">
      <c r="I939" s="137"/>
      <c r="J939" s="137"/>
    </row>
    <row r="940">
      <c r="I940" s="137"/>
      <c r="J940" s="137"/>
    </row>
    <row r="941">
      <c r="I941" s="137"/>
      <c r="J941" s="137"/>
    </row>
    <row r="942">
      <c r="I942" s="137"/>
      <c r="J942" s="137"/>
    </row>
    <row r="943">
      <c r="I943" s="137"/>
      <c r="J943" s="137"/>
    </row>
    <row r="944">
      <c r="I944" s="137"/>
      <c r="J944" s="137"/>
    </row>
    <row r="945">
      <c r="I945" s="137"/>
      <c r="J945" s="137"/>
    </row>
    <row r="946">
      <c r="I946" s="137"/>
      <c r="J946" s="137"/>
    </row>
    <row r="947">
      <c r="I947" s="137"/>
      <c r="J947" s="137"/>
    </row>
    <row r="948">
      <c r="I948" s="137"/>
      <c r="J948" s="137"/>
    </row>
    <row r="949">
      <c r="I949" s="137"/>
      <c r="J949" s="137"/>
    </row>
    <row r="950">
      <c r="I950" s="137"/>
      <c r="J950" s="137"/>
    </row>
    <row r="951">
      <c r="I951" s="137"/>
      <c r="J951" s="137"/>
    </row>
    <row r="952">
      <c r="I952" s="137"/>
      <c r="J952" s="137"/>
    </row>
    <row r="953">
      <c r="I953" s="137"/>
      <c r="J953" s="137"/>
    </row>
    <row r="954">
      <c r="I954" s="137"/>
      <c r="J954" s="137"/>
    </row>
    <row r="955">
      <c r="I955" s="137"/>
      <c r="J955" s="137"/>
    </row>
    <row r="956">
      <c r="I956" s="137"/>
      <c r="J956" s="137"/>
    </row>
    <row r="957">
      <c r="I957" s="137"/>
      <c r="J957" s="137"/>
    </row>
    <row r="958">
      <c r="I958" s="137"/>
      <c r="J958" s="137"/>
    </row>
    <row r="959">
      <c r="I959" s="137"/>
      <c r="J959" s="137"/>
    </row>
    <row r="960">
      <c r="I960" s="137"/>
      <c r="J960" s="137"/>
    </row>
    <row r="961">
      <c r="I961" s="137"/>
      <c r="J961" s="137"/>
    </row>
    <row r="962">
      <c r="I962" s="137"/>
      <c r="J962" s="137"/>
    </row>
    <row r="963">
      <c r="I963" s="137"/>
      <c r="J963" s="137"/>
    </row>
    <row r="964">
      <c r="I964" s="137"/>
      <c r="J964" s="137"/>
    </row>
    <row r="965">
      <c r="I965" s="137"/>
      <c r="J965" s="137"/>
    </row>
    <row r="966">
      <c r="I966" s="137"/>
      <c r="J966" s="137"/>
    </row>
    <row r="967">
      <c r="I967" s="137"/>
      <c r="J967" s="137"/>
    </row>
    <row r="968">
      <c r="I968" s="137"/>
      <c r="J968" s="137"/>
    </row>
    <row r="969">
      <c r="I969" s="137"/>
      <c r="J969" s="137"/>
    </row>
    <row r="970">
      <c r="I970" s="137"/>
      <c r="J970" s="137"/>
    </row>
    <row r="971">
      <c r="I971" s="137"/>
      <c r="J971" s="137"/>
    </row>
    <row r="972">
      <c r="I972" s="137"/>
      <c r="J972" s="137"/>
    </row>
    <row r="973">
      <c r="I973" s="137"/>
      <c r="J973" s="137"/>
    </row>
    <row r="974">
      <c r="I974" s="137"/>
      <c r="J974" s="137"/>
    </row>
    <row r="975">
      <c r="I975" s="137"/>
      <c r="J975" s="137"/>
    </row>
    <row r="976">
      <c r="I976" s="137"/>
      <c r="J976" s="137"/>
    </row>
    <row r="977">
      <c r="I977" s="137"/>
      <c r="J977" s="137"/>
    </row>
    <row r="978">
      <c r="I978" s="137"/>
      <c r="J978" s="137"/>
    </row>
    <row r="979">
      <c r="I979" s="137"/>
      <c r="J979" s="137"/>
    </row>
    <row r="980">
      <c r="I980" s="137"/>
      <c r="J980" s="137"/>
    </row>
    <row r="981">
      <c r="I981" s="137"/>
      <c r="J981" s="137"/>
    </row>
    <row r="982">
      <c r="I982" s="137"/>
      <c r="J982" s="137"/>
    </row>
    <row r="983">
      <c r="I983" s="137"/>
      <c r="J983" s="137"/>
    </row>
    <row r="984">
      <c r="I984" s="137"/>
      <c r="J984" s="137"/>
    </row>
    <row r="985">
      <c r="I985" s="137"/>
      <c r="J985" s="137"/>
    </row>
    <row r="986">
      <c r="I986" s="137"/>
      <c r="J986" s="137"/>
    </row>
    <row r="987">
      <c r="I987" s="137"/>
      <c r="J987" s="137"/>
    </row>
    <row r="988">
      <c r="I988" s="137"/>
      <c r="J988" s="137"/>
    </row>
    <row r="989">
      <c r="I989" s="137"/>
      <c r="J989" s="137"/>
    </row>
    <row r="990">
      <c r="I990" s="137"/>
      <c r="J990" s="137"/>
    </row>
    <row r="991">
      <c r="I991" s="137"/>
      <c r="J991" s="137"/>
    </row>
    <row r="992">
      <c r="I992" s="137"/>
      <c r="J992" s="137"/>
    </row>
    <row r="993">
      <c r="I993" s="137"/>
      <c r="J993" s="137"/>
    </row>
    <row r="994">
      <c r="I994" s="137"/>
      <c r="J994" s="137"/>
    </row>
    <row r="995">
      <c r="I995" s="137"/>
      <c r="J995" s="137"/>
    </row>
    <row r="996">
      <c r="I996" s="137"/>
      <c r="J996" s="137"/>
    </row>
    <row r="997">
      <c r="I997" s="137"/>
      <c r="J997" s="137"/>
    </row>
    <row r="998">
      <c r="I998" s="137"/>
      <c r="J998" s="137"/>
    </row>
    <row r="999">
      <c r="I999" s="137"/>
      <c r="J999" s="137"/>
    </row>
    <row r="1000">
      <c r="I1000" s="137"/>
      <c r="J1000" s="137"/>
    </row>
  </sheetData>
  <mergeCells count="2">
    <mergeCell ref="B12:C12"/>
    <mergeCell ref="B13:C1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2022-12-16T20:57:15Z</dcterms:created>
  <dc:creator>Radosław Narwojsz</dc:creator>
</cp:coreProperties>
</file>